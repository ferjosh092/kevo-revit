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ÁMETROS" sheetId="1" state="visible" r:id="rId3"/>
    <sheet name="METRADO POR NIVEL" sheetId="2" state="visible" r:id="rId4"/>
    <sheet name="ACERO – DESPIECE" sheetId="3" state="visible" r:id="rId5"/>
    <sheet name="LISTA DE COMPRAS" sheetId="4" state="visible" r:id="rId6"/>
    <sheet name="CRONOGRAMA" sheetId="5" state="visible" r:id="rId7"/>
    <sheet name="AVANCE REAL" sheetId="6" state="visible" r:id="rId8"/>
    <sheet name="DASHBOARD" sheetId="7" state="visible" r:id="rId9"/>
    <sheet name="NOTAS" sheetId="8" state="visible" r:id="rId10"/>
    <sheet name="PLAN DE CORTE" sheetId="9" state="visible" r:id="rId11"/>
    <sheet name="DATOS MODELO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<sst xmlns="http://schemas.openxmlformats.org/spreadsheetml/2006/main" count="15716" uniqueCount="3659">
  <si>
    <t xml:space="preserve">PARÁMETROS DEL CÁLCULO Y PRECIOS UNITARIOS (CUSCO)</t>
  </si>
  <si>
    <t xml:space="preserve">Celdas AMARILLAS con texto azul = datos editables. Todo el libro se recalcula al cambiarlas.</t>
  </si>
  <si>
    <t xml:space="preserve">1. DATOS GENERALES</t>
  </si>
  <si>
    <t xml:space="preserve">Parámetro</t>
  </si>
  <si>
    <t xml:space="preserve">Valor</t>
  </si>
  <si>
    <t xml:space="preserve">Unidad</t>
  </si>
  <si>
    <t xml:space="preserve">Fuente / observación</t>
  </si>
  <si>
    <t xml:space="preserve">Fecha de inicio de obra (casco)</t>
  </si>
  <si>
    <t xml:space="preserve">fecha</t>
  </si>
  <si>
    <t xml:space="preserve">Dato de obra: editar</t>
  </si>
  <si>
    <t xml:space="preserve">Fecha de corte del avance</t>
  </si>
  <si>
    <t xml:space="preserve">Actualizar cada semana (DASHBOARD)</t>
  </si>
  <si>
    <t xml:space="preserve">Desperdicio de concreto</t>
  </si>
  <si>
    <t xml:space="preserve">%</t>
  </si>
  <si>
    <t xml:space="preserve">Dato del usuario (5 %)</t>
  </si>
  <si>
    <t xml:space="preserve">Desperdicio / rotura de casetones</t>
  </si>
  <si>
    <t xml:space="preserve">Supuesto: manipuleo de EPS</t>
  </si>
  <si>
    <t xml:space="preserve">N° de usos de la madera</t>
  </si>
  <si>
    <t xml:space="preserve">usos</t>
  </si>
  <si>
    <t xml:space="preserve">Editable (práctica usual 3-5)</t>
  </si>
  <si>
    <t xml:space="preserve">N° de usos del triplay</t>
  </si>
  <si>
    <t xml:space="preserve">Editable (triplay 18 mm)</t>
  </si>
  <si>
    <t xml:space="preserve">N° de usos de los puntales</t>
  </si>
  <si>
    <t xml:space="preserve">Editable (eucalipto rollizo)</t>
  </si>
  <si>
    <t xml:space="preserve">Alambre N°16 por kg de acero</t>
  </si>
  <si>
    <t xml:space="preserve">kg/kg</t>
  </si>
  <si>
    <t xml:space="preserve">APU 'Acero corrugado fy=4200' (CAPECO): 0.030 kg/kg</t>
  </si>
  <si>
    <t xml:space="preserve">Dados por zapata</t>
  </si>
  <si>
    <t xml:space="preserve">und/zapata</t>
  </si>
  <si>
    <t xml:space="preserve">Supuesto: malla 3x3</t>
  </si>
  <si>
    <t xml:space="preserve">Cortes por disco de 7"</t>
  </si>
  <si>
    <t xml:space="preserve">cortes</t>
  </si>
  <si>
    <t xml:space="preserve">Estimado; 1 corte por pieza</t>
  </si>
  <si>
    <t xml:space="preserve">Consumo de curador químico</t>
  </si>
  <si>
    <t xml:space="preserve">L/m²</t>
  </si>
  <si>
    <t xml:space="preserve">Rendimiento típico de membranas de curado (≈5 m²/L)</t>
  </si>
  <si>
    <t xml:space="preserve">Consumo de desmoldante</t>
  </si>
  <si>
    <t xml:space="preserve">Estimado (≈1 gal por 50 m²)</t>
  </si>
  <si>
    <t xml:space="preserve">Incluir solado (1 = sí, 0 = no)</t>
  </si>
  <si>
    <t xml:space="preserve">1/0</t>
  </si>
  <si>
    <t xml:space="preserve">Partida evitable: no está en el modelo</t>
  </si>
  <si>
    <t xml:space="preserve">Espesor del solado</t>
  </si>
  <si>
    <t xml:space="preserve">m</t>
  </si>
  <si>
    <t xml:space="preserve">Supuesto</t>
  </si>
  <si>
    <t xml:space="preserve">Umbral de stock bajo</t>
  </si>
  <si>
    <t xml:space="preserve">% de lo pendiente</t>
  </si>
  <si>
    <t xml:space="preserve">Alerta en DASHBOARD</t>
  </si>
  <si>
    <t xml:space="preserve">Desfase inicio encofrado tras inicio de acero</t>
  </si>
  <si>
    <t xml:space="preserve">días</t>
  </si>
  <si>
    <t xml:space="preserve">Cronograma</t>
  </si>
  <si>
    <t xml:space="preserve">Traslape Ø3/4" (barras &gt; 9 m)</t>
  </si>
  <si>
    <t xml:space="preserve">Lámina E-10, nota 8 (sup. clase B). Informativo: el plan de corte ya lo usa</t>
  </si>
  <si>
    <t xml:space="preserve">2. LOSA ALIGERADA (casetón de poliestireno EPS; el modelo trae losa maciza de 200 mm por criterio)</t>
  </si>
  <si>
    <t xml:space="preserve">Altura total de losa</t>
  </si>
  <si>
    <t xml:space="preserve">Láminas E-04 a E-07</t>
  </si>
  <si>
    <t xml:space="preserve">Espesor de losita</t>
  </si>
  <si>
    <t xml:space="preserve">Ancho de vigueta</t>
  </si>
  <si>
    <t xml:space="preserve">Ancho del casetón</t>
  </si>
  <si>
    <t xml:space="preserve">Casetón EPS 1.20 x 0.30 x 0.15</t>
  </si>
  <si>
    <t xml:space="preserve">Alto del casetón</t>
  </si>
  <si>
    <t xml:space="preserve">Largo del casetón</t>
  </si>
  <si>
    <t xml:space="preserve">Concreto por m² de aligerado</t>
  </si>
  <si>
    <t xml:space="preserve">m³/m²</t>
  </si>
  <si>
    <t xml:space="preserve">losita + vigueta x alto casetón / separación de viguetas</t>
  </si>
  <si>
    <t xml:space="preserve">Casetones por m² de aligerado</t>
  </si>
  <si>
    <t xml:space="preserve">und/m²</t>
  </si>
  <si>
    <t xml:space="preserve">1 / (separación de viguetas x largo del casetón)</t>
  </si>
  <si>
    <t xml:space="preserve">3. f'c POR ELEMENTO (no existe en el modelo: dato de las especificaciones, láminas E-01 a E-10)</t>
  </si>
  <si>
    <t xml:space="preserve">Elemento</t>
  </si>
  <si>
    <t xml:space="preserve">f'c (kg/cm²)</t>
  </si>
  <si>
    <t xml:space="preserve">Zapatas</t>
  </si>
  <si>
    <t xml:space="preserve">Especificación del proyecto (nota E-10)</t>
  </si>
  <si>
    <t xml:space="preserve">Vigas de conexión</t>
  </si>
  <si>
    <t xml:space="preserve">Cimiento de escalera</t>
  </si>
  <si>
    <t xml:space="preserve">Columnas</t>
  </si>
  <si>
    <t xml:space="preserve">Vigas</t>
  </si>
  <si>
    <t xml:space="preserve">Losa aligerada</t>
  </si>
  <si>
    <t xml:space="preserve">Escalera</t>
  </si>
  <si>
    <t xml:space="preserve">Falso piso</t>
  </si>
  <si>
    <t xml:space="preserve">Solado</t>
  </si>
  <si>
    <t xml:space="preserve">4. DOSIFICACIÓN POR m³ DE CONCRETO (cemento en bolsas de 42.5 kg, piedra chancada 1/2")</t>
  </si>
  <si>
    <t xml:space="preserve">Cemento (bls/m³)</t>
  </si>
  <si>
    <t xml:space="preserve">Arena gruesa (m³/m³)</t>
  </si>
  <si>
    <t xml:space="preserve">Piedra chancada (m³/m³)</t>
  </si>
  <si>
    <t xml:space="preserve">Agua (L/m³)</t>
  </si>
  <si>
    <t xml:space="preserve">Fuente</t>
  </si>
  <si>
    <t xml:space="preserve">Estimado (solado): verificar</t>
  </si>
  <si>
    <t xml:space="preserve">Tabla CAPECO, 'Costos y Presupuestos en Edificación'</t>
  </si>
  <si>
    <t xml:space="preserve">Tabla CAPECO</t>
  </si>
  <si>
    <t xml:space="preserve">5. RATIOS DE ENCOFRADO por m² de área de contacto (madera, triplay y puntales se dividen entre sus N° de usos)</t>
  </si>
  <si>
    <t xml:space="preserve">Tipo de encofrado</t>
  </si>
  <si>
    <t xml:space="preserve">Madera tornillo (p²/m²)</t>
  </si>
  <si>
    <t xml:space="preserve">Triplay 18 mm (m²/m²)</t>
  </si>
  <si>
    <t xml:space="preserve">Clavos 3" (kg/m²)</t>
  </si>
  <si>
    <t xml:space="preserve">Alambre N°8 (kg/m²)</t>
  </si>
  <si>
    <t xml:space="preserve">Puntales (und/m²)</t>
  </si>
  <si>
    <t xml:space="preserve">Dados (und/m²)</t>
  </si>
  <si>
    <t xml:space="preserve">VC costados</t>
  </si>
  <si>
    <t xml:space="preserve">Referencial de APU usuales (CAPECO); ajustar con el maestro de obra</t>
  </si>
  <si>
    <t xml:space="preserve">Cimiento escalera</t>
  </si>
  <si>
    <t xml:space="preserve">Vigas costados</t>
  </si>
  <si>
    <t xml:space="preserve">Vigas fondo</t>
  </si>
  <si>
    <t xml:space="preserve">Losa fondo</t>
  </si>
  <si>
    <t xml:space="preserve">Losa bordes</t>
  </si>
  <si>
    <t xml:space="preserve">Escalera fondo</t>
  </si>
  <si>
    <t xml:space="preserve">Escalera costados</t>
  </si>
  <si>
    <t xml:space="preserve">6. PRECIOS UNITARIOS REFERENCIALES - CUSCO (incluyen IGV; confirmar precio puesto en obra, San Jerónimo)</t>
  </si>
  <si>
    <t xml:space="preserve">Insumo</t>
  </si>
  <si>
    <t xml:space="preserve">Unidad de compra</t>
  </si>
  <si>
    <t xml:space="preserve">Precio (S/)</t>
  </si>
  <si>
    <t xml:space="preserve">Fecha de cotización</t>
  </si>
  <si>
    <t xml:space="preserve">Proveedor / fuente</t>
  </si>
  <si>
    <t xml:space="preserve">Categoría</t>
  </si>
  <si>
    <t xml:space="preserve">Observación</t>
  </si>
  <si>
    <t xml:space="preserve">Cemento Portland IP 42.5 kg</t>
  </si>
  <si>
    <t xml:space="preserve">bolsa</t>
  </si>
  <si>
    <t xml:space="preserve">Sodimac.pe - Cemento Yura Tipo IP</t>
  </si>
  <si>
    <t xml:space="preserve">Concreto</t>
  </si>
  <si>
    <t xml:space="preserve">En Cusco hay distribuidores desde ~S/ 23 (almacén); confirmar</t>
  </si>
  <si>
    <t xml:space="preserve">Arena gruesa</t>
  </si>
  <si>
    <t xml:space="preserve">m³</t>
  </si>
  <si>
    <t xml:space="preserve">Estimado: cotización 'Agregados Cusco' S/ 60 + rango 2026 S/ 55-70 (OneEstimate)</t>
  </si>
  <si>
    <t xml:space="preserve">Estimado: cotizar</t>
  </si>
  <si>
    <t xml:space="preserve">Piedra chancada 1/2"</t>
  </si>
  <si>
    <t xml:space="preserve">Estimado: 'Agregados Cusco' S/ 65 + rango 2026 S/ 75-95 (OneEstimate)</t>
  </si>
  <si>
    <t xml:space="preserve">Agua</t>
  </si>
  <si>
    <t xml:space="preserve">Estimado (tarifa no doméstica SEDACUSCO)</t>
  </si>
  <si>
    <t xml:space="preserve">Estimado: confirmar</t>
  </si>
  <si>
    <t xml:space="preserve">Casetón EPS 1.20x0.30x0.15</t>
  </si>
  <si>
    <t xml:space="preserve">und</t>
  </si>
  <si>
    <t xml:space="preserve">Promart.pe - Etsapol (tienda Cusco)</t>
  </si>
  <si>
    <t xml:space="preserve">Ref. Dinova S/ 12.00</t>
  </si>
  <si>
    <t xml:space="preserve">Varilla Ø1/4" x 9 m</t>
  </si>
  <si>
    <t xml:space="preserve">Estimado (2.25 kg x ~S/ 4.2/kg)</t>
  </si>
  <si>
    <t xml:space="preserve">Acero</t>
  </si>
  <si>
    <t xml:space="preserve">Estimado: cotizar (Aceros Arequipa)</t>
  </si>
  <si>
    <t xml:space="preserve">Varilla Ø3/8" x 9 m</t>
  </si>
  <si>
    <t xml:space="preserve">Promart.pe - Aceros Arequipa A615, precio online</t>
  </si>
  <si>
    <t xml:space="preserve">Varilla Ø1/2" x 9 m</t>
  </si>
  <si>
    <t xml:space="preserve">Varilla Ø5/8" x 9 m</t>
  </si>
  <si>
    <t xml:space="preserve">Varilla Ø3/4" x 9 m</t>
  </si>
  <si>
    <t xml:space="preserve">Alambre negro N°16</t>
  </si>
  <si>
    <t xml:space="preserve">kg</t>
  </si>
  <si>
    <t xml:space="preserve">Promart.pe - Prodac rollo 100 kg (S/ 365)</t>
  </si>
  <si>
    <t xml:space="preserve">Disco de corte 7"</t>
  </si>
  <si>
    <t xml:space="preserve">Estimado</t>
  </si>
  <si>
    <t xml:space="preserve">Dados de concreto</t>
  </si>
  <si>
    <t xml:space="preserve">Estimado (fabricados en obra)</t>
  </si>
  <si>
    <t xml:space="preserve">Madera tornillo</t>
  </si>
  <si>
    <t xml:space="preserve">p²</t>
  </si>
  <si>
    <t xml:space="preserve">Estimado: cotización madera tornillo S/ 4.90-4.95/p² (antigua) actualizada</t>
  </si>
  <si>
    <t xml:space="preserve">Encofrado</t>
  </si>
  <si>
    <t xml:space="preserve">Estimado: cotizar en madereras de San Sebastián</t>
  </si>
  <si>
    <t xml:space="preserve">Triplay 18 mm 1.22x2.44</t>
  </si>
  <si>
    <t xml:space="preserve">plancha</t>
  </si>
  <si>
    <t xml:space="preserve">Puntal eucalipto 3"-4" x 3 m</t>
  </si>
  <si>
    <t xml:space="preserve">Estimado (ref. rollizo 5" x 3 m S/ 49, IMA)</t>
  </si>
  <si>
    <t xml:space="preserve">Clavos 3"</t>
  </si>
  <si>
    <t xml:space="preserve">Alambre negro N°8</t>
  </si>
  <si>
    <t xml:space="preserve">Promart.pe - Prodac rollo 10 kg (S/ 59)</t>
  </si>
  <si>
    <t xml:space="preserve">Desmoldante</t>
  </si>
  <si>
    <t xml:space="preserve">gal</t>
  </si>
  <si>
    <t xml:space="preserve">Curador químico (membrana)</t>
  </si>
  <si>
    <t xml:space="preserve">Curado</t>
  </si>
  <si>
    <t xml:space="preserve">7. PESO NOMINAL DEL ACERO (NTP 341.031 / ASTM A615)</t>
  </si>
  <si>
    <t xml:space="preserve">Ø</t>
  </si>
  <si>
    <t xml:space="preserve">kg/m</t>
  </si>
  <si>
    <t xml:space="preserve">Insumo de compra</t>
  </si>
  <si>
    <t xml:space="preserve">1/4</t>
  </si>
  <si>
    <t xml:space="preserve">3/8</t>
  </si>
  <si>
    <t xml:space="preserve">1/2</t>
  </si>
  <si>
    <t xml:space="preserve">5/8</t>
  </si>
  <si>
    <t xml:space="preserve">3/4</t>
  </si>
  <si>
    <t xml:space="preserve">Leyenda: amarillo + azul = dato editable · negro = fórmula · verde = vínculo a otra hoja.</t>
  </si>
  <si>
    <t xml:space="preserve">METRADO POR NIVEL - CASCO ESTRUCTURAL</t>
  </si>
  <si>
    <t xml:space="preserve">Cantidades del modelo IFC (hoja DATOS MODELO) + parámetros. Columnas I a W: insumos que genera cada partida.</t>
  </si>
  <si>
    <t xml:space="preserve">CIMENTACIÓN</t>
  </si>
  <si>
    <t xml:space="preserve">Nivel</t>
  </si>
  <si>
    <t xml:space="preserve">Partida</t>
  </si>
  <si>
    <t xml:space="preserve">Cantidad neta</t>
  </si>
  <si>
    <t xml:space="preserve">Desperdicio</t>
  </si>
  <si>
    <t xml:space="preserve">Cantidad total</t>
  </si>
  <si>
    <t xml:space="preserve">f'c / tipo</t>
  </si>
  <si>
    <t xml:space="preserve">Cemento (bls)</t>
  </si>
  <si>
    <t xml:space="preserve">Arena gruesa (m³)</t>
  </si>
  <si>
    <t xml:space="preserve">Piedra 1/2" (m³)</t>
  </si>
  <si>
    <t xml:space="preserve">Agua (m³)</t>
  </si>
  <si>
    <t xml:space="preserve">Casetón EPS (und)</t>
  </si>
  <si>
    <t xml:space="preserve">Alambre N°16 (kg)</t>
  </si>
  <si>
    <t xml:space="preserve">Madera tornillo (p²)</t>
  </si>
  <si>
    <t xml:space="preserve">Triplay (m²)</t>
  </si>
  <si>
    <t xml:space="preserve">Clavos 3" (kg)</t>
  </si>
  <si>
    <t xml:space="preserve">Alambre N°8 (kg)</t>
  </si>
  <si>
    <t xml:space="preserve">Puntales (und)</t>
  </si>
  <si>
    <t xml:space="preserve">Desmoldante (gal)</t>
  </si>
  <si>
    <t xml:space="preserve">Curador (gal)</t>
  </si>
  <si>
    <t xml:space="preserve">Dados (und)</t>
  </si>
  <si>
    <t xml:space="preserve">Discos de corte (und)</t>
  </si>
  <si>
    <t xml:space="preserve">Nota</t>
  </si>
  <si>
    <t xml:space="preserve">Vaciadas contra el terreno</t>
  </si>
  <si>
    <t xml:space="preserve">Partida evitable (no modelada): área bajo zapatas y VC x espesor</t>
  </si>
  <si>
    <t xml:space="preserve">m²</t>
  </si>
  <si>
    <t xml:space="preserve">Fondo sobre solado/terreno</t>
  </si>
  <si>
    <t xml:space="preserve">fy 4200</t>
  </si>
  <si>
    <t xml:space="preserve">Desperdicio de corte: ver ACERO – DESPIECE (varillas de 9 m)</t>
  </si>
  <si>
    <t xml:space="preserve">curador</t>
  </si>
  <si>
    <t xml:space="preserve">Cara superior (costados contra terreno)</t>
  </si>
  <si>
    <t xml:space="preserve">TOTAL CIMENTACIÓN</t>
  </si>
  <si>
    <t xml:space="preserve">Subtotal Concreto</t>
  </si>
  <si>
    <t xml:space="preserve">Subtotal Encofrado</t>
  </si>
  <si>
    <t xml:space="preserve">Subtotal Acero</t>
  </si>
  <si>
    <t xml:space="preserve">Subtotal Curado</t>
  </si>
  <si>
    <t xml:space="preserve">NIVEL 1</t>
  </si>
  <si>
    <t xml:space="preserve">Columnas de cimentación a N1</t>
  </si>
  <si>
    <t xml:space="preserve">e = 0.10 (modelo)</t>
  </si>
  <si>
    <t xml:space="preserve">TOTAL NIVEL 1</t>
  </si>
  <si>
    <t xml:space="preserve">NIVEL 2</t>
  </si>
  <si>
    <t xml:space="preserve">Peralte bajo la losa (modelo con uniones)</t>
  </si>
  <si>
    <t xml:space="preserve">Aligerado x concreto/m² + zonas macizas (sobre vigas y columnas, vigas chatas) x h</t>
  </si>
  <si>
    <t xml:space="preserve">Tramo que llega a este nivel</t>
  </si>
  <si>
    <t xml:space="preserve">Aligerante</t>
  </si>
  <si>
    <t xml:space="preserve">EPS</t>
  </si>
  <si>
    <t xml:space="preserve">Casetones = área aligerada x und/m²</t>
  </si>
  <si>
    <t xml:space="preserve">Fondo libre (sin la huella de vigas y columnas)</t>
  </si>
  <si>
    <t xml:space="preserve">Costados y contrapasos</t>
  </si>
  <si>
    <t xml:space="preserve">Costados al desencofrar</t>
  </si>
  <si>
    <t xml:space="preserve">TOTAL NIVEL 2</t>
  </si>
  <si>
    <t xml:space="preserve">NIVEL 3</t>
  </si>
  <si>
    <t xml:space="preserve">TOTAL NIVEL 3</t>
  </si>
  <si>
    <t xml:space="preserve">NIVEL 4</t>
  </si>
  <si>
    <t xml:space="preserve">TOTAL NIVEL 4</t>
  </si>
  <si>
    <t xml:space="preserve">NIVEL 5</t>
  </si>
  <si>
    <t xml:space="preserve">TOTAL NIVEL 5</t>
  </si>
  <si>
    <t xml:space="preserve">ACERO – DESPIECE POR DIÁMETRO Y NIVEL (varillas comerciales de 9 m)</t>
  </si>
  <si>
    <t xml:space="preserve">Piezas y longitudes del modelo; varillas y retazos del PLAN DE CORTE. Unidad de compra: VARILLA de 9 m.</t>
  </si>
  <si>
    <t xml:space="preserve">N° barras (modelo)</t>
  </si>
  <si>
    <t xml:space="preserve">Longitud neta (m)</t>
  </si>
  <si>
    <t xml:space="preserve">kg netos</t>
  </si>
  <si>
    <t xml:space="preserve">Varillas de 9 m (und)</t>
  </si>
  <si>
    <t xml:space="preserve">Longitud comprada (m)</t>
  </si>
  <si>
    <t xml:space="preserve">Longitud cortada (m)</t>
  </si>
  <si>
    <t xml:space="preserve">Traslape adicional (m)</t>
  </si>
  <si>
    <t xml:space="preserve">Retazos (m)</t>
  </si>
  <si>
    <t xml:space="preserve">Retazos reutilizables ≥ 1 m (m)</t>
  </si>
  <si>
    <t xml:space="preserve">Desperdicio real (%)</t>
  </si>
  <si>
    <t xml:space="preserve">kg comprados (referencia)</t>
  </si>
  <si>
    <t xml:space="preserve">Subtotal CIMENTACIÓN</t>
  </si>
  <si>
    <t xml:space="preserve">Subtotal NIVEL 1</t>
  </si>
  <si>
    <t xml:space="preserve">Subtotal NIVEL 2</t>
  </si>
  <si>
    <t xml:space="preserve">Subtotal NIVEL 3</t>
  </si>
  <si>
    <t xml:space="preserve">Subtotal NIVEL 4</t>
  </si>
  <si>
    <t xml:space="preserve">Subtotal NIVEL 5</t>
  </si>
  <si>
    <t xml:space="preserve">TOTAL POR DIÁMETRO</t>
  </si>
  <si>
    <t xml:space="preserve">TODOS</t>
  </si>
  <si>
    <t xml:space="preserve">TOTAL GENERAL</t>
  </si>
  <si>
    <t xml:space="preserve">CONTROL DE CALIDAD contra los conteos del IFC (dato del usuario)</t>
  </si>
  <si>
    <t xml:space="preserve">Control</t>
  </si>
  <si>
    <t xml:space="preserve">Ø / grupo</t>
  </si>
  <si>
    <t xml:space="preserve">Esperado</t>
  </si>
  <si>
    <t xml:space="preserve">Calculado</t>
  </si>
  <si>
    <t xml:space="preserve">Diferencia</t>
  </si>
  <si>
    <t xml:space="preserve">Estado</t>
  </si>
  <si>
    <t xml:space="preserve">N° de barras</t>
  </si>
  <si>
    <t xml:space="preserve">Longitud Ø3/4" (m)</t>
  </si>
  <si>
    <t xml:space="preserve">Vigas N2</t>
  </si>
  <si>
    <t xml:space="preserve">Vigas N3</t>
  </si>
  <si>
    <t xml:space="preserve">Vigas N4</t>
  </si>
  <si>
    <t xml:space="preserve">Vigas N5</t>
  </si>
  <si>
    <t xml:space="preserve">Longitud Ø3/4" total (m)</t>
  </si>
  <si>
    <t xml:space="preserve">Solo en vigas</t>
  </si>
  <si>
    <t xml:space="preserve">LISTA DE COMPRAS - CASCO ESTRUCTURAL (unidades comerciales, precios referenciales Cusco)</t>
  </si>
  <si>
    <t xml:space="preserve">Acero: unidad de compra = VARILLA de 9 m; los kg van solo como referencia. Alambres en kg.</t>
  </si>
  <si>
    <t xml:space="preserve">RESUMEN CONSOLIDADO (todos los niveles)</t>
  </si>
  <si>
    <t xml:space="preserve">Cantidad requerida</t>
  </si>
  <si>
    <t xml:space="preserve">Cantidad a comprar</t>
  </si>
  <si>
    <t xml:space="preserve">Precio unitario (S/)</t>
  </si>
  <si>
    <t xml:space="preserve">Total (S/)</t>
  </si>
  <si>
    <t xml:space="preserve">Peso de referencia (kg)</t>
  </si>
  <si>
    <t xml:space="preserve">% del costo</t>
  </si>
  <si>
    <t xml:space="preserve">TOTAL GENERAL (S/)</t>
  </si>
  <si>
    <t xml:space="preserve">SUBTOTAL POR NIVEL Y CATEGORÍA (S/)</t>
  </si>
  <si>
    <t xml:space="preserve">Total nivel (S/)</t>
  </si>
  <si>
    <t xml:space="preserve">% del total</t>
  </si>
  <si>
    <t xml:space="preserve">TOTAL</t>
  </si>
  <si>
    <t xml:space="preserve">Subtotal (S/)</t>
  </si>
  <si>
    <t xml:space="preserve">kg solo de referencia</t>
  </si>
  <si>
    <t xml:space="preserve">Se compra en kg</t>
  </si>
  <si>
    <t xml:space="preserve">Madera/triplay/puntales: requerido ÷ N° de usos</t>
  </si>
  <si>
    <t xml:space="preserve">Planchas de 1.22 x 2.44</t>
  </si>
  <si>
    <t xml:space="preserve">SUBTOTAL CIMENTACIÓN</t>
  </si>
  <si>
    <t xml:space="preserve">SUBTOTAL NIVEL 1</t>
  </si>
  <si>
    <t xml:space="preserve">SUBTOTAL NIVEL 2</t>
  </si>
  <si>
    <t xml:space="preserve">SUBTOTAL NIVEL 3</t>
  </si>
  <si>
    <t xml:space="preserve">SUBTOTAL NIVEL 4</t>
  </si>
  <si>
    <t xml:space="preserve">SUBTOTAL NIVEL 5</t>
  </si>
  <si>
    <t xml:space="preserve">CRONOGRAMA PROGRAMADO - PARTIDAS POR NIVEL (peso % por costo)</t>
  </si>
  <si>
    <t xml:space="preserve">Duraciones editables (días calendario). Secuencia: acero → encofrado (desfase) → concreto → curado; el siguiente nivel inicia al terminar el concreto.</t>
  </si>
  <si>
    <t xml:space="preserve">Curva S: fracción programada por semana (fin de semana)</t>
  </si>
  <si>
    <t xml:space="preserve">N°</t>
  </si>
  <si>
    <t xml:space="preserve">Costo (S/)</t>
  </si>
  <si>
    <t xml:space="preserve">Peso (%)</t>
  </si>
  <si>
    <t xml:space="preserve">Duración (días)</t>
  </si>
  <si>
    <t xml:space="preserve">Inicio</t>
  </si>
  <si>
    <t xml:space="preserve">Fin</t>
  </si>
  <si>
    <t xml:space="preserve">% programado a la fecha de corte</t>
  </si>
  <si>
    <t xml:space="preserve">% ejecutado a la fecha de corte</t>
  </si>
  <si>
    <t xml:space="preserve">Fracción ejecutada por semana (según AVANCE REAL, hasta la fecha de corte)</t>
  </si>
  <si>
    <t xml:space="preserve">AVANCE REAL - REGISTRO SEMANAL (única hoja que se llena en obra)</t>
  </si>
  <si>
    <t xml:space="preserve">Llenar solo las celdas amarillas. Tabla A: % ejecutado ACUMULADO de cada partida. Tabla B: materiales recibidos y usados.</t>
  </si>
  <si>
    <t xml:space="preserve">Ejemplo de llenado (no se suma): 12/10/2026 | CIMENTACIÓN | Acero | 40 %   ·   12/10/2026 | Cemento Portland IP 42.5 kg | recibido 200 | usado 150</t>
  </si>
  <si>
    <t xml:space="preserve">Fecha</t>
  </si>
  <si>
    <t xml:space="preserve">Semana N°</t>
  </si>
  <si>
    <t xml:space="preserve">% ejecutado acumulado</t>
  </si>
  <si>
    <t xml:space="preserve">Observaciones</t>
  </si>
  <si>
    <t xml:space="preserve">Cantidad recibida</t>
  </si>
  <si>
    <t xml:space="preserve">Cantidad usada</t>
  </si>
  <si>
    <t xml:space="preserve">Guía / proveedor</t>
  </si>
  <si>
    <t xml:space="preserve">DASHBOARD DE CONTROL - PROGRAMADO vs EJECUTADO</t>
  </si>
  <si>
    <t xml:space="preserve">Se actualiza solo con la fecha de corte (PARÁMETROS) y el registro de AVANCE REAL. Semáforo por desviación: verde ≤ 5 %, ámbar 5-15 %, rojo &gt; 15 %.</t>
  </si>
  <si>
    <t xml:space="preserve">Fecha de corte</t>
  </si>
  <si>
    <t xml:space="preserve">Costo total casco (S/)</t>
  </si>
  <si>
    <t xml:space="preserve">% programado</t>
  </si>
  <si>
    <t xml:space="preserve">% ejecutado</t>
  </si>
  <si>
    <t xml:space="preserve">Desviación (prog. − ejec.)</t>
  </si>
  <si>
    <t xml:space="preserve">Semáforo general</t>
  </si>
  <si>
    <t xml:space="preserve">Fin programado del casco</t>
  </si>
  <si>
    <t xml:space="preserve">AVANCE POR NIVEL</t>
  </si>
  <si>
    <t xml:space="preserve">Desviación</t>
  </si>
  <si>
    <t xml:space="preserve">Semáforo</t>
  </si>
  <si>
    <t xml:space="preserve">AVANCE POR PARTIDA</t>
  </si>
  <si>
    <t xml:space="preserve">CURVA S (acumulado ponderado por costo)</t>
  </si>
  <si>
    <t xml:space="preserve">Semana</t>
  </si>
  <si>
    <t xml:space="preserve">Fecha (fin de semana)</t>
  </si>
  <si>
    <t xml:space="preserve">MATERIALES: requerido vs comprado vs consumido (alerta de stock bajo)</t>
  </si>
  <si>
    <t xml:space="preserve">Requerido (compra)</t>
  </si>
  <si>
    <t xml:space="preserve">Comprado (recibido)</t>
  </si>
  <si>
    <t xml:space="preserve">Consumido (usado)</t>
  </si>
  <si>
    <t xml:space="preserve">Stock en obra</t>
  </si>
  <si>
    <t xml:space="preserve">% comprado</t>
  </si>
  <si>
    <t xml:space="preserve">% consumido</t>
  </si>
  <si>
    <t xml:space="preserve">Alerta</t>
  </si>
  <si>
    <t xml:space="preserve">NOTAS, SUPUESTOS Y FUENTES</t>
  </si>
  <si>
    <t xml:space="preserve">Proyecto: Vivienda multifamiliar San Jerónimo, Cusco. Diseño estructural aprobado: el modelo solo se LEYÓ.</t>
  </si>
  <si>
    <t xml:space="preserve">FUENTE DE DATOS</t>
  </si>
  <si>
    <t xml:space="preserve">1</t>
  </si>
  <si>
    <t xml:space="preserve">Cantidades leídas del IFC 'Proyect sj.ifc' (Revit 2027, exportado el 27-09-2026), sin transacciones ni cambios en Revit. Elementos identificados por el parámetro Comentarios (SJ_*).</t>
  </si>
  <si>
    <t xml:space="preserve">2</t>
  </si>
  <si>
    <t xml:space="preserve">Volumen de concreto = volumen neto de la geometría (Revit ya descuenta los cruces: las vigas llegan hasta el fondo de la losa y las columnas hasta el fondo de vigas).</t>
  </si>
  <si>
    <t xml:space="preserve">3</t>
  </si>
  <si>
    <t xml:space="preserve">Encofrado = área de contacto medida en la geometría: se descuentan las caras que tocan otro elemento de concreto (fondo de losa sobre vigas, caras de columna donde llegan vigas, etc.). Zapatas vaciadas contra el terreno (sin encofrado); fondos de vigas de conexión, cimiento de escalera y falso piso sobre terreno/solado.</t>
  </si>
  <si>
    <t xml:space="preserve">4</t>
  </si>
  <si>
    <t xml:space="preserve">Acero: longitud real de cada barra del modelo (incluye ganchos y dobleces). Control: N° de barras por diámetro y longitudes de Ø3/4" cuadran exactamente con los conteos del IFC (ver ACERO – DESPIECE). Peso total 18,793 kg (igual a la lámina E-10).</t>
  </si>
  <si>
    <t xml:space="preserve">5</t>
  </si>
  <si>
    <t xml:space="preserve">Niveles: CIMENTACIÓN = zapatas, vigas de conexión, cimiento de escalera y solado. NIVEL 1 = columnas de cimentación a N1 y falso piso. NIVEL 2 a 5 = columnas que llegan a ese nivel, sus vigas, su losa y el tramo de escalera que llega a él.</t>
  </si>
  <si>
    <t xml:space="preserve">LOSA</t>
  </si>
  <si>
    <t xml:space="preserve">6</t>
  </si>
  <si>
    <t xml:space="preserve">El tipo de losa en Revit es PISO_ESTRUCTURAL_MACIZO_200mm_VOLADO (maciza 0.20) por criterio del modelo; el acero es de aligerado y las láminas E-04 a E-07 la dibujan aligerada. Por decisión del usuario se metra ALIGERADA con casetón de poliestireno (EPS) 1.20 x 0.30 x 0.15: 69.48 m² de aligerado por piso; el resto de la losa (franjas sobre vigas y columnas y las 2 vigas chatas VCH) se metra maciza de 0.20.</t>
  </si>
  <si>
    <t xml:space="preserve">7</t>
  </si>
  <si>
    <t xml:space="preserve">Concreto de aligerado = losita + vigueta x alto de casetón / separación = 0.0875 m³/m² (h = 0.20). Casetones = 1 / (0.40 x 1.20) = 2.083 und/m² + 3 % de rotura.</t>
  </si>
  <si>
    <t xml:space="preserve">CONCRETO</t>
  </si>
  <si>
    <t xml:space="preserve">8</t>
  </si>
  <si>
    <t xml:space="preserve">f'c no existe como parámetro en el modelo (material 'Hormigón, moldeado in situ'): se toma de la especificación del proyecto (210 estructurales, 175 falso piso, 100 solado). Celdas amarillas en PARÁMETROS.</t>
  </si>
  <si>
    <t xml:space="preserve">9</t>
  </si>
  <si>
    <t xml:space="preserve">Dosificación por m³: tabla CAPECO ('Costos y Presupuestos en Edificación'), cemento en bolsas de 42.5 kg. La fila de f'c 100 (solado) es estimada: verificar con diseño de mezcla. Desperdicio 5 %.</t>
  </si>
  <si>
    <t xml:space="preserve">10</t>
  </si>
  <si>
    <t xml:space="preserve">Solado f'c 100 de 0.10: no está modelado; se calcula con la huella de zapatas (44.14 m²) y vigas de conexión (13.36 m²). Partida evitable: se apaga con el interruptor en PARÁMETROS.</t>
  </si>
  <si>
    <t xml:space="preserve">11</t>
  </si>
  <si>
    <t xml:space="preserve">Recubrimientos: el modelo asigna 25 mm en todas las caras de todos los elementos (incluidas zapatas). Se reporta tal cual; no afecta el metrado.</t>
  </si>
  <si>
    <t xml:space="preserve">ACERO</t>
  </si>
  <si>
    <t xml:space="preserve">12</t>
  </si>
  <si>
    <t xml:space="preserve">Corte optimizado por nivel y diámetro en varillas de 9 m (mejor ajuste decreciente). El desperdicio que se muestra es el real del plan de corte (PLAN DE CORTE, una fila por varilla). Los retazos ≥ 1.00 m se pueden reutilizar en dados, ganchos o bastones cortos.</t>
  </si>
  <si>
    <t xml:space="preserve">13</t>
  </si>
  <si>
    <t xml:space="preserve">42 barras superiores de Ø3/4" en vigas miden 9.10 - 9.32 m (más que la varilla comercial). No se cambia el diseño: se cortan en 9.00 m + (L − 9 + 1.15 m de traslape, lámina E-10 nota 8). La ubicación del empalme la define el ingeniero (fuera de nudos).</t>
  </si>
  <si>
    <t xml:space="preserve">14</t>
  </si>
  <si>
    <t xml:space="preserve">Ø1/4": se asume varilla de 9 m como pidió el usuario; en Cusco también se vende en rollo por kg (alambrón).</t>
  </si>
  <si>
    <t xml:space="preserve">15</t>
  </si>
  <si>
    <t xml:space="preserve">Alambre N°16: 0.030 kg por kg de acero (APU CAPECO 'acero corrugado fy=4200'). Discos de corte: 1 corte por pieza, 150 cortes por disco (estimado). Dados: ratios por m² de encofrado y 9 por zapata (supuestos).</t>
  </si>
  <si>
    <t xml:space="preserve">ENCOFRADO Y CURADO</t>
  </si>
  <si>
    <t xml:space="preserve">16</t>
  </si>
  <si>
    <t xml:space="preserve">Ratios de madera, triplay, clavos, alambre N°8 y puntales por m² de contacto: valores referenciales de APU usuales (CAPECO), a ajustar con el maestro de obra. Madera, triplay y puntales se dividen entre su N° de usos (editables): lo comprado en un nivel se reutiliza en los siguientes.</t>
  </si>
  <si>
    <t xml:space="preserve">17</t>
  </si>
  <si>
    <t xml:space="preserve">Curado con curador químico (membrana) a 0.20 L/m² sobre las caras expuestas (superior y costados al desencofrar; zapatas solo la cara superior). Alternativa: curado con agua (no incluida).</t>
  </si>
  <si>
    <t xml:space="preserve">PRECIOS</t>
  </si>
  <si>
    <t xml:space="preserve">18</t>
  </si>
  <si>
    <t xml:space="preserve">Precios referenciales consultados el 28-09-2026 (incluyen IGV). Fierro Aceros Arequipa, alambres Prodac y casetón EPS: precios online de Promart.pe (tienda en Cusco). Cemento Yura IP: Sodimac.pe (S/ 27); distribuidores de Cusco publican desde ~S/ 23 en almacén. Agregados, madera, triplay, puntales, clavos, desmoldante, curador y discos: ESTIMADOS (marcados en la hoja PARÁMETROS). Cotizar puesto en obra antes de comprar.</t>
  </si>
  <si>
    <t xml:space="preserve">CONTROL DE AVANCE</t>
  </si>
  <si>
    <t xml:space="preserve">19</t>
  </si>
  <si>
    <t xml:space="preserve">El % ejecutado se registra ACUMULADO por partida y nivel en AVANCE REAL; el DASHBOARD toma el último valor registrado hasta la fecha de corte. El peso de cada partida es su costo en LISTA DE COMPRAS.</t>
  </si>
  <si>
    <t xml:space="preserve">20</t>
  </si>
  <si>
    <t xml:space="preserve">Semáforo por desviación (programado − ejecutado): verde ≤ 5 %, ámbar 5 - 15 %, rojo &gt; 15 %. Alerta de stock bajo: stock en obra &lt; umbral x (requerido − consumido).</t>
  </si>
  <si>
    <t xml:space="preserve">21</t>
  </si>
  <si>
    <t xml:space="preserve">El plan de corte y los datos del modelo son valores leídos del IFC; si el modelo cambia, se debe volver a exportar el IFC y regenerar este libro.</t>
  </si>
  <si>
    <t xml:space="preserve">PLAN DE CORTE DE VARILLAS DE 9 m (optimizado por nivel y diámetro)</t>
  </si>
  <si>
    <t xml:space="preserve">Mejor ajuste decreciente sobre la longitud real de cada barra del modelo. Barras &gt; 9 m: 9.00 + (L − 9 + traslape 1.15).</t>
  </si>
  <si>
    <t xml:space="preserve">Varilla N°</t>
  </si>
  <si>
    <t xml:space="preserve">Piezas a cortar (m)</t>
  </si>
  <si>
    <t xml:space="preserve">N° piezas</t>
  </si>
  <si>
    <t xml:space="preserve">Longitud usada (m)</t>
  </si>
  <si>
    <t xml:space="preserve">Retazo (m)</t>
  </si>
  <si>
    <t xml:space="preserve">Retazo reutilizable (≥ 1.00 m)</t>
  </si>
  <si>
    <t xml:space="preserve">Elementos</t>
  </si>
  <si>
    <t xml:space="preserve">IDs de barra (Revit)</t>
  </si>
  <si>
    <t xml:space="preserve">1.31 + 1.31 + 1.31 + 1.31 + 1.31 + 1.12 + 1.12</t>
  </si>
  <si>
    <t xml:space="preserve">Cimiento de escalera, Vigas de conexion</t>
  </si>
  <si>
    <t xml:space="preserve">231415, 231416, 231417, 231418, 231419, 228400, 228400</t>
  </si>
  <si>
    <t xml:space="preserve">1.12 + 1.12 + 1.12 + 1.12 + 1.12 + 1.12 + 1.12 + 1.12</t>
  </si>
  <si>
    <t xml:space="preserve">Vigas de conexion</t>
  </si>
  <si>
    <t xml:space="preserve">228400, 228400, 228400, 228400, 228400, 228400, 228403, 228403</t>
  </si>
  <si>
    <t xml:space="preserve">228403, 228403, 228403, 228403, 228403, 228403, 228418, 228418</t>
  </si>
  <si>
    <t xml:space="preserve">228418, 228418, 228418, 228418, 228418, 228418, 228430, 228430</t>
  </si>
  <si>
    <t xml:space="preserve">228430, 228430, 228430, 228430, 228430, 228430, 228444, 228444</t>
  </si>
  <si>
    <t xml:space="preserve">228444, 228444, 228444, 228444, 228444, 228444, 228445, 228445</t>
  </si>
  <si>
    <t xml:space="preserve">228445, 228445, 228445, 228445, 228445, 228445, 228449, 228449</t>
  </si>
  <si>
    <t xml:space="preserve">228449, 228449, 228449, 228449, 228449, 228449, 227684, 227684</t>
  </si>
  <si>
    <t xml:space="preserve">227684, 227684, 227684, 227684, 227684, 227684, 227999, 227999</t>
  </si>
  <si>
    <t xml:space="preserve">227999, 227999, 227999, 227999, 227999, 227999, 228001, 228001</t>
  </si>
  <si>
    <t xml:space="preserve">228001, 228001, 228001, 228001, 228003, 228003, 228003, 228003</t>
  </si>
  <si>
    <t xml:space="preserve">228003, 228003, 228003, 228003, 227688, 227688, 227688, 227688</t>
  </si>
  <si>
    <t xml:space="preserve">227688, 228026, 228026, 228026, 228026, 228026, 228026, 228026</t>
  </si>
  <si>
    <t xml:space="preserve">228026, 228029, 228029, 228029, 228029, 228029, 228029, 228029</t>
  </si>
  <si>
    <t xml:space="preserve">228029, 228034, 228034, 228034, 228034, 228034, 228034, 228027</t>
  </si>
  <si>
    <t xml:space="preserve">228027, 228027, 228027, 228027, 228027, 228027, 228027, 228028</t>
  </si>
  <si>
    <t xml:space="preserve">228028, 228028, 228028, 228030, 228030, 228030, 228030, 228030</t>
  </si>
  <si>
    <t xml:space="preserve">228030, 228030, 228030, 228031, 228031, 228031, 228031, 228031</t>
  </si>
  <si>
    <t xml:space="preserve">228032, 228032, 228032, 228032, 228032, 228032, 228032, 228032</t>
  </si>
  <si>
    <t xml:space="preserve">228033, 228033, 228033, 228033, 228033, 228033, 228033, 228033</t>
  </si>
  <si>
    <t xml:space="preserve">227683, 227683, 227683, 227683, 227683, 227683, 227683, 227683</t>
  </si>
  <si>
    <t xml:space="preserve">227685, 227685, 227685, 227685, 227686, 227686, 227686, 227686</t>
  </si>
  <si>
    <t xml:space="preserve">227686, 227686, 227686, 227686, 227687, 227687, 227687, 227687</t>
  </si>
  <si>
    <t xml:space="preserve">227687, 227687, 227687, 227687, 227689, 227689, 227689, 227689</t>
  </si>
  <si>
    <t xml:space="preserve">227689, 227689, 227689, 227689, 227690, 227690, 227690, 227690</t>
  </si>
  <si>
    <t xml:space="preserve">227690, 227690, 227690, 227690, 227691, 227691, 227691, 227691</t>
  </si>
  <si>
    <t xml:space="preserve">227691, 227691, 227996, 227996, 227996, 227996, 227996, 227996</t>
  </si>
  <si>
    <t xml:space="preserve">227996, 227996, 227997, 227997, 227997, 227997, 227997, 227997</t>
  </si>
  <si>
    <t xml:space="preserve">227997, 227997, 227998, 227998, 227998, 227998, 227998, 227998</t>
  </si>
  <si>
    <t xml:space="preserve">228000, 228000, 228000, 228000, 228000, 228000, 228000, 228000</t>
  </si>
  <si>
    <t xml:space="preserve">228002, 228002, 228002, 228002, 228002, 228002, 228002, 228002</t>
  </si>
  <si>
    <t xml:space="preserve">228004, 228004, 228004, 228004, 228004, 228004, 228004, 228004</t>
  </si>
  <si>
    <t xml:space="preserve">228399, 228399, 228399, 228399, 228399, 228399, 228399, 228399</t>
  </si>
  <si>
    <t xml:space="preserve">228402, 228402, 228402, 228402, 228402, 228402, 228402, 228402</t>
  </si>
  <si>
    <t xml:space="preserve">228414, 228414, 228414, 228414, 228414, 228414, 228414, 228414</t>
  </si>
  <si>
    <t xml:space="preserve">228415, 228415, 228415, 228415, 228415, 228415, 228415, 228415</t>
  </si>
  <si>
    <t xml:space="preserve">228416, 228416, 228416, 228416, 228416, 228416, 228416, 228416</t>
  </si>
  <si>
    <t xml:space="preserve">228417, 228417, 228417, 228417, 228417, 228417, 228417, 228417</t>
  </si>
  <si>
    <t xml:space="preserve">228419, 228419, 228419, 228419, 228419, 228419, 228419, 228419</t>
  </si>
  <si>
    <t xml:space="preserve">228429, 228429, 228429, 228429, 228429, 228429, 228429, 228429</t>
  </si>
  <si>
    <t xml:space="preserve">228431, 228431, 228431, 228431, 228431, 228431, 228431, 228432</t>
  </si>
  <si>
    <t xml:space="preserve">228432, 228432, 228432, 228432, 228432, 228432, 228432, 228433</t>
  </si>
  <si>
    <t xml:space="preserve">228433, 228433, 228433, 228433, 228433, 228433, 228433, 228446</t>
  </si>
  <si>
    <t xml:space="preserve">228446, 228446, 228446, 228446, 228446, 228446, 228446, 228447</t>
  </si>
  <si>
    <t xml:space="preserve">228447, 228447, 228447, 228447, 228447, 228447, 228447, 228448</t>
  </si>
  <si>
    <t xml:space="preserve">228448, 228448, 228448, 228448, 228448, 228448, 228448, 228401</t>
  </si>
  <si>
    <t xml:space="preserve">228401, 228401, 228401, 228401, 228401, 228401, 228404, 228404</t>
  </si>
  <si>
    <t xml:space="preserve">228404, 228404, 228404, 228404, 228404, 228434, 228434, 228434</t>
  </si>
  <si>
    <t xml:space="preserve">1.12 + 1.12 + 1.12 + 1.12</t>
  </si>
  <si>
    <t xml:space="preserve">228434, 228434, 228434, 228434</t>
  </si>
  <si>
    <t xml:space="preserve">1.40 + 1.40 + 1.40 + 1.40 + 1.40 + 1.40</t>
  </si>
  <si>
    <t xml:space="preserve">227615, 227615, 227615, 227615, 227615, 227615</t>
  </si>
  <si>
    <t xml:space="preserve">227615, 227615, 227617, 227617, 227617, 227617</t>
  </si>
  <si>
    <t xml:space="preserve">227617, 227617, 227617, 227617, 227618, 227618</t>
  </si>
  <si>
    <t xml:space="preserve">227618, 227618, 227618, 227618, 227618, 227618</t>
  </si>
  <si>
    <t xml:space="preserve">227616, 227616, 227616, 227616, 227616, 227616</t>
  </si>
  <si>
    <t xml:space="preserve">1.40 + 1.40</t>
  </si>
  <si>
    <t xml:space="preserve">227616, 227616</t>
  </si>
  <si>
    <t xml:space="preserve">2.29 + 2.29 + 2.29 + 2.09</t>
  </si>
  <si>
    <t xml:space="preserve">227625, 227625, 227625, 227609</t>
  </si>
  <si>
    <t xml:space="preserve">227625, 227625, 227629, 227609</t>
  </si>
  <si>
    <t xml:space="preserve">227629, 227629, 227629, 227609</t>
  </si>
  <si>
    <t xml:space="preserve">227629, 227621, 227621, 227609</t>
  </si>
  <si>
    <t xml:space="preserve">227621, 227621, 227621, 227609</t>
  </si>
  <si>
    <t xml:space="preserve">227621, 227621, 227621, 227619</t>
  </si>
  <si>
    <t xml:space="preserve">227623, 227623, 227623, 227619</t>
  </si>
  <si>
    <t xml:space="preserve">227623, 227623, 227630, 227619</t>
  </si>
  <si>
    <t xml:space="preserve">227630, 227630, 227630, 227619</t>
  </si>
  <si>
    <t xml:space="preserve">227630, 227631, 227631, 227619</t>
  </si>
  <si>
    <t xml:space="preserve">227631, 227631, 227631, 227619</t>
  </si>
  <si>
    <t xml:space="preserve">227631, 227631, 227631, 227633</t>
  </si>
  <si>
    <t xml:space="preserve">227622, 227622, 227622, 227633</t>
  </si>
  <si>
    <t xml:space="preserve">227622, 227622, 227632, 227633</t>
  </si>
  <si>
    <t xml:space="preserve">227632, 227632, 227632, 227633</t>
  </si>
  <si>
    <t xml:space="preserve">227632, 227626, 227626, 227633</t>
  </si>
  <si>
    <t xml:space="preserve">227626, 227626, 227626, 227610</t>
  </si>
  <si>
    <t xml:space="preserve">227624, 227624, 227624, 227610</t>
  </si>
  <si>
    <t xml:space="preserve">2.29 + 2.29 + 2.09 + 2.09</t>
  </si>
  <si>
    <t xml:space="preserve">227624, 227624, 227610, 227610</t>
  </si>
  <si>
    <t xml:space="preserve">2.09 + 2.09 + 2.09 + 2.09</t>
  </si>
  <si>
    <t xml:space="preserve">227610, 227610, 227627, 227627</t>
  </si>
  <si>
    <t xml:space="preserve">227627, 227627, 227627, 227627</t>
  </si>
  <si>
    <t xml:space="preserve">227620, 227620, 227620, 227620</t>
  </si>
  <si>
    <t xml:space="preserve">227620, 227620, 227628, 227628</t>
  </si>
  <si>
    <t xml:space="preserve">227628, 227628, 227628, 227628</t>
  </si>
  <si>
    <t xml:space="preserve">227634, 227634, 227634, 227634</t>
  </si>
  <si>
    <t xml:space="preserve">2.09 + 2.09 + 1.89 + 1.89</t>
  </si>
  <si>
    <t xml:space="preserve">227634, 227634, 227607, 227607</t>
  </si>
  <si>
    <t xml:space="preserve">1.89 + 1.89 + 1.89 + 1.89</t>
  </si>
  <si>
    <t xml:space="preserve">227607, 227607, 227607, 227607</t>
  </si>
  <si>
    <t xml:space="preserve">227607, 227607, 227607, 227611</t>
  </si>
  <si>
    <t xml:space="preserve">227611, 227611, 227611, 227611</t>
  </si>
  <si>
    <t xml:space="preserve">227613, 227613, 227613, 227613</t>
  </si>
  <si>
    <t xml:space="preserve">227613, 227612, 227612, 227612</t>
  </si>
  <si>
    <t xml:space="preserve">227612, 227612, 227612, 227612</t>
  </si>
  <si>
    <t xml:space="preserve">227612, 227612, 227608, 227608</t>
  </si>
  <si>
    <t xml:space="preserve">227608, 227608, 227608, 227608</t>
  </si>
  <si>
    <t xml:space="preserve">227608, 227608, 227608, 227614</t>
  </si>
  <si>
    <t xml:space="preserve">227614, 227614, 227614, 227614</t>
  </si>
  <si>
    <t xml:space="preserve">9.00</t>
  </si>
  <si>
    <t xml:space="preserve">227665a</t>
  </si>
  <si>
    <t xml:space="preserve">227670a</t>
  </si>
  <si>
    <t xml:space="preserve">227979a</t>
  </si>
  <si>
    <t xml:space="preserve">227983a</t>
  </si>
  <si>
    <t xml:space="preserve">228008a</t>
  </si>
  <si>
    <t xml:space="preserve">228013a</t>
  </si>
  <si>
    <t xml:space="preserve">8.72</t>
  </si>
  <si>
    <t xml:space="preserve">228021</t>
  </si>
  <si>
    <t xml:space="preserve">228017</t>
  </si>
  <si>
    <t xml:space="preserve">228025</t>
  </si>
  <si>
    <t xml:space="preserve">227678</t>
  </si>
  <si>
    <t xml:space="preserve">227674</t>
  </si>
  <si>
    <t xml:space="preserve">227682</t>
  </si>
  <si>
    <t xml:space="preserve">8.57</t>
  </si>
  <si>
    <t xml:space="preserve">227987</t>
  </si>
  <si>
    <t xml:space="preserve">227991</t>
  </si>
  <si>
    <t xml:space="preserve">227995</t>
  </si>
  <si>
    <t xml:space="preserve">8.18</t>
  </si>
  <si>
    <t xml:space="preserve">228422</t>
  </si>
  <si>
    <t xml:space="preserve">228391</t>
  </si>
  <si>
    <t xml:space="preserve">228390</t>
  </si>
  <si>
    <t xml:space="preserve">8.15</t>
  </si>
  <si>
    <t xml:space="preserve">228420</t>
  </si>
  <si>
    <t xml:space="preserve">8.14</t>
  </si>
  <si>
    <t xml:space="preserve">228405</t>
  </si>
  <si>
    <t xml:space="preserve">228406</t>
  </si>
  <si>
    <t xml:space="preserve">228407</t>
  </si>
  <si>
    <t xml:space="preserve">228435</t>
  </si>
  <si>
    <t xml:space="preserve">228436</t>
  </si>
  <si>
    <t xml:space="preserve">228437</t>
  </si>
  <si>
    <t xml:space="preserve">8.13</t>
  </si>
  <si>
    <t xml:space="preserve">228393</t>
  </si>
  <si>
    <t xml:space="preserve">8.12</t>
  </si>
  <si>
    <t xml:space="preserve">228392</t>
  </si>
  <si>
    <t xml:space="preserve">8.11</t>
  </si>
  <si>
    <t xml:space="preserve">228421</t>
  </si>
  <si>
    <t xml:space="preserve">8.09</t>
  </si>
  <si>
    <t xml:space="preserve">228423</t>
  </si>
  <si>
    <t xml:space="preserve">8.02</t>
  </si>
  <si>
    <t xml:space="preserve">228408</t>
  </si>
  <si>
    <t xml:space="preserve">228438</t>
  </si>
  <si>
    <t xml:space="preserve">7.35 + 1.46</t>
  </si>
  <si>
    <t xml:space="preserve">228409, 227979b</t>
  </si>
  <si>
    <t xml:space="preserve">7.35 + 1.45</t>
  </si>
  <si>
    <t xml:space="preserve">228413, 227983b</t>
  </si>
  <si>
    <t xml:space="preserve">7.35 + 1.39</t>
  </si>
  <si>
    <t xml:space="preserve">228410, 228008b</t>
  </si>
  <si>
    <t xml:space="preserve">228424, 227665b</t>
  </si>
  <si>
    <t xml:space="preserve">7.35 + 1.37</t>
  </si>
  <si>
    <t xml:space="preserve">228425, 227670b</t>
  </si>
  <si>
    <t xml:space="preserve">7.35</t>
  </si>
  <si>
    <t xml:space="preserve">228426</t>
  </si>
  <si>
    <t xml:space="preserve">228411</t>
  </si>
  <si>
    <t xml:space="preserve">228412</t>
  </si>
  <si>
    <t xml:space="preserve">228427</t>
  </si>
  <si>
    <t xml:space="preserve">228428</t>
  </si>
  <si>
    <t xml:space="preserve">228439</t>
  </si>
  <si>
    <t xml:space="preserve">228440</t>
  </si>
  <si>
    <t xml:space="preserve">228441</t>
  </si>
  <si>
    <t xml:space="preserve">228442</t>
  </si>
  <si>
    <t xml:space="preserve">228443</t>
  </si>
  <si>
    <t xml:space="preserve">228394</t>
  </si>
  <si>
    <t xml:space="preserve">228395</t>
  </si>
  <si>
    <t xml:space="preserve">228396</t>
  </si>
  <si>
    <t xml:space="preserve">228397</t>
  </si>
  <si>
    <t xml:space="preserve">228398</t>
  </si>
  <si>
    <t xml:space="preserve">6.12 + 2.59</t>
  </si>
  <si>
    <t xml:space="preserve">228011, 227663</t>
  </si>
  <si>
    <t xml:space="preserve">227668, 228006</t>
  </si>
  <si>
    <t xml:space="preserve">6.11 + 2.57</t>
  </si>
  <si>
    <t xml:space="preserve">227981, 227669</t>
  </si>
  <si>
    <t xml:space="preserve">6.10 + 2.54</t>
  </si>
  <si>
    <t xml:space="preserve">227985, 228012</t>
  </si>
  <si>
    <t xml:space="preserve">6.10 + 2.51</t>
  </si>
  <si>
    <t xml:space="preserve">228015, 227978</t>
  </si>
  <si>
    <t xml:space="preserve">6.06 + 2.47</t>
  </si>
  <si>
    <t xml:space="preserve">227672, 227982</t>
  </si>
  <si>
    <t xml:space="preserve">5.77 + 2.17</t>
  </si>
  <si>
    <t xml:space="preserve">227989, 227986</t>
  </si>
  <si>
    <t xml:space="preserve">227993, 227994</t>
  </si>
  <si>
    <t xml:space="preserve">5.71 + 2.17</t>
  </si>
  <si>
    <t xml:space="preserve">227666, 227990</t>
  </si>
  <si>
    <t xml:space="preserve">5.71 + 2.02</t>
  </si>
  <si>
    <t xml:space="preserve">228009, 227673</t>
  </si>
  <si>
    <t xml:space="preserve">227980, 227677</t>
  </si>
  <si>
    <t xml:space="preserve">5.70 + 2.02</t>
  </si>
  <si>
    <t xml:space="preserve">227984, 227681</t>
  </si>
  <si>
    <t xml:space="preserve">5.69 + 2.02</t>
  </si>
  <si>
    <t xml:space="preserve">228014, 228016</t>
  </si>
  <si>
    <t xml:space="preserve">5.66 + 2.02</t>
  </si>
  <si>
    <t xml:space="preserve">227671, 228020</t>
  </si>
  <si>
    <t xml:space="preserve">5.62 + 2.02 + 1.34</t>
  </si>
  <si>
    <t xml:space="preserve">228023, 228024, 228013b</t>
  </si>
  <si>
    <t xml:space="preserve">5.62</t>
  </si>
  <si>
    <t xml:space="preserve">228019</t>
  </si>
  <si>
    <t xml:space="preserve">227676</t>
  </si>
  <si>
    <t xml:space="preserve">227680</t>
  </si>
  <si>
    <t xml:space="preserve">5.12</t>
  </si>
  <si>
    <t xml:space="preserve">227675</t>
  </si>
  <si>
    <t xml:space="preserve">227679</t>
  </si>
  <si>
    <t xml:space="preserve">228018</t>
  </si>
  <si>
    <t xml:space="preserve">228022</t>
  </si>
  <si>
    <t xml:space="preserve">4.97</t>
  </si>
  <si>
    <t xml:space="preserve">227988</t>
  </si>
  <si>
    <t xml:space="preserve">227992</t>
  </si>
  <si>
    <t xml:space="preserve">1.62 + 1.62 + 1.62 + 1.62 + 1.62 + 0.70</t>
  </si>
  <si>
    <t xml:space="preserve">227162, 227162, 227162, 227162, 227162, 225212</t>
  </si>
  <si>
    <t xml:space="preserve">227162, 227162, 227162, 227162, 226895, 225212</t>
  </si>
  <si>
    <t xml:space="preserve">226895, 226895, 226895, 226895, 226895, 225212</t>
  </si>
  <si>
    <t xml:space="preserve">226895, 226895, 226895, 227163, 227163, 225212</t>
  </si>
  <si>
    <t xml:space="preserve">227163, 227163, 227163, 227163, 227163, 225212</t>
  </si>
  <si>
    <t xml:space="preserve">227163, 227163, 224950, 224950, 224950, 225212</t>
  </si>
  <si>
    <t xml:space="preserve">224950, 224950, 224950, 224950, 224950, 225212</t>
  </si>
  <si>
    <t xml:space="preserve">224950, 225381, 225381, 225381, 225381, 225212</t>
  </si>
  <si>
    <t xml:space="preserve">225381, 225381, 225381, 225381, 225381, 225212</t>
  </si>
  <si>
    <t xml:space="preserve">225791, 225791, 225791, 225791, 225791, 226413</t>
  </si>
  <si>
    <t xml:space="preserve">225791, 225791, 225791, 225791, 226894, 226413</t>
  </si>
  <si>
    <t xml:space="preserve">226894, 226894, 226894, 226894, 226894, 226413</t>
  </si>
  <si>
    <t xml:space="preserve">226894, 226894, 226894, 226408, 226408, 226413</t>
  </si>
  <si>
    <t xml:space="preserve">226408, 226408, 226408, 226408, 226408, 226413</t>
  </si>
  <si>
    <t xml:space="preserve">226408, 226408, 224951, 224951, 224951, 226413</t>
  </si>
  <si>
    <t xml:space="preserve">224951, 224951, 224951, 224951, 224951, 226413</t>
  </si>
  <si>
    <t xml:space="preserve">224951, 227410, 227410, 227410, 227410, 226413</t>
  </si>
  <si>
    <t xml:space="preserve">227410, 227410, 227410, 227410, 227410, 226413</t>
  </si>
  <si>
    <t xml:space="preserve">225198, 225198, 225198, 225198, 225198, 227422</t>
  </si>
  <si>
    <t xml:space="preserve">225198, 225198, 225198, 225198, 225382, 227422</t>
  </si>
  <si>
    <t xml:space="preserve">225382, 225382, 225382, 225382, 225382, 227422</t>
  </si>
  <si>
    <t xml:space="preserve">225382, 225382, 225382, 226103, 226103, 227422</t>
  </si>
  <si>
    <t xml:space="preserve">226103, 226103, 226103, 226103, 226103, 227422</t>
  </si>
  <si>
    <t xml:space="preserve">226103, 226103, 226103, 226253, 226253, 227422</t>
  </si>
  <si>
    <t xml:space="preserve">226253, 226253, 226253, 226253, 226253, 227422</t>
  </si>
  <si>
    <t xml:space="preserve">226253, 226253, 225945, 225945, 225945, 227422</t>
  </si>
  <si>
    <t xml:space="preserve">225945, 225945, 225945, 225945, 225945, 227422</t>
  </si>
  <si>
    <t xml:space="preserve">225945, 226570, 226570, 226570, 226570, 225794</t>
  </si>
  <si>
    <t xml:space="preserve">226570, 226570, 226570, 226570, 226570, 225794</t>
  </si>
  <si>
    <t xml:space="preserve">225629, 225629, 225629, 225629, 225629, 225794</t>
  </si>
  <si>
    <t xml:space="preserve">225629, 225629, 225629, 225629, 226724, 225794</t>
  </si>
  <si>
    <t xml:space="preserve">226724, 226724, 226724, 226724, 226724, 225794</t>
  </si>
  <si>
    <t xml:space="preserve">1.62 + 1.62 + 1.62 + 1.62 + 0.97 + 0.97 + 0.39</t>
  </si>
  <si>
    <t xml:space="preserve">226724, 226724, 226724, 226724, 227421, 227421, 224952</t>
  </si>
  <si>
    <t xml:space="preserve">0.97 + 0.97 + 0.97 + 0.97 + 0.97 + 0.97 + 0.97 + 0.97 + 0.97</t>
  </si>
  <si>
    <t xml:space="preserve">227421, 227421, 227421, 227421, 227421, 227421, 227421, 227421, 227421</t>
  </si>
  <si>
    <t xml:space="preserve">227421, 227421, 227421, 225793, 225793, 225793, 225793, 225793, 225793</t>
  </si>
  <si>
    <t xml:space="preserve">225793, 225793, 225793, 225793, 225793, 225793, 225793, 225793, 225211</t>
  </si>
  <si>
    <t xml:space="preserve">225211, 225211, 225211, 225211, 225211, 225211, 225211, 225211, 225211</t>
  </si>
  <si>
    <t xml:space="preserve">225211, 225211, 225211, 225211, 226726, 226726, 226726, 226726, 226726</t>
  </si>
  <si>
    <t xml:space="preserve">226726, 226726, 226726, 226726, 226726, 226726, 226726, 226726, 226726</t>
  </si>
  <si>
    <t xml:space="preserve">226726, 225635, 225635, 225635, 225635, 225635, 225635, 225635, 225635</t>
  </si>
  <si>
    <t xml:space="preserve">225635, 225635, 225635, 225635, 225635, 225635, 226412, 226412, 226412</t>
  </si>
  <si>
    <t xml:space="preserve">226412, 226412, 226412, 226412, 226412, 226412, 226412, 226412, 226412</t>
  </si>
  <si>
    <t xml:space="preserve">226412, 226412, 225948, 225948, 225948, 225948, 225948, 225948, 225948</t>
  </si>
  <si>
    <t xml:space="preserve">225948, 225948, 225948, 225948, 225948, 225948, 225948, 226572, 226572</t>
  </si>
  <si>
    <t xml:space="preserve">226572, 226572, 226572, 226572, 226572, 226572, 226572, 226572, 226572</t>
  </si>
  <si>
    <t xml:space="preserve">226572, 226572, 226572, 226257, 226257, 226257, 226257, 226257, 226257</t>
  </si>
  <si>
    <t xml:space="preserve">226257, 226257, 226257, 226257, 226257, 226257, 226257, 226257, 226105</t>
  </si>
  <si>
    <t xml:space="preserve">226105, 226105, 226105, 226105, 226105, 226105, 226105, 226105, 226105</t>
  </si>
  <si>
    <t xml:space="preserve">0.97 + 0.97 + 0.97 + 0.97 + 0.97 + 0.70 + 0.70 + 0.70 + 0.70 + 0.70 + 0.39</t>
  </si>
  <si>
    <t xml:space="preserve">226105, 226105, 226105, 226105, 226105, 225794, 225794, 225794, 225794, 225794, 224952</t>
  </si>
  <si>
    <t xml:space="preserve">0.70 + 0.70 + 0.70 + 0.70 + 0.70 + 0.70 + 0.70 + 0.70 + 0.70 + 0.70 + 0.70 + 0.70 + 0.39</t>
  </si>
  <si>
    <t xml:space="preserve">225794, 225949, 225949, 225949, 225949, 225949, 225949, 225949, 225949, 225949, 225949, 225949, 224952</t>
  </si>
  <si>
    <t xml:space="preserve">225949, 225949, 225949, 225636, 225636, 225636, 225636, 225636, 225636, 225636, 225636, 225636, 224952</t>
  </si>
  <si>
    <t xml:space="preserve">225636, 225636, 225636, 225636, 225636, 226106, 226106, 226106, 226106, 226106, 226106, 226106, 224952</t>
  </si>
  <si>
    <t xml:space="preserve">226106, 226106, 226106, 226106, 226106, 226106, 226106, 226106, 226258, 226258, 226258, 226258, 224952</t>
  </si>
  <si>
    <t xml:space="preserve">226258, 226258, 226258, 226258, 226258, 226258, 226258, 226258, 226258, 226258, 226573, 226573, 224952</t>
  </si>
  <si>
    <t xml:space="preserve">226573, 226573, 226573, 226573, 226573, 226573, 226573, 226573, 226573, 226573, 226573, 226573, 224952</t>
  </si>
  <si>
    <t xml:space="preserve">226727, 226727, 226727, 226727, 226727, 226727, 226727, 226727, 226727, 226727, 226727, 226727, 224952</t>
  </si>
  <si>
    <t xml:space="preserve">0.70 + 0.70 + 0.70 + 0.39 + 0.39 + 0.39 + 0.39 + 0.39 + 0.39 + 0.39 + 0.39 + 0.39 + 0.39 + 0.39 + 0.39 + 0.39 + 0.39 + 0.39 + 0.39 + 0.39</t>
  </si>
  <si>
    <t xml:space="preserve">226727, 226727, 226727, 224952, 224952, 224952, 224952, 224952, 224953, 224953, 224953, 224953, 224953, 224953, 224953, 224953, 224953, 224953, 224953, 224953</t>
  </si>
  <si>
    <t xml:space="preserve">0.39 + 0.39 + 0.39 + 0.39 + 0.39 + 0.39 + 0.39 + 0.39 + 0.39 + 0.39 + 0.39 + 0.39 + 0.39 + 0.39 + 0.39 + 0.39 + 0.39 + 0.39 + 0.39 + 0.39 + 0.39 + 0.39</t>
  </si>
  <si>
    <t xml:space="preserve">224953, 224953, 224954, 224954, 224954, 224954, 224954, 224954, 224954, 224954, 224954, 224954, 224954, 224954, 224954, 224954, 224955, 224955, 224955, 224955, 224955, 224955</t>
  </si>
  <si>
    <t xml:space="preserve">224955, 224955, 224955, 224955, 224955, 224955, 224955, 224955, 225383, 225383, 225383, 225383, 225383, 225383, 225383, 225383, 225383, 225383, 225383, 225383, 225383, 225383</t>
  </si>
  <si>
    <t xml:space="preserve">225384, 225384, 225384, 225384, 225384, 225384, 225384, 225384, 225384, 225384, 225384, 225384, 225384, 225384, 225385, 225385, 225385, 225385, 225385, 225385, 225385, 225385</t>
  </si>
  <si>
    <t xml:space="preserve">225385, 225385, 225385, 225385, 225385, 225385, 225386, 225386, 225386, 225386, 225386, 225386, 225386, 225386, 225386, 225386, 225386, 225386, 225386, 225386, 226896, 226896</t>
  </si>
  <si>
    <t xml:space="preserve">226896, 226896, 226896, 226896, 226896, 226896, 226896, 226896, 226896, 226896, 226896, 226896, 226897, 226897, 226897, 226897, 226897, 226897, 226897, 226897, 226897, 226897</t>
  </si>
  <si>
    <t xml:space="preserve">226897, 226897, 226897, 226897, 226898, 226898, 226898, 226898, 226898, 226898, 226898, 226898, 226898, 226898, 226898, 226898, 226898, 226898, 226899, 226899, 226899, 226899</t>
  </si>
  <si>
    <t xml:space="preserve">226899, 226899, 226899, 226899, 226899, 226899, 226899, 226899, 226899, 226899, 227164, 227164, 227164, 227164, 227164, 227164, 227164, 227164, 227164, 227164, 227164, 227164</t>
  </si>
  <si>
    <t xml:space="preserve">227164, 227164, 227165, 227165, 227165, 227165, 227165, 227165, 227165, 227165, 227165, 227165, 227165, 227165, 227165, 227165, 227166, 227166, 227166, 227166, 227166, 227166</t>
  </si>
  <si>
    <t xml:space="preserve">227166, 227166, 227166, 227166, 227166, 227166, 227166, 227166, 227167, 227167, 227167, 227167, 227167, 227167, 227167, 227167, 227167, 227167, 227167, 227167, 227167, 227167</t>
  </si>
  <si>
    <t xml:space="preserve">3.70 + 3.70</t>
  </si>
  <si>
    <t xml:space="preserve">227400, 226560</t>
  </si>
  <si>
    <t xml:space="preserve">3.70 + 3.67</t>
  </si>
  <si>
    <t xml:space="preserve">225935, 226398</t>
  </si>
  <si>
    <t xml:space="preserve">3.67 + 3.67</t>
  </si>
  <si>
    <t xml:space="preserve">226098, 225188</t>
  </si>
  <si>
    <t xml:space="preserve">225193, 225786</t>
  </si>
  <si>
    <t xml:space="preserve">226093, 226403</t>
  </si>
  <si>
    <t xml:space="preserve">226565, 226714</t>
  </si>
  <si>
    <t xml:space="preserve">226719, 227405</t>
  </si>
  <si>
    <t xml:space="preserve">225619, 225624</t>
  </si>
  <si>
    <t xml:space="preserve">226243, 226248</t>
  </si>
  <si>
    <t xml:space="preserve">225781, 225940</t>
  </si>
  <si>
    <t xml:space="preserve">3.82 + 3.82</t>
  </si>
  <si>
    <t xml:space="preserve">224882, 224927</t>
  </si>
  <si>
    <t xml:space="preserve">224937, 225153</t>
  </si>
  <si>
    <t xml:space="preserve">225168, 225173</t>
  </si>
  <si>
    <t xml:space="preserve">225341, 225351</t>
  </si>
  <si>
    <t xml:space="preserve">225741, 225761</t>
  </si>
  <si>
    <t xml:space="preserve">225900, 226363</t>
  </si>
  <si>
    <t xml:space="preserve">226383, 226520</t>
  </si>
  <si>
    <t xml:space="preserve">226844, 226854</t>
  </si>
  <si>
    <t xml:space="preserve">226864, 227092</t>
  </si>
  <si>
    <t xml:space="preserve">225316, 225361</t>
  </si>
  <si>
    <t xml:space="preserve">225910, 227122</t>
  </si>
  <si>
    <t xml:space="preserve">225579, 226078</t>
  </si>
  <si>
    <t xml:space="preserve">226223, 226824</t>
  </si>
  <si>
    <t xml:space="preserve">226829, 224897</t>
  </si>
  <si>
    <t xml:space="preserve">224907, 224917</t>
  </si>
  <si>
    <t xml:space="preserve">225311, 225589</t>
  </si>
  <si>
    <t xml:space="preserve">225599, 225604</t>
  </si>
  <si>
    <t xml:space="preserve">225930, 226053</t>
  </si>
  <si>
    <t xml:space="preserve">226063, 226073</t>
  </si>
  <si>
    <t xml:space="preserve">226203, 226213</t>
  </si>
  <si>
    <t xml:space="preserve">226228, 226535</t>
  </si>
  <si>
    <t xml:space="preserve">226555, 226674</t>
  </si>
  <si>
    <t xml:space="preserve">226684, 226694</t>
  </si>
  <si>
    <t xml:space="preserve">226699, 226874</t>
  </si>
  <si>
    <t xml:space="preserve">226884, 227112</t>
  </si>
  <si>
    <t xml:space="preserve">227132, 227360</t>
  </si>
  <si>
    <t xml:space="preserve">227370, 224877</t>
  </si>
  <si>
    <t xml:space="preserve">225148, 225331</t>
  </si>
  <si>
    <t xml:space="preserve">225371, 225746</t>
  </si>
  <si>
    <t xml:space="preserve">225766, 225895</t>
  </si>
  <si>
    <t xml:space="preserve">226358, 226378</t>
  </si>
  <si>
    <t xml:space="preserve">226525, 227097</t>
  </si>
  <si>
    <t xml:space="preserve">227142, 227152</t>
  </si>
  <si>
    <t xml:space="preserve">227375, 227395</t>
  </si>
  <si>
    <t xml:space="preserve">3.79 + 3.79</t>
  </si>
  <si>
    <t xml:space="preserve">224902, 226530</t>
  </si>
  <si>
    <t xml:space="preserve">226679, 225584</t>
  </si>
  <si>
    <t xml:space="preserve">226834, 227390</t>
  </si>
  <si>
    <t xml:space="preserve">225336, 225751</t>
  </si>
  <si>
    <t xml:space="preserve">224887, 225158</t>
  </si>
  <si>
    <t xml:space="preserve">225925, 226368</t>
  </si>
  <si>
    <t xml:space="preserve">226550, 226849</t>
  </si>
  <si>
    <t xml:space="preserve">227102, 227365</t>
  </si>
  <si>
    <t xml:space="preserve">226058, 225321</t>
  </si>
  <si>
    <t xml:space="preserve">225905, 226208</t>
  </si>
  <si>
    <t xml:space="preserve">3.79 + 3.77</t>
  </si>
  <si>
    <t xml:space="preserve">227117, 225594</t>
  </si>
  <si>
    <t xml:space="preserve">3.77 + 3.77</t>
  </si>
  <si>
    <t xml:space="preserve">225915, 226689</t>
  </si>
  <si>
    <t xml:space="preserve">227107, 224892</t>
  </si>
  <si>
    <t xml:space="preserve">225163, 226373</t>
  </si>
  <si>
    <t xml:space="preserve">226859, 225346</t>
  </si>
  <si>
    <t xml:space="preserve">225756, 227380</t>
  </si>
  <si>
    <t xml:space="preserve">224912, 225326</t>
  </si>
  <si>
    <t xml:space="preserve">226068, 226218</t>
  </si>
  <si>
    <t xml:space="preserve">226540, 226839</t>
  </si>
  <si>
    <t xml:space="preserve">3.77 + 3.75</t>
  </si>
  <si>
    <t xml:space="preserve">227127, 225366</t>
  </si>
  <si>
    <t xml:space="preserve">3.75 + 3.75</t>
  </si>
  <si>
    <t xml:space="preserve">226083, 226233</t>
  </si>
  <si>
    <t xml:space="preserve">227385, 225356</t>
  </si>
  <si>
    <t xml:space="preserve">226388, 226545</t>
  </si>
  <si>
    <t xml:space="preserve">224932, 225178</t>
  </si>
  <si>
    <t xml:space="preserve">225771, 225920</t>
  </si>
  <si>
    <t xml:space="preserve">226869, 227147</t>
  </si>
  <si>
    <t xml:space="preserve">225609, 226704</t>
  </si>
  <si>
    <t xml:space="preserve">226879, 227137</t>
  </si>
  <si>
    <t xml:space="preserve">3.75 + 3.73</t>
  </si>
  <si>
    <t xml:space="preserve">224922, 225776</t>
  </si>
  <si>
    <t xml:space="preserve">3.73 + 3.73</t>
  </si>
  <si>
    <t xml:space="preserve">224942, 227157</t>
  </si>
  <si>
    <t xml:space="preserve">226088, 226709</t>
  </si>
  <si>
    <t xml:space="preserve">225614, 226238</t>
  </si>
  <si>
    <t xml:space="preserve">225183, 225376</t>
  </si>
  <si>
    <t xml:space="preserve">226393, 226889</t>
  </si>
  <si>
    <t xml:space="preserve">7.60 + 0.86</t>
  </si>
  <si>
    <t xml:space="preserve">Losa</t>
  </si>
  <si>
    <t xml:space="preserve">229076, 229150</t>
  </si>
  <si>
    <t xml:space="preserve">229080, 229150</t>
  </si>
  <si>
    <t xml:space="preserve">229081, 229150</t>
  </si>
  <si>
    <t xml:space="preserve">229082, 229150</t>
  </si>
  <si>
    <t xml:space="preserve">229083, 229150</t>
  </si>
  <si>
    <t xml:space="preserve">229084, 229148</t>
  </si>
  <si>
    <t xml:space="preserve">229085, 229148</t>
  </si>
  <si>
    <t xml:space="preserve">229086, 229148</t>
  </si>
  <si>
    <t xml:space="preserve">229087, 229148</t>
  </si>
  <si>
    <t xml:space="preserve">229088, 229148</t>
  </si>
  <si>
    <t xml:space="preserve">229089, 229148</t>
  </si>
  <si>
    <t xml:space="preserve">229090, 229148</t>
  </si>
  <si>
    <t xml:space="preserve">229077, 229148</t>
  </si>
  <si>
    <t xml:space="preserve">229078, 229148</t>
  </si>
  <si>
    <t xml:space="preserve">229079, 229148</t>
  </si>
  <si>
    <t xml:space="preserve">229091, 229148</t>
  </si>
  <si>
    <t xml:space="preserve">229092, 229148</t>
  </si>
  <si>
    <t xml:space="preserve">7.08 + 0.86 + 0.86</t>
  </si>
  <si>
    <t xml:space="preserve">229044, 229148, 229148</t>
  </si>
  <si>
    <t xml:space="preserve">7.07 + 0.86 + 0.86</t>
  </si>
  <si>
    <t xml:space="preserve">229046, 229148, 229148</t>
  </si>
  <si>
    <t xml:space="preserve">229048, 229151, 229151</t>
  </si>
  <si>
    <t xml:space="preserve">229050, 229151, 229151</t>
  </si>
  <si>
    <t xml:space="preserve">229052, 229151, 229151</t>
  </si>
  <si>
    <t xml:space="preserve">229054, 229151, 229151</t>
  </si>
  <si>
    <t xml:space="preserve">229056, 229151, 229151</t>
  </si>
  <si>
    <t xml:space="preserve">229058, 229151, 229151</t>
  </si>
  <si>
    <t xml:space="preserve">229060, 229151, 229151</t>
  </si>
  <si>
    <t xml:space="preserve">229062, 229151, 229151</t>
  </si>
  <si>
    <t xml:space="preserve">229064, 229149, 229149</t>
  </si>
  <si>
    <t xml:space="preserve">229066, 229149, 229149</t>
  </si>
  <si>
    <t xml:space="preserve">229068, 229149, 229149</t>
  </si>
  <si>
    <t xml:space="preserve">229070, 229149, 229149</t>
  </si>
  <si>
    <t xml:space="preserve">229072, 229149, 229149</t>
  </si>
  <si>
    <t xml:space="preserve">229074, 229149, 229149</t>
  </si>
  <si>
    <t xml:space="preserve">229043, 229149, 229149</t>
  </si>
  <si>
    <t xml:space="preserve">7.05 + 0.86 + 0.86</t>
  </si>
  <si>
    <t xml:space="preserve">229041, 229153, 229153</t>
  </si>
  <si>
    <t xml:space="preserve">7.03 + 0.86 + 0.86</t>
  </si>
  <si>
    <t xml:space="preserve">229039, 229153, 229153</t>
  </si>
  <si>
    <t xml:space="preserve">7.02 + 0.86 + 0.86</t>
  </si>
  <si>
    <t xml:space="preserve">229037, 229153, 229153</t>
  </si>
  <si>
    <t xml:space="preserve">7.00 + 0.86 + 0.86</t>
  </si>
  <si>
    <t xml:space="preserve">229035, 229153, 229153</t>
  </si>
  <si>
    <t xml:space="preserve">6.98 + 0.86 + 0.86</t>
  </si>
  <si>
    <t xml:space="preserve">229033, 229153, 229153</t>
  </si>
  <si>
    <t xml:space="preserve">6.96 + 0.86 + 0.86</t>
  </si>
  <si>
    <t xml:space="preserve">229031, 229153, 229153</t>
  </si>
  <si>
    <t xml:space="preserve">6.94 + 0.86 + 0.86</t>
  </si>
  <si>
    <t xml:space="preserve">229029, 229153, 229153</t>
  </si>
  <si>
    <t xml:space="preserve">6.92</t>
  </si>
  <si>
    <t xml:space="preserve">229027</t>
  </si>
  <si>
    <t xml:space="preserve">6.90</t>
  </si>
  <si>
    <t xml:space="preserve">229025</t>
  </si>
  <si>
    <t xml:space="preserve">6.89</t>
  </si>
  <si>
    <t xml:space="preserve">229143</t>
  </si>
  <si>
    <t xml:space="preserve">6.88</t>
  </si>
  <si>
    <t xml:space="preserve">229023</t>
  </si>
  <si>
    <t xml:space="preserve">6.87</t>
  </si>
  <si>
    <t xml:space="preserve">229021</t>
  </si>
  <si>
    <t xml:space="preserve">6.85</t>
  </si>
  <si>
    <t xml:space="preserve">229019</t>
  </si>
  <si>
    <t xml:space="preserve">6.83</t>
  </si>
  <si>
    <t xml:space="preserve">229017</t>
  </si>
  <si>
    <t xml:space="preserve">6.81</t>
  </si>
  <si>
    <t xml:space="preserve">229015</t>
  </si>
  <si>
    <t xml:space="preserve">6.31</t>
  </si>
  <si>
    <t xml:space="preserve">229013</t>
  </si>
  <si>
    <t xml:space="preserve">6.30</t>
  </si>
  <si>
    <t xml:space="preserve">229012</t>
  </si>
  <si>
    <t xml:space="preserve">6.28</t>
  </si>
  <si>
    <t xml:space="preserve">229011</t>
  </si>
  <si>
    <t xml:space="preserve">6.26</t>
  </si>
  <si>
    <t xml:space="preserve">229010</t>
  </si>
  <si>
    <t xml:space="preserve">6.24</t>
  </si>
  <si>
    <t xml:space="preserve">229009</t>
  </si>
  <si>
    <t xml:space="preserve">6.22</t>
  </si>
  <si>
    <t xml:space="preserve">229008</t>
  </si>
  <si>
    <t xml:space="preserve">6.20</t>
  </si>
  <si>
    <t xml:space="preserve">229007</t>
  </si>
  <si>
    <t xml:space="preserve">5.53</t>
  </si>
  <si>
    <t xml:space="preserve">229131</t>
  </si>
  <si>
    <t xml:space="preserve">229133</t>
  </si>
  <si>
    <t xml:space="preserve">229135</t>
  </si>
  <si>
    <t xml:space="preserve">229137</t>
  </si>
  <si>
    <t xml:space="preserve">229139</t>
  </si>
  <si>
    <t xml:space="preserve">229105</t>
  </si>
  <si>
    <t xml:space="preserve">229107</t>
  </si>
  <si>
    <t xml:space="preserve">229109</t>
  </si>
  <si>
    <t xml:space="preserve">229111</t>
  </si>
  <si>
    <t xml:space="preserve">229113</t>
  </si>
  <si>
    <t xml:space="preserve">229115</t>
  </si>
  <si>
    <t xml:space="preserve">229117</t>
  </si>
  <si>
    <t xml:space="preserve">229119</t>
  </si>
  <si>
    <t xml:space="preserve">229121</t>
  </si>
  <si>
    <t xml:space="preserve">229123</t>
  </si>
  <si>
    <t xml:space="preserve">229125</t>
  </si>
  <si>
    <t xml:space="preserve">229127</t>
  </si>
  <si>
    <t xml:space="preserve">229129</t>
  </si>
  <si>
    <t xml:space="preserve">229141</t>
  </si>
  <si>
    <t xml:space="preserve">229093</t>
  </si>
  <si>
    <t xml:space="preserve">229095</t>
  </si>
  <si>
    <t xml:space="preserve">229097</t>
  </si>
  <si>
    <t xml:space="preserve">229099</t>
  </si>
  <si>
    <t xml:space="preserve">229101</t>
  </si>
  <si>
    <t xml:space="preserve">229103</t>
  </si>
  <si>
    <t xml:space="preserve">4.17 + 4.15</t>
  </si>
  <si>
    <t xml:space="preserve">229075, 229073</t>
  </si>
  <si>
    <t xml:space="preserve">4.14 + 4.12</t>
  </si>
  <si>
    <t xml:space="preserve">229071, 229069</t>
  </si>
  <si>
    <t xml:space="preserve">4.10 + 4.08</t>
  </si>
  <si>
    <t xml:space="preserve">229067, 229065</t>
  </si>
  <si>
    <t xml:space="preserve">4.06 + 4.04 + 0.86</t>
  </si>
  <si>
    <t xml:space="preserve">229063, 229061, 229154</t>
  </si>
  <si>
    <t xml:space="preserve">4.02 + 4.02 + 0.86</t>
  </si>
  <si>
    <t xml:space="preserve">229094, 229096, 229154</t>
  </si>
  <si>
    <t xml:space="preserve">229098, 229102, 229152</t>
  </si>
  <si>
    <t xml:space="preserve">229104, 229106, 229152</t>
  </si>
  <si>
    <t xml:space="preserve">229108, 229110, 229152</t>
  </si>
  <si>
    <t xml:space="preserve">229118, 229100, 229152</t>
  </si>
  <si>
    <t xml:space="preserve">229112, 229114, 229152</t>
  </si>
  <si>
    <t xml:space="preserve">229116, 229120, 229152</t>
  </si>
  <si>
    <t xml:space="preserve">229122, 229124, 229152</t>
  </si>
  <si>
    <t xml:space="preserve">229126, 229128, 229152</t>
  </si>
  <si>
    <t xml:space="preserve">229130, 229132, 229152</t>
  </si>
  <si>
    <t xml:space="preserve">229134, 229136, 229152</t>
  </si>
  <si>
    <t xml:space="preserve">229138, 229140, 229152</t>
  </si>
  <si>
    <t xml:space="preserve">229142, 229059, 229152</t>
  </si>
  <si>
    <t xml:space="preserve">4.00 + 3.99 + 0.86</t>
  </si>
  <si>
    <t xml:space="preserve">229057, 229055, 229152</t>
  </si>
  <si>
    <t xml:space="preserve">3.97 + 3.95 + 0.86</t>
  </si>
  <si>
    <t xml:space="preserve">229053, 229051, 229152</t>
  </si>
  <si>
    <t xml:space="preserve">3.93 + 3.91 + 0.86</t>
  </si>
  <si>
    <t xml:space="preserve">229049, 229047, 229150</t>
  </si>
  <si>
    <t xml:space="preserve">3.89 + 3.88 + 0.86</t>
  </si>
  <si>
    <t xml:space="preserve">229045, 229014, 229150</t>
  </si>
  <si>
    <t xml:space="preserve">3.88 + 3.88 + 0.86</t>
  </si>
  <si>
    <t xml:space="preserve">229016, 229018, 229150</t>
  </si>
  <si>
    <t xml:space="preserve">229020, 229022, 229150</t>
  </si>
  <si>
    <t xml:space="preserve">229024, 229026, 229150</t>
  </si>
  <si>
    <t xml:space="preserve">229028, 229030, 229150</t>
  </si>
  <si>
    <t xml:space="preserve">229032, 229034, 229150</t>
  </si>
  <si>
    <t xml:space="preserve">229036, 229038, 229150</t>
  </si>
  <si>
    <t xml:space="preserve">229040, 229042, 229150</t>
  </si>
  <si>
    <t xml:space="preserve">3.59</t>
  </si>
  <si>
    <t xml:space="preserve">229144</t>
  </si>
  <si>
    <t xml:space="preserve">4.04 + 4.04 + 0.70</t>
  </si>
  <si>
    <t xml:space="preserve">Columnas, Escalera</t>
  </si>
  <si>
    <t xml:space="preserve">231393, 231388, 227443</t>
  </si>
  <si>
    <t xml:space="preserve">231389, 231390, 227443</t>
  </si>
  <si>
    <t xml:space="preserve">231391, 231392, 227443</t>
  </si>
  <si>
    <t xml:space="preserve">3.94 + 3.94 + 1.05</t>
  </si>
  <si>
    <t xml:space="preserve">231396, 231394, 231402</t>
  </si>
  <si>
    <t xml:space="preserve">231399, 231397, 231403</t>
  </si>
  <si>
    <t xml:space="preserve">231398, 231395, 231404</t>
  </si>
  <si>
    <t xml:space="preserve">3.54 + 3.54 + 1.87</t>
  </si>
  <si>
    <t xml:space="preserve">228940, 228942, 228914</t>
  </si>
  <si>
    <t xml:space="preserve">228944, 228926, 228916</t>
  </si>
  <si>
    <t xml:space="preserve">228928, 228930, 228906</t>
  </si>
  <si>
    <t xml:space="preserve">228932, 228934, 228910</t>
  </si>
  <si>
    <t xml:space="preserve">228936, 228938, 228908</t>
  </si>
  <si>
    <t xml:space="preserve">228918, 228920, 228912</t>
  </si>
  <si>
    <t xml:space="preserve">228922, 228924, 228902</t>
  </si>
  <si>
    <t xml:space="preserve">3.04 + 3.04 + 2.23 + 0.39</t>
  </si>
  <si>
    <t xml:space="preserve">Columnas, Escalera, Losa</t>
  </si>
  <si>
    <t xml:space="preserve">231335, 231340, 228953, 224995</t>
  </si>
  <si>
    <t xml:space="preserve">231336, 231337, 228955, 224995</t>
  </si>
  <si>
    <t xml:space="preserve">231338, 231339, 228957, 224996</t>
  </si>
  <si>
    <t xml:space="preserve">2.98 + 2.98 + 2.98</t>
  </si>
  <si>
    <t xml:space="preserve">231341, 231343, 231344</t>
  </si>
  <si>
    <t xml:space="preserve">231345, 231346, 231342</t>
  </si>
  <si>
    <t xml:space="preserve">2.23 + 2.23 + 2.23 + 2.23</t>
  </si>
  <si>
    <t xml:space="preserve">228959, 228961, 228965, 228967</t>
  </si>
  <si>
    <t xml:space="preserve">228969, 228963, 228971, 228979</t>
  </si>
  <si>
    <t xml:space="preserve">228981, 228985, 228991, 228993</t>
  </si>
  <si>
    <t xml:space="preserve">228973, 228975, 228983, 228987</t>
  </si>
  <si>
    <t xml:space="preserve">2.23 + 2.23 + 2.23 + 2.17</t>
  </si>
  <si>
    <t xml:space="preserve">Escalera, Losa</t>
  </si>
  <si>
    <t xml:space="preserve">228989, 228997, 228977, 231366</t>
  </si>
  <si>
    <t xml:space="preserve">2.17 + 2.17 + 2.17 + 2.17</t>
  </si>
  <si>
    <t xml:space="preserve">231371, 231382, 231386, 231387</t>
  </si>
  <si>
    <t xml:space="preserve">231367, 231368, 231369, 231370</t>
  </si>
  <si>
    <t xml:space="preserve">2.17 + 2.16 + 2.16 + 2.08 + 0.39</t>
  </si>
  <si>
    <t xml:space="preserve">231383, 231384, 231385, 228913, 224958</t>
  </si>
  <si>
    <t xml:space="preserve">2.08 + 2.08 + 2.08 + 2.08 + 0.39</t>
  </si>
  <si>
    <t xml:space="preserve">Columnas, Losa</t>
  </si>
  <si>
    <t xml:space="preserve">228915, 228905, 228907, 228909, 224995</t>
  </si>
  <si>
    <t xml:space="preserve">2.08 + 2.08 + 2.08 + 2.02 + 0.70</t>
  </si>
  <si>
    <t xml:space="preserve">228911, 228903, 228901, 228954, 226419</t>
  </si>
  <si>
    <t xml:space="preserve">2.02 + 2.02 + 2.02 + 2.02 + 0.70</t>
  </si>
  <si>
    <t xml:space="preserve">228956, 228958, 228960, 228962, 227440</t>
  </si>
  <si>
    <t xml:space="preserve">228964, 228966, 228968, 228970, 227440</t>
  </si>
  <si>
    <t xml:space="preserve">228972, 228995, 228996, 228974, 227443</t>
  </si>
  <si>
    <t xml:space="preserve">228976, 228978, 228980, 228982, 227443</t>
  </si>
  <si>
    <t xml:space="preserve">228984, 228986, 228988, 228990, 227443</t>
  </si>
  <si>
    <t xml:space="preserve">2.02 + 2.02 + 2.02 + 1.87 + 1.05</t>
  </si>
  <si>
    <t xml:space="preserve">228992, 228994, 228998, 228904, 231400</t>
  </si>
  <si>
    <t xml:space="preserve">227168, 227174, 227174, 227174, 227174, 226419</t>
  </si>
  <si>
    <t xml:space="preserve">227174, 227174, 227180, 227180, 227186, 226419</t>
  </si>
  <si>
    <t xml:space="preserve">227186, 227186, 227186, 227186, 227186, 226419</t>
  </si>
  <si>
    <t xml:space="preserve">227186, 227186, 227192, 227192, 227198, 226419</t>
  </si>
  <si>
    <t xml:space="preserve">227198, 227204, 227204, 227204, 227204, 226422</t>
  </si>
  <si>
    <t xml:space="preserve">227204, 227204, 227210, 226901, 226907, 226422</t>
  </si>
  <si>
    <t xml:space="preserve">226907, 226907, 226907, 226907, 226907, 226425</t>
  </si>
  <si>
    <t xml:space="preserve">226913, 226913, 226919, 226919, 226919, 226425</t>
  </si>
  <si>
    <t xml:space="preserve">226919, 226919, 226919, 226919, 226919, 226425</t>
  </si>
  <si>
    <t xml:space="preserve">226925, 226925, 226931, 226931, 226937, 226425</t>
  </si>
  <si>
    <t xml:space="preserve">226937, 226937, 226937, 226937, 226937, 226425</t>
  </si>
  <si>
    <t xml:space="preserve">226943, 227169, 227175, 227175, 227175, 226425</t>
  </si>
  <si>
    <t xml:space="preserve">227175, 227175, 227175, 227181, 227181, 226425</t>
  </si>
  <si>
    <t xml:space="preserve">227187, 227187, 227187, 227187, 227187, 226425</t>
  </si>
  <si>
    <t xml:space="preserve">227187, 227187, 227187, 227193, 227193, 226428</t>
  </si>
  <si>
    <t xml:space="preserve">227199, 227199, 227205, 227205, 227205, 226428</t>
  </si>
  <si>
    <t xml:space="preserve">227205, 227205, 227205, 227211, 224962, 226431</t>
  </si>
  <si>
    <t xml:space="preserve">224962, 224962, 224962, 224962, 224962, 226431</t>
  </si>
  <si>
    <t xml:space="preserve">224992, 224992, 224992, 224992, 224992, 226434</t>
  </si>
  <si>
    <t xml:space="preserve">224992, 225393, 225393, 225393, 225393, 226434</t>
  </si>
  <si>
    <t xml:space="preserve">225393, 225393, 225423, 225423, 225423, 226434</t>
  </si>
  <si>
    <t xml:space="preserve">225423, 225423, 225423, 224956, 224968, 226434</t>
  </si>
  <si>
    <t xml:space="preserve">224968, 224974, 224974, 224974, 224974, 226434</t>
  </si>
  <si>
    <t xml:space="preserve">224974, 224974, 224974, 224974, 224980, 226434</t>
  </si>
  <si>
    <t xml:space="preserve">224980, 224986, 224986, 224998, 225387, 226440</t>
  </si>
  <si>
    <t xml:space="preserve">225399, 225399, 225405, 225405, 225405, 225215</t>
  </si>
  <si>
    <t xml:space="preserve">225405, 225405, 225405, 225405, 225405, 225218</t>
  </si>
  <si>
    <t xml:space="preserve">225411, 225411, 225417, 225417, 225429, 225218</t>
  </si>
  <si>
    <t xml:space="preserve">225795, 225798, 225798, 225798, 225798, 225218</t>
  </si>
  <si>
    <t xml:space="preserve">225798, 225798, 225801, 225801, 225804, 225218</t>
  </si>
  <si>
    <t xml:space="preserve">225804, 225804, 225804, 225804, 225804, 225218</t>
  </si>
  <si>
    <t xml:space="preserve">225804, 225804, 225807, 225807, 225810, 225218</t>
  </si>
  <si>
    <t xml:space="preserve">225810, 225813, 225813, 225813, 225813, 225221</t>
  </si>
  <si>
    <t xml:space="preserve">225813, 225813, 225816, 226417, 226417, 225221</t>
  </si>
  <si>
    <t xml:space="preserve">226417, 226417, 226417, 226417, 226432, 225224</t>
  </si>
  <si>
    <t xml:space="preserve">226432, 226432, 226432, 226432, 226432, 225224</t>
  </si>
  <si>
    <t xml:space="preserve">226900, 226906, 226906, 226906, 226906, 225224</t>
  </si>
  <si>
    <t xml:space="preserve">226906, 226906, 226912, 226912, 226918, 225224</t>
  </si>
  <si>
    <t xml:space="preserve">226918, 226918, 226918, 226918, 226918, 225224</t>
  </si>
  <si>
    <t xml:space="preserve">226918, 226918, 226924, 226924, 226930, 225224</t>
  </si>
  <si>
    <t xml:space="preserve">226930, 226936, 226936, 226936, 226936, 225224</t>
  </si>
  <si>
    <t xml:space="preserve">226936, 226936, 226942, 227426, 227426, 225224</t>
  </si>
  <si>
    <t xml:space="preserve">227426, 227426, 227426, 227426, 227441, 225227</t>
  </si>
  <si>
    <t xml:space="preserve">227441, 227441, 227441, 227441, 227441, 225227</t>
  </si>
  <si>
    <t xml:space="preserve">226414, 226420, 226420, 226423, 226423, 225230</t>
  </si>
  <si>
    <t xml:space="preserve">226423, 226423, 226423, 226423, 226423, 225230</t>
  </si>
  <si>
    <t xml:space="preserve">226423, 226426, 226426, 226429, 226429, 225233</t>
  </si>
  <si>
    <t xml:space="preserve">226435, 227423, 227429, 227429, 227432, 225233</t>
  </si>
  <si>
    <t xml:space="preserve">227432, 227432, 227432, 227432, 227432, 225233</t>
  </si>
  <si>
    <t xml:space="preserve">227432, 227432, 227435, 227435, 227438, 225233</t>
  </si>
  <si>
    <t xml:space="preserve">227438, 227444, 225213, 225216, 225216, 225233</t>
  </si>
  <si>
    <t xml:space="preserve">225216, 225216, 225216, 225216, 225219, 225233</t>
  </si>
  <si>
    <t xml:space="preserve">225219, 225222, 225222, 225222, 225222, 225236</t>
  </si>
  <si>
    <t xml:space="preserve">225222, 225222, 225222, 225222, 225225, 225797</t>
  </si>
  <si>
    <t xml:space="preserve">225225, 225228, 225228, 225231, 225231, 225800</t>
  </si>
  <si>
    <t xml:space="preserve">225231, 225231, 225231, 225231, 225234, 225800</t>
  </si>
  <si>
    <t xml:space="preserve">224957, 224963, 224963, 224963, 224963, 225800</t>
  </si>
  <si>
    <t xml:space="preserve">224963, 224963, 224969, 224969, 224975, 225800</t>
  </si>
  <si>
    <t xml:space="preserve">224975, 224975, 224975, 224975, 224975, 225800</t>
  </si>
  <si>
    <t xml:space="preserve">224975, 224975, 224981, 224981, 224987, 225800</t>
  </si>
  <si>
    <t xml:space="preserve">224987, 224993, 224993, 224993, 224993, 225803</t>
  </si>
  <si>
    <t xml:space="preserve">224993, 224993, 224999, 225394, 225394, 225803</t>
  </si>
  <si>
    <t xml:space="preserve">225394, 225394, 225394, 225394, 225424, 225806</t>
  </si>
  <si>
    <t xml:space="preserve">225424, 225424, 225424, 225424, 225424, 225806</t>
  </si>
  <si>
    <t xml:space="preserve">225388, 225400, 225400, 225406, 225406, 225806</t>
  </si>
  <si>
    <t xml:space="preserve">225406, 225406, 225406, 225406, 225406, 225806</t>
  </si>
  <si>
    <t xml:space="preserve">225406, 225412, 225412, 225418, 225418, 225806</t>
  </si>
  <si>
    <t xml:space="preserve">225430, 226107, 226113, 226113, 226116, 225806</t>
  </si>
  <si>
    <t xml:space="preserve">226116, 226116, 226116, 226116, 226116, 225806</t>
  </si>
  <si>
    <t xml:space="preserve">226116, 226116, 226119, 226119, 226122, 225806</t>
  </si>
  <si>
    <t xml:space="preserve">226122, 226128, 226110, 226110, 226110, 225809</t>
  </si>
  <si>
    <t xml:space="preserve">226110, 226110, 226110, 226125, 226125, 225809</t>
  </si>
  <si>
    <t xml:space="preserve">226125, 226125, 226125, 226125, 225950, 225812</t>
  </si>
  <si>
    <t xml:space="preserve">225956, 225956, 225959, 225959, 225959, 225812</t>
  </si>
  <si>
    <t xml:space="preserve">225959, 225959, 225959, 225959, 225959, 225815</t>
  </si>
  <si>
    <t xml:space="preserve">225962, 225962, 225965, 225965, 225971, 225815</t>
  </si>
  <si>
    <t xml:space="preserve">225953, 225953, 225953, 225953, 225953, 225815</t>
  </si>
  <si>
    <t xml:space="preserve">225953, 225968, 225968, 225968, 225968, 225815</t>
  </si>
  <si>
    <t xml:space="preserve">225968, 225968, 226574, 226577, 226577, 225815</t>
  </si>
  <si>
    <t xml:space="preserve">226577, 226577, 226577, 226577, 226580, 225815</t>
  </si>
  <si>
    <t xml:space="preserve">226580, 226583, 226583, 226583, 226583, 225819</t>
  </si>
  <si>
    <t xml:space="preserve">226583, 226583, 226583, 226583, 226586, 227425</t>
  </si>
  <si>
    <t xml:space="preserve">226586, 226589, 226589, 226592, 226592, 227428</t>
  </si>
  <si>
    <t xml:space="preserve">226592, 226592, 226592, 226592, 226595, 227428</t>
  </si>
  <si>
    <t xml:space="preserve">226259, 226262, 226262, 226262, 226262, 227428</t>
  </si>
  <si>
    <t xml:space="preserve">226262, 226262, 226265, 226265, 226268, 227428</t>
  </si>
  <si>
    <t xml:space="preserve">226268, 226268, 226268, 226268, 226268, 227428</t>
  </si>
  <si>
    <t xml:space="preserve">226268, 226268, 226271, 226271, 226274, 227428</t>
  </si>
  <si>
    <t xml:space="preserve">226274, 226277, 226277, 226277, 226277, 227431</t>
  </si>
  <si>
    <t xml:space="preserve">226277, 226277, 226280, 225637, 225640, 227431</t>
  </si>
  <si>
    <t xml:space="preserve">225640, 225640, 225640, 225640, 225640, 227434</t>
  </si>
  <si>
    <t xml:space="preserve">225643, 225643, 225646, 225646, 225646, 227434</t>
  </si>
  <si>
    <t xml:space="preserve">225646, 225646, 225646, 225646, 225646, 227434</t>
  </si>
  <si>
    <t xml:space="preserve">225649, 225649, 225652, 225652, 225655, 227434</t>
  </si>
  <si>
    <t xml:space="preserve">225655, 225655, 225655, 225655, 225655, 227434</t>
  </si>
  <si>
    <t xml:space="preserve">225658, 226728, 226731, 226731, 226731, 227434</t>
  </si>
  <si>
    <t xml:space="preserve">226731, 226731, 226731, 226734, 226734, 227434</t>
  </si>
  <si>
    <t xml:space="preserve">226737, 226737, 226737, 226737, 226737, 227434</t>
  </si>
  <si>
    <t xml:space="preserve">226737, 226737, 226737, 226740, 226740, 227437</t>
  </si>
  <si>
    <t xml:space="preserve">226743, 226743, 226746, 226746, 226746, 227437</t>
  </si>
  <si>
    <t xml:space="preserve">1.62 + 1.62 + 1.62 + 1.62 + 1.42 + 1.05</t>
  </si>
  <si>
    <t xml:space="preserve">Columnas, Escalera, Vigas</t>
  </si>
  <si>
    <t xml:space="preserve">226746, 226746, 226746, 226749, 228105, 231401</t>
  </si>
  <si>
    <t xml:space="preserve">1.42 + 1.42 + 1.42 + 1.42 + 1.42 + 1.42 + 0.39</t>
  </si>
  <si>
    <t xml:space="preserve">Columnas, Vigas</t>
  </si>
  <si>
    <t xml:space="preserve">228105, 228105, 228105, 228105, 228105, 228106, 224959</t>
  </si>
  <si>
    <t xml:space="preserve">228106, 228106, 228106, 228106, 228106, 228106, 224960</t>
  </si>
  <si>
    <t xml:space="preserve">228106, 228106, 228106, 228106, 228106, 227655, 224961</t>
  </si>
  <si>
    <t xml:space="preserve">227655, 227656, 227656, 227656, 227656, 227656, 224964</t>
  </si>
  <si>
    <t xml:space="preserve">227656, 227656, 227656, 227656, 227656, 227658, 224964</t>
  </si>
  <si>
    <t xml:space="preserve">227658, 227658, 227659, 227659, 227659, 227659, 224964</t>
  </si>
  <si>
    <t xml:space="preserve">227659, 227659, 227659, 227659, 227659, 227659, 224964</t>
  </si>
  <si>
    <t xml:space="preserve">227721, 227721, 227721, 227721, 227721, 227721, 224964</t>
  </si>
  <si>
    <t xml:space="preserve">227721, 227721, 227721, 227721, 227722, 227722, 224964</t>
  </si>
  <si>
    <t xml:space="preserve">227722, 227722, 227722, 227722, 227722, 227722, 224965</t>
  </si>
  <si>
    <t xml:space="preserve">227722, 227722, 227724, 227724, 227724, 227724, 224965</t>
  </si>
  <si>
    <t xml:space="preserve">227724, 227724, 227724, 227724, 227724, 227724, 224965</t>
  </si>
  <si>
    <t xml:space="preserve">227725, 227725, 227725, 227725, 227725, 227725, 224965</t>
  </si>
  <si>
    <t xml:space="preserve">227725, 227725, 227725, 227725, 227727, 227727, 224965</t>
  </si>
  <si>
    <t xml:space="preserve">227727, 227727, 227727, 227727, 227727, 227727, 224965</t>
  </si>
  <si>
    <t xml:space="preserve">227727, 227727, 227728, 227728, 227728, 227728, 224966</t>
  </si>
  <si>
    <t xml:space="preserve">227728, 227728, 227728, 227728, 227728, 227728, 224966</t>
  </si>
  <si>
    <t xml:space="preserve">227752, 227752, 227752, 227752, 227752, 227752, 224966</t>
  </si>
  <si>
    <t xml:space="preserve">227752, 227752, 227752, 227752, 227754, 227754, 224966</t>
  </si>
  <si>
    <t xml:space="preserve">227754, 227754, 227754, 227754, 227754, 227754, 224966</t>
  </si>
  <si>
    <t xml:space="preserve">227754, 227754, 227756, 227756, 227756, 227758, 224966</t>
  </si>
  <si>
    <t xml:space="preserve">227758, 227758, 227758, 227758, 227758, 227758, 224967</t>
  </si>
  <si>
    <t xml:space="preserve">227758, 227758, 227758, 227750, 227750, 227750, 224967</t>
  </si>
  <si>
    <t xml:space="preserve">227750, 227750, 227750, 227750, 227750, 227750, 224967</t>
  </si>
  <si>
    <t xml:space="preserve">227750, 227753, 227753, 227755, 227755, 227755, 224967</t>
  </si>
  <si>
    <t xml:space="preserve">227755, 227755, 227755, 227755, 227755, 227755, 224967</t>
  </si>
  <si>
    <t xml:space="preserve">227755, 227757, 227757, 227757, 227757, 227757, 224967</t>
  </si>
  <si>
    <t xml:space="preserve">227757, 227757, 227757, 227757, 227757, 227759, 224970</t>
  </si>
  <si>
    <t xml:space="preserve">227759, 227759, 227759, 227699, 227699, 227699, 224970</t>
  </si>
  <si>
    <t xml:space="preserve">227699, 227699, 227699, 227699, 227699, 227699, 224971</t>
  </si>
  <si>
    <t xml:space="preserve">227653, 227653, 227653, 227653, 227653, 227653, 224972</t>
  </si>
  <si>
    <t xml:space="preserve">227653, 227653, 227653, 227653, 227654, 227654, 224972</t>
  </si>
  <si>
    <t xml:space="preserve">227654, 227654, 227654, 227654, 227654, 227654, 224973</t>
  </si>
  <si>
    <t xml:space="preserve">227654, 227654, 227657, 227657, 227657, 227657, 224973</t>
  </si>
  <si>
    <t xml:space="preserve">227657, 227657, 227657, 227657, 227657, 227657, 224976</t>
  </si>
  <si>
    <t xml:space="preserve">227660, 227660, 227660, 227660, 227660, 227660, 224976</t>
  </si>
  <si>
    <t xml:space="preserve">227660, 227660, 227660, 227660, 227661, 227661, 224976</t>
  </si>
  <si>
    <t xml:space="preserve">227661, 227661, 227723, 227723, 227723, 227723, 224976</t>
  </si>
  <si>
    <t xml:space="preserve">227726, 227726, 227726, 227726, 227729, 227729, 224976</t>
  </si>
  <si>
    <t xml:space="preserve">227729, 227729, 227729, 227729, 228080, 228080, 224976</t>
  </si>
  <si>
    <t xml:space="preserve">228080, 228080, 228080, 228080, 228080, 228080, 224976</t>
  </si>
  <si>
    <t xml:space="preserve">228080, 228080, 228080, 228080, 228080, 228080, 224977</t>
  </si>
  <si>
    <t xml:space="preserve">228102, 228102, 228102, 228102, 228102, 228102, 224977</t>
  </si>
  <si>
    <t xml:space="preserve">228131, 228131, 228131, 228131, 228131, 228131, 224977</t>
  </si>
  <si>
    <t xml:space="preserve">228152, 228152, 228152, 228152, 228152, 228152, 224977</t>
  </si>
  <si>
    <t xml:space="preserve">228153, 228153, 228153, 228153, 228153, 228153, 224977</t>
  </si>
  <si>
    <t xml:space="preserve">228153, 228153, 228153, 228153, 228153, 228153, 224978</t>
  </si>
  <si>
    <t xml:space="preserve">228153, 228153, 228077, 228077, 228077, 228077, 224978</t>
  </si>
  <si>
    <t xml:space="preserve">228077, 228077, 228077, 228077, 228077, 228077, 224978</t>
  </si>
  <si>
    <t xml:space="preserve">228078, 228078, 228078, 228078, 228078, 228078, 224978</t>
  </si>
  <si>
    <t xml:space="preserve">228078, 228078, 228078, 228078, 228079, 228079, 224978</t>
  </si>
  <si>
    <t xml:space="preserve">228079, 228079, 228079, 228100, 228100, 228100, 224978</t>
  </si>
  <si>
    <t xml:space="preserve">228100, 228100, 228100, 228100, 228100, 228100, 224978</t>
  </si>
  <si>
    <t xml:space="preserve">228100, 228101, 228101, 228101, 228101, 228101, 224979</t>
  </si>
  <si>
    <t xml:space="preserve">228101, 228101, 228101, 228101, 228101, 228103, 224979</t>
  </si>
  <si>
    <t xml:space="preserve">228103, 228103, 228103, 228103, 228103, 228103, 224979</t>
  </si>
  <si>
    <t xml:space="preserve">228103, 228103, 228103, 228104, 228104, 228104, 224979</t>
  </si>
  <si>
    <t xml:space="preserve">228104, 228104, 228104, 228104, 228104, 228104, 224979</t>
  </si>
  <si>
    <t xml:space="preserve">228104, 228125, 228125, 228125, 228125, 228125, 224979</t>
  </si>
  <si>
    <t xml:space="preserve">228125, 228125, 228125, 228125, 228125, 228126, 224979</t>
  </si>
  <si>
    <t xml:space="preserve">228126, 228126, 228126, 228126, 228126, 228126, 224979</t>
  </si>
  <si>
    <t xml:space="preserve">228126, 228126, 228126, 228127, 228127, 228127, 224982</t>
  </si>
  <si>
    <t xml:space="preserve">228127, 228127, 228128, 228128, 228128, 228128, 224982</t>
  </si>
  <si>
    <t xml:space="preserve">228128, 228128, 228128, 228128, 228128, 228128, 224983</t>
  </si>
  <si>
    <t xml:space="preserve">228129, 228129, 228129, 228129, 228129, 228129, 224983</t>
  </si>
  <si>
    <t xml:space="preserve">228129, 228129, 228129, 228129, 228130, 228130, 224984</t>
  </si>
  <si>
    <t xml:space="preserve">228130, 228130, 228130, 228150, 228150, 228150, 224984</t>
  </si>
  <si>
    <t xml:space="preserve">228150, 228150, 228150, 228150, 228150, 228150, 224985</t>
  </si>
  <si>
    <t xml:space="preserve">228150, 228151, 228151, 228151, 228151, 228151, 224985</t>
  </si>
  <si>
    <t xml:space="preserve">1.42 + 1.42 + 1.42 + 1.42 + 1.42 + 1.20 + 0.70</t>
  </si>
  <si>
    <t xml:space="preserve">228151, 228151, 228151, 228151, 228151, 231362, 226416</t>
  </si>
  <si>
    <t xml:space="preserve">1.20 + 1.20 + 1.20 + 1.20 + 1.20 + 1.20 + 1.20 + 0.39</t>
  </si>
  <si>
    <t xml:space="preserve">231358, 231359, 231361, 231363, 231356, 231360, 231365, 224989</t>
  </si>
  <si>
    <t xml:space="preserve">1.20 + 1.20 + 1.15 + 1.15 + 1.15 + 1.15 + 1.15 + 0.70</t>
  </si>
  <si>
    <t xml:space="preserve">231357, 231364, 231379, 231373, 231374, 231375, 231376, 226419</t>
  </si>
  <si>
    <t xml:space="preserve">1.15 + 1.15 + 1.15 + 1.15 + 1.15 + 1.05 + 1.05 + 1.05</t>
  </si>
  <si>
    <t xml:space="preserve">231378, 231380, 231381, 231377, 231372, 231405, 231406, 231408</t>
  </si>
  <si>
    <t xml:space="preserve">1.05 + 1.05 + 1.05 + 1.05 + 1.05 + 1.05 + 1.05 + 1.05 + 0.39</t>
  </si>
  <si>
    <t xml:space="preserve">231409, 231411, 231412, 231414, 231407, 231410, 231413, 231349, 224988</t>
  </si>
  <si>
    <t xml:space="preserve">231350, 231347, 231352, 231355, 231351, 231353, 231348, 231354, 224989</t>
  </si>
  <si>
    <t xml:space="preserve">1.02 + 1.02 + 1.02 + 1.02 + 1.02 + 1.02 + 0.97 + 0.97 + 0.70</t>
  </si>
  <si>
    <t xml:space="preserve">228877, 228879, 228878, 228880, 228882, 228881, 225796, 225799, 227446</t>
  </si>
  <si>
    <t xml:space="preserve">225799, 225799, 225799, 225799, 225799, 225802, 225802, 225805, 225805</t>
  </si>
  <si>
    <t xml:space="preserve">225805, 225805, 225805, 225805, 225805, 225805, 225808, 225808, 225811</t>
  </si>
  <si>
    <t xml:space="preserve">225811, 225814, 225814, 225814, 225814, 225814, 225814, 225818, 226575</t>
  </si>
  <si>
    <t xml:space="preserve">226578, 226578, 226578, 226578, 226578, 226578, 226581, 226581, 226584</t>
  </si>
  <si>
    <t xml:space="preserve">226584, 226584, 226584, 226584, 226584, 226584, 226584, 226587, 226587</t>
  </si>
  <si>
    <t xml:space="preserve">226590, 226590, 226593, 226593, 226593, 226593, 226593, 226593, 226597</t>
  </si>
  <si>
    <t xml:space="preserve">227424, 227430, 227430, 227433, 227433, 227433, 227433, 227433, 227433</t>
  </si>
  <si>
    <t xml:space="preserve">227433, 227433, 227436, 227436, 227439, 227439, 227445, 227427, 227427</t>
  </si>
  <si>
    <t xml:space="preserve">227427, 227427, 227427, 227427, 227442, 227442, 227442, 227442, 227442</t>
  </si>
  <si>
    <t xml:space="preserve">227442, 225214, 225220, 225220, 225223, 225223, 225223, 225223, 225223</t>
  </si>
  <si>
    <t xml:space="preserve">225223, 225223, 225223, 225226, 225226, 225229, 225229, 225235, 225217</t>
  </si>
  <si>
    <t xml:space="preserve">225217, 225217, 225217, 225217, 225217, 225232, 225232, 225232, 225232</t>
  </si>
  <si>
    <t xml:space="preserve">225232, 225232, 226729, 226732, 226732, 226732, 226732, 226732, 226732</t>
  </si>
  <si>
    <t xml:space="preserve">226735, 226735, 226738, 226738, 226738, 226738, 226738, 226738, 226738</t>
  </si>
  <si>
    <t xml:space="preserve">226738, 226741, 226741, 226744, 226744, 226747, 226747, 226747, 226747</t>
  </si>
  <si>
    <t xml:space="preserve">226747, 226747, 226750, 225638, 225641, 225641, 225641, 225641, 225641</t>
  </si>
  <si>
    <t xml:space="preserve">225641, 225644, 225644, 225647, 225647, 225647, 225647, 225647, 225647</t>
  </si>
  <si>
    <t xml:space="preserve">225647, 225647, 225650, 225650, 225653, 225653, 225656, 225656, 225656</t>
  </si>
  <si>
    <t xml:space="preserve">225656, 225656, 225656, 225661, 226415, 226421, 226421, 226424, 226424</t>
  </si>
  <si>
    <t xml:space="preserve">226424, 226424, 226424, 226424, 226424, 226424, 226427, 226427, 226430</t>
  </si>
  <si>
    <t xml:space="preserve">226430, 226439, 226418, 226418, 226418, 226418, 226418, 226418, 226433</t>
  </si>
  <si>
    <t xml:space="preserve">226433, 226433, 226433, 226433, 226433, 225951, 225954, 225954, 225954</t>
  </si>
  <si>
    <t xml:space="preserve">225954, 225954, 225954, 225957, 225957, 225960, 225960, 225960, 225960</t>
  </si>
  <si>
    <t xml:space="preserve">225960, 225960, 225960, 225960, 225963, 225963, 225966, 225966, 225969</t>
  </si>
  <si>
    <t xml:space="preserve">225969, 225969, 225969, 225969, 225969, 225974, 226111, 226111, 226111</t>
  </si>
  <si>
    <t xml:space="preserve">226111, 226111, 226111, 226126, 226126, 226126, 226126, 226126, 226126</t>
  </si>
  <si>
    <t xml:space="preserve">226263, 226263, 226263, 226263, 226263, 226263, 226278, 226278, 226278</t>
  </si>
  <si>
    <t xml:space="preserve">226278, 226278, 226278, 226108, 226114, 226114, 226117, 226117, 226117</t>
  </si>
  <si>
    <t xml:space="preserve">226117, 226117, 226117, 226117, 226117, 226120, 226120, 226123, 226123</t>
  </si>
  <si>
    <t xml:space="preserve">226129, 226260, 226266, 226266, 226269, 226269, 226269, 226269, 226269</t>
  </si>
  <si>
    <t xml:space="preserve">0.97 + 0.97 + 0.97 + 0.97 + 0.97 + 0.97 + 0.97 + 0.97 + 0.70 + 0.39</t>
  </si>
  <si>
    <t xml:space="preserve">226269, 226269, 226269, 226272, 226272, 226275, 226275, 226282, 225952, 224988</t>
  </si>
  <si>
    <t xml:space="preserve">225955, 225955, 225955, 225955, 225955, 225955, 225958, 225958, 225961, 225961, 225961, 225961, 224990</t>
  </si>
  <si>
    <t xml:space="preserve">225961, 225961, 225961, 225961, 225964, 225964, 225967, 225967, 225970, 225970, 225970, 225970, 224990</t>
  </si>
  <si>
    <t xml:space="preserve">225970, 225970, 225975, 226576, 226579, 226579, 226579, 226579, 226579, 226579, 226582, 226582, 224991</t>
  </si>
  <si>
    <t xml:space="preserve">226585, 226585, 226585, 226585, 226585, 226585, 226585, 226585, 226588, 226588, 226591, 226591, 224991</t>
  </si>
  <si>
    <t xml:space="preserve">226594, 226594, 226594, 226594, 226594, 226594, 226598, 225639, 225642, 225642, 225642, 225642, 224994</t>
  </si>
  <si>
    <t xml:space="preserve">225642, 225642, 225645, 225645, 225648, 225648, 225648, 225648, 225648, 225648, 225648, 225648, 224994</t>
  </si>
  <si>
    <t xml:space="preserve">225651, 225651, 225654, 225654, 225657, 225657, 225657, 225657, 225657, 225657, 225662, 226112, 224994</t>
  </si>
  <si>
    <t xml:space="preserve">226112, 226112, 226112, 226112, 226112, 226127, 226127, 226127, 226127, 226127, 226127, 226261, 224994</t>
  </si>
  <si>
    <t xml:space="preserve">226264, 226264, 226264, 226264, 226264, 226264, 226267, 226267, 226270, 226270, 226270, 226270, 224994</t>
  </si>
  <si>
    <t xml:space="preserve">226270, 226270, 226270, 226270, 226273, 226273, 226276, 226276, 226279, 226279, 226279, 226279, 224994</t>
  </si>
  <si>
    <t xml:space="preserve">226279, 226279, 226283, 226733, 226733, 226733, 226733, 226733, 226733, 226748, 226748, 226748, 224995</t>
  </si>
  <si>
    <t xml:space="preserve">226748, 226748, 226748, 226109, 226115, 226115, 226118, 226118, 226118, 226118, 226118, 226118, 224995</t>
  </si>
  <si>
    <t xml:space="preserve">226118, 226118, 226121, 226121, 226124, 226124, 226130, 226730, 226736, 226736, 226739, 226739, 224995</t>
  </si>
  <si>
    <t xml:space="preserve">0.70 + 0.70 + 0.70 + 0.70 + 0.70 + 0.70 + 0.70 + 0.70 + 0.70 + 0.70 + 0.70 + 0.39 + 0.39 + 0.39</t>
  </si>
  <si>
    <t xml:space="preserve">226739, 226739, 226739, 226739, 226739, 226739, 226742, 226742, 226745, 226745, 226751, 224996, 224996, 224996</t>
  </si>
  <si>
    <t xml:space="preserve">224996, 224996, 224997, 224997, 224997, 224997, 224997, 224997, 225000, 225001, 225002, 225003, 225389, 225390, 225391, 225392, 225395, 225395, 225395, 225395, 225395, 225395</t>
  </si>
  <si>
    <t xml:space="preserve">225396, 225396, 225396, 225396, 225396, 225396, 225397, 225397, 225397, 225397, 225397, 225397, 225398, 225398, 225398, 225398, 225398, 225398, 225401, 225401, 225402, 225402</t>
  </si>
  <si>
    <t xml:space="preserve">225403, 225403, 225404, 225404, 225407, 225407, 225407, 225407, 225407, 225407, 225407, 225407, 225408, 225408, 225408, 225408, 225408, 225408, 225408, 225408, 225409, 225409</t>
  </si>
  <si>
    <t xml:space="preserve">225409, 225409, 225409, 225409, 225409, 225409, 225410, 225410, 225410, 225410, 225410, 225410, 225410, 225410, 225413, 225413, 225414, 225414, 225415, 225415, 225416, 225416</t>
  </si>
  <si>
    <t xml:space="preserve">225419, 225419, 225420, 225420, 225421, 225421, 225422, 225422, 225425, 225425, 225425, 225425, 225425, 225425, 225426, 225426, 225426, 225426, 225426, 225426, 225427, 225427</t>
  </si>
  <si>
    <t xml:space="preserve">225427, 225427, 225427, 225427, 225428, 225428, 225428, 225428, 225428, 225428, 225431, 225432, 225433, 225434, 226902, 226903, 226904, 226905, 226908, 226908, 226908, 226908</t>
  </si>
  <si>
    <t xml:space="preserve">226908, 226908, 226909, 226909, 226909, 226909, 226909, 226909, 226910, 226910, 226910, 226910, 226910, 226910, 226911, 226911, 226911, 226911, 226911, 226911, 226914, 226914</t>
  </si>
  <si>
    <t xml:space="preserve">226915, 226915, 226916, 226916, 226917, 226917, 226920, 226920, 226920, 226920, 226920, 226920, 226920, 226920, 226921, 226921, 226921, 226921, 226921, 226921, 226921, 226921</t>
  </si>
  <si>
    <t xml:space="preserve">226922, 226922, 226922, 226922, 226922, 226922, 226922, 226922, 226923, 226923, 226923, 226923, 226923, 226923, 226923, 226923, 226926, 226926, 226927, 226927, 226928, 226928</t>
  </si>
  <si>
    <t xml:space="preserve">226929, 226929, 226932, 226932, 226933, 226933, 226934, 226934, 226935, 226935, 226938, 226938, 226938, 226938, 226938, 226938, 226939, 226939, 226939, 226939, 226939, 226939</t>
  </si>
  <si>
    <t xml:space="preserve">226940, 226940, 226940, 226940, 226940, 226940, 226941, 226941, 226941, 226941, 226941, 226941, 226944, 226945, 226946, 226947, 227170, 227171, 227172, 227173, 227176, 227176</t>
  </si>
  <si>
    <t xml:space="preserve">227176, 227176, 227176, 227176, 227177, 227177, 227177, 227177, 227177, 227177, 227178, 227178, 227178, 227178, 227178, 227178, 227179, 227179, 227179, 227179, 227179, 227179</t>
  </si>
  <si>
    <t xml:space="preserve">227182, 227182, 227183, 227183, 227184, 227184, 227185, 227185, 227188, 227188, 227188, 227188, 227188, 227188, 227188, 227188, 227189, 227189, 227189, 227189, 227189, 227189</t>
  </si>
  <si>
    <t xml:space="preserve">227189, 227189, 227190, 227190, 227190, 227190, 227190, 227190, 227190, 227190, 227191, 227191, 227191, 227191, 227191, 227191, 227191, 227191, 227194, 227194, 227195, 227195</t>
  </si>
  <si>
    <t xml:space="preserve">227196, 227196, 227197, 227197, 227200, 227200, 227201, 227201, 227202, 227202, 227203, 227203, 227206, 227206, 227206, 227206, 227206, 227206, 227207, 227207, 227207, 227207</t>
  </si>
  <si>
    <t xml:space="preserve">0.39 + 0.39 + 0.39 + 0.39 + 0.39 + 0.39 + 0.39 + 0.39 + 0.39 + 0.39 + 0.39 + 0.39 + 0.39 + 0.39 + 0.39 + 0.39 + 0.39 + 0.39</t>
  </si>
  <si>
    <t xml:space="preserve">227207, 227207, 227208, 227208, 227208, 227208, 227208, 227208, 227209, 227209, 227209, 227209, 227209, 227209, 227212, 227213, 227214, 227215</t>
  </si>
  <si>
    <t xml:space="preserve">7.23 + 1.69</t>
  </si>
  <si>
    <t xml:space="preserve">228871, 228897</t>
  </si>
  <si>
    <t xml:space="preserve">7.23 + 1.66</t>
  </si>
  <si>
    <t xml:space="preserve">228875, 228896</t>
  </si>
  <si>
    <t xml:space="preserve">7.23 + 1.63</t>
  </si>
  <si>
    <t xml:space="preserve">229003, 228895</t>
  </si>
  <si>
    <t xml:space="preserve">7.23</t>
  </si>
  <si>
    <t xml:space="preserve">229005</t>
  </si>
  <si>
    <t xml:space="preserve">7.22</t>
  </si>
  <si>
    <t xml:space="preserve">228873</t>
  </si>
  <si>
    <t xml:space="preserve">228999</t>
  </si>
  <si>
    <t xml:space="preserve">229001</t>
  </si>
  <si>
    <t xml:space="preserve">7.18 + 1.81</t>
  </si>
  <si>
    <t xml:space="preserve">228870, 228899</t>
  </si>
  <si>
    <t xml:space="preserve">7.15 + 1.84</t>
  </si>
  <si>
    <t xml:space="preserve">228868, 228900</t>
  </si>
  <si>
    <t xml:space="preserve">7.12 + 1.78</t>
  </si>
  <si>
    <t xml:space="preserve">228866, 228898</t>
  </si>
  <si>
    <t xml:space="preserve">7.09</t>
  </si>
  <si>
    <t xml:space="preserve">228950</t>
  </si>
  <si>
    <t xml:space="preserve">228952</t>
  </si>
  <si>
    <t xml:space="preserve">7.08</t>
  </si>
  <si>
    <t xml:space="preserve">228946</t>
  </si>
  <si>
    <t xml:space="preserve">228948</t>
  </si>
  <si>
    <t xml:space="preserve">4.19 + 4.19</t>
  </si>
  <si>
    <t xml:space="preserve">229006, 229004</t>
  </si>
  <si>
    <t xml:space="preserve">4.17 + 4.17</t>
  </si>
  <si>
    <t xml:space="preserve">229000, 229002</t>
  </si>
  <si>
    <t xml:space="preserve">4.13 + 4.10</t>
  </si>
  <si>
    <t xml:space="preserve">228876, 228874</t>
  </si>
  <si>
    <t xml:space="preserve">4.07 + 4.03</t>
  </si>
  <si>
    <t xml:space="preserve">228872, 228865</t>
  </si>
  <si>
    <t xml:space="preserve">4.03 + 4.03</t>
  </si>
  <si>
    <t xml:space="preserve">228867, 228869</t>
  </si>
  <si>
    <t xml:space="preserve">228945, 228947</t>
  </si>
  <si>
    <t xml:space="preserve">228949, 228951</t>
  </si>
  <si>
    <t xml:space="preserve">228917, 228919</t>
  </si>
  <si>
    <t xml:space="preserve">228921, 228927</t>
  </si>
  <si>
    <t xml:space="preserve">228923, 228925</t>
  </si>
  <si>
    <t xml:space="preserve">228929, 228933</t>
  </si>
  <si>
    <t xml:space="preserve">228941, 228931</t>
  </si>
  <si>
    <t xml:space="preserve">228937, 228939</t>
  </si>
  <si>
    <t xml:space="preserve">228935, 228943</t>
  </si>
  <si>
    <t xml:space="preserve">3.50 + 3.50</t>
  </si>
  <si>
    <t xml:space="preserve">226399, 225194</t>
  </si>
  <si>
    <t xml:space="preserve">225782, 225787</t>
  </si>
  <si>
    <t xml:space="preserve">226404, 227406</t>
  </si>
  <si>
    <t xml:space="preserve">225189, 225620</t>
  </si>
  <si>
    <t xml:space="preserve">225625, 225941</t>
  </si>
  <si>
    <t xml:space="preserve">226094, 226099</t>
  </si>
  <si>
    <t xml:space="preserve">226244, 226249</t>
  </si>
  <si>
    <t xml:space="preserve">226561, 226566</t>
  </si>
  <si>
    <t xml:space="preserve">226715, 226720</t>
  </si>
  <si>
    <t xml:space="preserve">227401, 225936</t>
  </si>
  <si>
    <t xml:space="preserve">2.37 + 2.37 + 2.37</t>
  </si>
  <si>
    <t xml:space="preserve">228883, 228884, 228885</t>
  </si>
  <si>
    <t xml:space="preserve">228886, 228887, 228888</t>
  </si>
  <si>
    <t xml:space="preserve">228889, 228890, 228891, 228892</t>
  </si>
  <si>
    <t xml:space="preserve">2.23 + 2.23</t>
  </si>
  <si>
    <t xml:space="preserve">228893, 228894</t>
  </si>
  <si>
    <t xml:space="preserve">4.34 + 4.34</t>
  </si>
  <si>
    <t xml:space="preserve">227693, 227694</t>
  </si>
  <si>
    <t xml:space="preserve">4.34 + 4.27</t>
  </si>
  <si>
    <t xml:space="preserve">227695, 227697</t>
  </si>
  <si>
    <t xml:space="preserve">4.24 + 4.23</t>
  </si>
  <si>
    <t xml:space="preserve">227698, 227696</t>
  </si>
  <si>
    <t xml:space="preserve">3.65 + 3.65</t>
  </si>
  <si>
    <t xml:space="preserve">224883, 224928</t>
  </si>
  <si>
    <t xml:space="preserve">225352, 226845</t>
  </si>
  <si>
    <t xml:space="preserve">227153, 224878</t>
  </si>
  <si>
    <t xml:space="preserve">224913, 224938</t>
  </si>
  <si>
    <t xml:space="preserve">225312, 225317</t>
  </si>
  <si>
    <t xml:space="preserve">225322, 225327</t>
  </si>
  <si>
    <t xml:space="preserve">225332, 225342</t>
  </si>
  <si>
    <t xml:space="preserve">225362, 225367</t>
  </si>
  <si>
    <t xml:space="preserve">225377, 226359</t>
  </si>
  <si>
    <t xml:space="preserve">226364, 226369</t>
  </si>
  <si>
    <t xml:space="preserve">226835, 226840</t>
  </si>
  <si>
    <t xml:space="preserve">226855, 226865</t>
  </si>
  <si>
    <t xml:space="preserve">226880, 226890</t>
  </si>
  <si>
    <t xml:space="preserve">227093, 227098</t>
  </si>
  <si>
    <t xml:space="preserve">227103, 227118</t>
  </si>
  <si>
    <t xml:space="preserve">227123, 227128</t>
  </si>
  <si>
    <t xml:space="preserve">227133, 227138</t>
  </si>
  <si>
    <t xml:space="preserve">227143, 224888</t>
  </si>
  <si>
    <t xml:space="preserve">224898, 224943</t>
  </si>
  <si>
    <t xml:space="preserve">225580, 225595</t>
  </si>
  <si>
    <t xml:space="preserve">225600, 225605</t>
  </si>
  <si>
    <t xml:space="preserve">225896, 225901</t>
  </si>
  <si>
    <t xml:space="preserve">225906, 225911</t>
  </si>
  <si>
    <t xml:space="preserve">225916, 225921</t>
  </si>
  <si>
    <t xml:space="preserve">225926, 225931</t>
  </si>
  <si>
    <t xml:space="preserve">226054, 226064</t>
  </si>
  <si>
    <t xml:space="preserve">226204, 226209</t>
  </si>
  <si>
    <t xml:space="preserve">226214, 226219</t>
  </si>
  <si>
    <t xml:space="preserve">226224, 226239</t>
  </si>
  <si>
    <t xml:space="preserve">226556, 226850</t>
  </si>
  <si>
    <t xml:space="preserve">226860, 226870</t>
  </si>
  <si>
    <t xml:space="preserve">226875, 224893</t>
  </si>
  <si>
    <t xml:space="preserve">224903, 224908</t>
  </si>
  <si>
    <t xml:space="preserve">224918, 224923</t>
  </si>
  <si>
    <t xml:space="preserve">224933, 225149</t>
  </si>
  <si>
    <t xml:space="preserve">225154, 225159</t>
  </si>
  <si>
    <t xml:space="preserve">225164, 225169</t>
  </si>
  <si>
    <t xml:space="preserve">225174, 225179</t>
  </si>
  <si>
    <t xml:space="preserve">225184, 225337</t>
  </si>
  <si>
    <t xml:space="preserve">225347, 225357</t>
  </si>
  <si>
    <t xml:space="preserve">225372, 225585</t>
  </si>
  <si>
    <t xml:space="preserve">225590, 225610</t>
  </si>
  <si>
    <t xml:space="preserve">225615, 225742</t>
  </si>
  <si>
    <t xml:space="preserve">225747, 225752</t>
  </si>
  <si>
    <t xml:space="preserve">225757, 225762</t>
  </si>
  <si>
    <t xml:space="preserve">225767, 225772</t>
  </si>
  <si>
    <t xml:space="preserve">225777, 226059</t>
  </si>
  <si>
    <t xml:space="preserve">226069, 226074</t>
  </si>
  <si>
    <t xml:space="preserve">226079, 226084</t>
  </si>
  <si>
    <t xml:space="preserve">226089, 226229</t>
  </si>
  <si>
    <t xml:space="preserve">226234, 226374</t>
  </si>
  <si>
    <t xml:space="preserve">226379, 226384</t>
  </si>
  <si>
    <t xml:space="preserve">226389, 226394</t>
  </si>
  <si>
    <t xml:space="preserve">226521, 226526</t>
  </si>
  <si>
    <t xml:space="preserve">226531, 226536</t>
  </si>
  <si>
    <t xml:space="preserve">226541, 226546</t>
  </si>
  <si>
    <t xml:space="preserve">226551, 226675</t>
  </si>
  <si>
    <t xml:space="preserve">226680, 226685</t>
  </si>
  <si>
    <t xml:space="preserve">226690, 226695</t>
  </si>
  <si>
    <t xml:space="preserve">226700, 226705</t>
  </si>
  <si>
    <t xml:space="preserve">226710, 226825</t>
  </si>
  <si>
    <t xml:space="preserve">226830, 226885</t>
  </si>
  <si>
    <t xml:space="preserve">227108, 227113</t>
  </si>
  <si>
    <t xml:space="preserve">227148, 227158</t>
  </si>
  <si>
    <t xml:space="preserve">227361, 227366</t>
  </si>
  <si>
    <t xml:space="preserve">227371, 227376</t>
  </si>
  <si>
    <t xml:space="preserve">227381, 227386</t>
  </si>
  <si>
    <t xml:space="preserve">227391, 227396</t>
  </si>
  <si>
    <t xml:space="preserve">227636a</t>
  </si>
  <si>
    <t xml:space="preserve">227640a</t>
  </si>
  <si>
    <t xml:space="preserve">227644a</t>
  </si>
  <si>
    <t xml:space="preserve">227702a</t>
  </si>
  <si>
    <t xml:space="preserve">227706a</t>
  </si>
  <si>
    <t xml:space="preserve">227710a</t>
  </si>
  <si>
    <t xml:space="preserve">227731a</t>
  </si>
  <si>
    <t xml:space="preserve">227735a</t>
  </si>
  <si>
    <t xml:space="preserve">227739a</t>
  </si>
  <si>
    <t xml:space="preserve">228082a</t>
  </si>
  <si>
    <t xml:space="preserve">228087a</t>
  </si>
  <si>
    <t xml:space="preserve">228091a</t>
  </si>
  <si>
    <t xml:space="preserve">8.97</t>
  </si>
  <si>
    <t xml:space="preserve">228108</t>
  </si>
  <si>
    <t xml:space="preserve">8.96</t>
  </si>
  <si>
    <t xml:space="preserve">228116</t>
  </si>
  <si>
    <t xml:space="preserve">8.95</t>
  </si>
  <si>
    <t xml:space="preserve">228112</t>
  </si>
  <si>
    <t xml:space="preserve">8.92</t>
  </si>
  <si>
    <t xml:space="preserve">227747</t>
  </si>
  <si>
    <t xml:space="preserve">227743</t>
  </si>
  <si>
    <t xml:space="preserve">227646</t>
  </si>
  <si>
    <t xml:space="preserve">227650</t>
  </si>
  <si>
    <t xml:space="preserve">8.77</t>
  </si>
  <si>
    <t xml:space="preserve">227714</t>
  </si>
  <si>
    <t xml:space="preserve">227718</t>
  </si>
  <si>
    <t xml:space="preserve">8.39</t>
  </si>
  <si>
    <t xml:space="preserve">228118</t>
  </si>
  <si>
    <t xml:space="preserve">228093</t>
  </si>
  <si>
    <t xml:space="preserve">228097</t>
  </si>
  <si>
    <t xml:space="preserve">228122</t>
  </si>
  <si>
    <t xml:space="preserve">8.00</t>
  </si>
  <si>
    <t xml:space="preserve">228133</t>
  </si>
  <si>
    <t xml:space="preserve">228137</t>
  </si>
  <si>
    <t xml:space="preserve">7.99</t>
  </si>
  <si>
    <t xml:space="preserve">228068</t>
  </si>
  <si>
    <t xml:space="preserve">7.97</t>
  </si>
  <si>
    <t xml:space="preserve">228141</t>
  </si>
  <si>
    <t xml:space="preserve">7.83</t>
  </si>
  <si>
    <t xml:space="preserve">228064</t>
  </si>
  <si>
    <t xml:space="preserve">228060</t>
  </si>
  <si>
    <t xml:space="preserve">7.79</t>
  </si>
  <si>
    <t xml:space="preserve">228070</t>
  </si>
  <si>
    <t xml:space="preserve">228074</t>
  </si>
  <si>
    <t xml:space="preserve">7.73 + 1.25</t>
  </si>
  <si>
    <t xml:space="preserve">228143, 228091b</t>
  </si>
  <si>
    <t xml:space="preserve">7.65 + 1.33</t>
  </si>
  <si>
    <t xml:space="preserve">228147, 227739b</t>
  </si>
  <si>
    <t xml:space="preserve">6.60 + 2.37</t>
  </si>
  <si>
    <t xml:space="preserve">228083, 228117</t>
  </si>
  <si>
    <t xml:space="preserve">228088, 228121</t>
  </si>
  <si>
    <t xml:space="preserve">228134, 228092</t>
  </si>
  <si>
    <t xml:space="preserve">228138, 228096</t>
  </si>
  <si>
    <t xml:space="preserve">6.46 + 2.53</t>
  </si>
  <si>
    <t xml:space="preserve">228109, 227738</t>
  </si>
  <si>
    <t xml:space="preserve">6.46 + 2.51</t>
  </si>
  <si>
    <t xml:space="preserve">228113, 227701</t>
  </si>
  <si>
    <t xml:space="preserve">6.45 + 2.55</t>
  </si>
  <si>
    <t xml:space="preserve">228065, 227730</t>
  </si>
  <si>
    <t xml:space="preserve">6.45 + 2.51</t>
  </si>
  <si>
    <t xml:space="preserve">228061, 227705</t>
  </si>
  <si>
    <t xml:space="preserve">6.12 + 2.86</t>
  </si>
  <si>
    <t xml:space="preserve">227638, 228107</t>
  </si>
  <si>
    <t xml:space="preserve">227704, 228115</t>
  </si>
  <si>
    <t xml:space="preserve">6.10 + 2.86</t>
  </si>
  <si>
    <t xml:space="preserve">227741, 228059</t>
  </si>
  <si>
    <t xml:space="preserve">6.07 + 2.86</t>
  </si>
  <si>
    <t xml:space="preserve">227733, 228063</t>
  </si>
  <si>
    <t xml:space="preserve">227642, 228067</t>
  </si>
  <si>
    <t xml:space="preserve">6.05 + 2.80</t>
  </si>
  <si>
    <t xml:space="preserve">227737, 228111</t>
  </si>
  <si>
    <t xml:space="preserve">6.04 + 2.70</t>
  </si>
  <si>
    <t xml:space="preserve">227708, 228081</t>
  </si>
  <si>
    <t xml:space="preserve">227712, 228086</t>
  </si>
  <si>
    <t xml:space="preserve">5.87 + 2.70</t>
  </si>
  <si>
    <t xml:space="preserve">228119, 228090</t>
  </si>
  <si>
    <t xml:space="preserve">228123, 228132</t>
  </si>
  <si>
    <t xml:space="preserve">228098, 228136</t>
  </si>
  <si>
    <t xml:space="preserve">228094, 228140</t>
  </si>
  <si>
    <t xml:space="preserve">5.87 + 2.59</t>
  </si>
  <si>
    <t xml:space="preserve">228144, 227635</t>
  </si>
  <si>
    <t xml:space="preserve">228148, 227734</t>
  </si>
  <si>
    <t xml:space="preserve">5.87 + 2.57</t>
  </si>
  <si>
    <t xml:space="preserve">228071, 227643</t>
  </si>
  <si>
    <t xml:space="preserve">5.87 + 2.56</t>
  </si>
  <si>
    <t xml:space="preserve">228075, 227639</t>
  </si>
  <si>
    <t xml:space="preserve">5.71 + 2.47</t>
  </si>
  <si>
    <t xml:space="preserve">227703, 227709</t>
  </si>
  <si>
    <t xml:space="preserve">5.71 + 2.37</t>
  </si>
  <si>
    <t xml:space="preserve">227637, 228142</t>
  </si>
  <si>
    <t xml:space="preserve">5.69 + 2.37</t>
  </si>
  <si>
    <t xml:space="preserve">227711, 228146</t>
  </si>
  <si>
    <t xml:space="preserve">227740, 228069</t>
  </si>
  <si>
    <t xml:space="preserve">5.67 + 2.37</t>
  </si>
  <si>
    <t xml:space="preserve">227707, 228073</t>
  </si>
  <si>
    <t xml:space="preserve">5.67 + 1.97 + 1.35</t>
  </si>
  <si>
    <t xml:space="preserve">227641, 227713, 227731b</t>
  </si>
  <si>
    <t xml:space="preserve">5.67 + 1.97 + 1.27</t>
  </si>
  <si>
    <t xml:space="preserve">227732, 227717, 228082b</t>
  </si>
  <si>
    <t xml:space="preserve">5.65 + 1.82 + 1.47</t>
  </si>
  <si>
    <t xml:space="preserve">227736, 227645, 227702b</t>
  </si>
  <si>
    <t xml:space="preserve">5.57 + 1.82 + 1.47</t>
  </si>
  <si>
    <t xml:space="preserve">227716, 227649, 227706b</t>
  </si>
  <si>
    <t xml:space="preserve">5.57 + 1.82 + 1.39</t>
  </si>
  <si>
    <t xml:space="preserve">227720, 227742, 227710b</t>
  </si>
  <si>
    <t xml:space="preserve">5.42 + 1.82 + 1.39</t>
  </si>
  <si>
    <t xml:space="preserve">227745, 227746, 227735b</t>
  </si>
  <si>
    <t xml:space="preserve">5.42 + 1.39 + 1.37</t>
  </si>
  <si>
    <t xml:space="preserve">227749, 227636b, 227644b</t>
  </si>
  <si>
    <t xml:space="preserve">5.42 + 1.36 + 1.27</t>
  </si>
  <si>
    <t xml:space="preserve">227648, 227640b, 228087b</t>
  </si>
  <si>
    <t xml:space="preserve">5.42</t>
  </si>
  <si>
    <t xml:space="preserve">227652</t>
  </si>
  <si>
    <t xml:space="preserve">5.37</t>
  </si>
  <si>
    <t xml:space="preserve">228110</t>
  </si>
  <si>
    <t xml:space="preserve">5.35</t>
  </si>
  <si>
    <t xml:space="preserve">228114</t>
  </si>
  <si>
    <t xml:space="preserve">5.32</t>
  </si>
  <si>
    <t xml:space="preserve">227647</t>
  </si>
  <si>
    <t xml:space="preserve">227651</t>
  </si>
  <si>
    <t xml:space="preserve">227744</t>
  </si>
  <si>
    <t xml:space="preserve">227748</t>
  </si>
  <si>
    <t xml:space="preserve">5.22</t>
  </si>
  <si>
    <t xml:space="preserve">228085</t>
  </si>
  <si>
    <t xml:space="preserve">5.20</t>
  </si>
  <si>
    <t xml:space="preserve">228089</t>
  </si>
  <si>
    <t xml:space="preserve">5.17</t>
  </si>
  <si>
    <t xml:space="preserve">227715</t>
  </si>
  <si>
    <t xml:space="preserve">227719</t>
  </si>
  <si>
    <t xml:space="preserve">4.89 + 4.10</t>
  </si>
  <si>
    <t xml:space="preserve">228124, 228135</t>
  </si>
  <si>
    <t xml:space="preserve">228095, 228139</t>
  </si>
  <si>
    <t xml:space="preserve">4.89</t>
  </si>
  <si>
    <t xml:space="preserve">228099</t>
  </si>
  <si>
    <t xml:space="preserve">228120</t>
  </si>
  <si>
    <t xml:space="preserve">4.39 + 4.23</t>
  </si>
  <si>
    <t xml:space="preserve">228066, 228145</t>
  </si>
  <si>
    <t xml:space="preserve">4.23 + 4.23</t>
  </si>
  <si>
    <t xml:space="preserve">228062, 228076</t>
  </si>
  <si>
    <t xml:space="preserve">4.21 + 4.15</t>
  </si>
  <si>
    <t xml:space="preserve">228072, 228149</t>
  </si>
  <si>
    <t xml:space="preserve">229366, 229435</t>
  </si>
  <si>
    <t xml:space="preserve">229370, 229435</t>
  </si>
  <si>
    <t xml:space="preserve">229371, 229435</t>
  </si>
  <si>
    <t xml:space="preserve">229372, 229435</t>
  </si>
  <si>
    <t xml:space="preserve">229373, 229435</t>
  </si>
  <si>
    <t xml:space="preserve">229374, 229435</t>
  </si>
  <si>
    <t xml:space="preserve">229375, 229435</t>
  </si>
  <si>
    <t xml:space="preserve">229376, 229437</t>
  </si>
  <si>
    <t xml:space="preserve">229377, 229437</t>
  </si>
  <si>
    <t xml:space="preserve">229378, 229437</t>
  </si>
  <si>
    <t xml:space="preserve">229379, 229437</t>
  </si>
  <si>
    <t xml:space="preserve">229380, 229437</t>
  </si>
  <si>
    <t xml:space="preserve">229367, 229437</t>
  </si>
  <si>
    <t xml:space="preserve">229368, 229437</t>
  </si>
  <si>
    <t xml:space="preserve">229369, 229437</t>
  </si>
  <si>
    <t xml:space="preserve">229381, 229437</t>
  </si>
  <si>
    <t xml:space="preserve">229382, 229437</t>
  </si>
  <si>
    <t xml:space="preserve">229334, 229437, 229437</t>
  </si>
  <si>
    <t xml:space="preserve">229336, 229437, 229437</t>
  </si>
  <si>
    <t xml:space="preserve">229338, 229436, 229436</t>
  </si>
  <si>
    <t xml:space="preserve">229340, 229436, 229436</t>
  </si>
  <si>
    <t xml:space="preserve">229342, 229436, 229436</t>
  </si>
  <si>
    <t xml:space="preserve">229344, 229436, 229436</t>
  </si>
  <si>
    <t xml:space="preserve">229346, 229436, 229436</t>
  </si>
  <si>
    <t xml:space="preserve">229348, 229436, 229436</t>
  </si>
  <si>
    <t xml:space="preserve">229350, 229436, 229436</t>
  </si>
  <si>
    <t xml:space="preserve">229352, 229438, 229438</t>
  </si>
  <si>
    <t xml:space="preserve">229354, 229438, 229438</t>
  </si>
  <si>
    <t xml:space="preserve">229356, 229438, 229438</t>
  </si>
  <si>
    <t xml:space="preserve">229358, 229438, 229438</t>
  </si>
  <si>
    <t xml:space="preserve">229360, 229438, 229438</t>
  </si>
  <si>
    <t xml:space="preserve">229362, 229438, 229438</t>
  </si>
  <si>
    <t xml:space="preserve">229364, 229438, 229438</t>
  </si>
  <si>
    <t xml:space="preserve">229333, 229438, 229438</t>
  </si>
  <si>
    <t xml:space="preserve">229331, 229440, 229440</t>
  </si>
  <si>
    <t xml:space="preserve">229329, 229440, 229440</t>
  </si>
  <si>
    <t xml:space="preserve">229327, 229440, 229440</t>
  </si>
  <si>
    <t xml:space="preserve">229325, 229440, 229440</t>
  </si>
  <si>
    <t xml:space="preserve">229323, 229440, 229440</t>
  </si>
  <si>
    <t xml:space="preserve">229321, 229440, 229440</t>
  </si>
  <si>
    <t xml:space="preserve">229319, 229440, 229440</t>
  </si>
  <si>
    <t xml:space="preserve">229317</t>
  </si>
  <si>
    <t xml:space="preserve">229315</t>
  </si>
  <si>
    <t xml:space="preserve">229433</t>
  </si>
  <si>
    <t xml:space="preserve">229313</t>
  </si>
  <si>
    <t xml:space="preserve">229311</t>
  </si>
  <si>
    <t xml:space="preserve">229309</t>
  </si>
  <si>
    <t xml:space="preserve">229307</t>
  </si>
  <si>
    <t xml:space="preserve">229305</t>
  </si>
  <si>
    <t xml:space="preserve">229303</t>
  </si>
  <si>
    <t xml:space="preserve">229302</t>
  </si>
  <si>
    <t xml:space="preserve">229301</t>
  </si>
  <si>
    <t xml:space="preserve">229300</t>
  </si>
  <si>
    <t xml:space="preserve">229299</t>
  </si>
  <si>
    <t xml:space="preserve">229298</t>
  </si>
  <si>
    <t xml:space="preserve">229297</t>
  </si>
  <si>
    <t xml:space="preserve">229421</t>
  </si>
  <si>
    <t xml:space="preserve">229423</t>
  </si>
  <si>
    <t xml:space="preserve">229425</t>
  </si>
  <si>
    <t xml:space="preserve">229427</t>
  </si>
  <si>
    <t xml:space="preserve">229429</t>
  </si>
  <si>
    <t xml:space="preserve">229395</t>
  </si>
  <si>
    <t xml:space="preserve">229397</t>
  </si>
  <si>
    <t xml:space="preserve">229399</t>
  </si>
  <si>
    <t xml:space="preserve">229401</t>
  </si>
  <si>
    <t xml:space="preserve">229403</t>
  </si>
  <si>
    <t xml:space="preserve">229405</t>
  </si>
  <si>
    <t xml:space="preserve">229407</t>
  </si>
  <si>
    <t xml:space="preserve">229409</t>
  </si>
  <si>
    <t xml:space="preserve">229411</t>
  </si>
  <si>
    <t xml:space="preserve">229413</t>
  </si>
  <si>
    <t xml:space="preserve">229415</t>
  </si>
  <si>
    <t xml:space="preserve">229417</t>
  </si>
  <si>
    <t xml:space="preserve">229419</t>
  </si>
  <si>
    <t xml:space="preserve">229431</t>
  </si>
  <si>
    <t xml:space="preserve">229383</t>
  </si>
  <si>
    <t xml:space="preserve">229385</t>
  </si>
  <si>
    <t xml:space="preserve">229387</t>
  </si>
  <si>
    <t xml:space="preserve">229389</t>
  </si>
  <si>
    <t xml:space="preserve">229391</t>
  </si>
  <si>
    <t xml:space="preserve">229393</t>
  </si>
  <si>
    <t xml:space="preserve">229365, 229363</t>
  </si>
  <si>
    <t xml:space="preserve">229361, 229359</t>
  </si>
  <si>
    <t xml:space="preserve">229357, 229355</t>
  </si>
  <si>
    <t xml:space="preserve">229353, 229351, 229441</t>
  </si>
  <si>
    <t xml:space="preserve">229384, 229386, 229441</t>
  </si>
  <si>
    <t xml:space="preserve">229388, 229392, 229439</t>
  </si>
  <si>
    <t xml:space="preserve">229394, 229396, 229439</t>
  </si>
  <si>
    <t xml:space="preserve">229398, 229400, 229439</t>
  </si>
  <si>
    <t xml:space="preserve">229408, 229390, 229439</t>
  </si>
  <si>
    <t xml:space="preserve">229402, 229404, 229439</t>
  </si>
  <si>
    <t xml:space="preserve">229406, 229410, 229439</t>
  </si>
  <si>
    <t xml:space="preserve">229412, 229414, 229439</t>
  </si>
  <si>
    <t xml:space="preserve">229416, 229418, 229439</t>
  </si>
  <si>
    <t xml:space="preserve">229420, 229422, 229439</t>
  </si>
  <si>
    <t xml:space="preserve">229424, 229426, 229439</t>
  </si>
  <si>
    <t xml:space="preserve">229428, 229430, 229439</t>
  </si>
  <si>
    <t xml:space="preserve">229432, 229349, 229439</t>
  </si>
  <si>
    <t xml:space="preserve">229347, 229345, 229439</t>
  </si>
  <si>
    <t xml:space="preserve">229343, 229341, 229439</t>
  </si>
  <si>
    <t xml:space="preserve">229339, 229337, 229435</t>
  </si>
  <si>
    <t xml:space="preserve">229335, 229304, 229435</t>
  </si>
  <si>
    <t xml:space="preserve">229306, 229308, 229435</t>
  </si>
  <si>
    <t xml:space="preserve">229310, 229312, 229435</t>
  </si>
  <si>
    <t xml:space="preserve">229314, 229316, 229435</t>
  </si>
  <si>
    <t xml:space="preserve">229318, 229320, 229435</t>
  </si>
  <si>
    <t xml:space="preserve">229322, 229324, 229435</t>
  </si>
  <si>
    <t xml:space="preserve">229326, 229328, 229435</t>
  </si>
  <si>
    <t xml:space="preserve">229330, 229332, 229435</t>
  </si>
  <si>
    <t xml:space="preserve">229434</t>
  </si>
  <si>
    <t xml:space="preserve">229230, 229232, 229203</t>
  </si>
  <si>
    <t xml:space="preserve">229234, 229216, 229204</t>
  </si>
  <si>
    <t xml:space="preserve">229218, 229220, 229205</t>
  </si>
  <si>
    <t xml:space="preserve">229222, 229224, 229206</t>
  </si>
  <si>
    <t xml:space="preserve">229226, 229228, 229195</t>
  </si>
  <si>
    <t xml:space="preserve">229208, 229210, 229196</t>
  </si>
  <si>
    <t xml:space="preserve">229212, 229214, 229199</t>
  </si>
  <si>
    <t xml:space="preserve">3.23 + 3.23 + 2.23</t>
  </si>
  <si>
    <t xml:space="preserve">231455, 231314, 229243</t>
  </si>
  <si>
    <t xml:space="preserve">231318, 231456, 229245</t>
  </si>
  <si>
    <t xml:space="preserve">231452, 231457, 229247</t>
  </si>
  <si>
    <t xml:space="preserve">231454, 231317, 229249</t>
  </si>
  <si>
    <t xml:space="preserve">231453, 231313, 229251</t>
  </si>
  <si>
    <t xml:space="preserve">231316, 231315, 229255</t>
  </si>
  <si>
    <t xml:space="preserve">3.16 + 3.16 + 2.23 + 0.39</t>
  </si>
  <si>
    <t xml:space="preserve">231323, 231459, 229257, 225006</t>
  </si>
  <si>
    <t xml:space="preserve">231460, 231458, 229259, 225007</t>
  </si>
  <si>
    <t xml:space="preserve">231324, 231461, 229253, 225008</t>
  </si>
  <si>
    <t xml:space="preserve">231462, 231463, 229261, 225009</t>
  </si>
  <si>
    <t xml:space="preserve">231321, 231320, 229269, 225012</t>
  </si>
  <si>
    <t xml:space="preserve">231322, 231319, 229271, 225012</t>
  </si>
  <si>
    <t xml:space="preserve">229275, 229281, 229283, 229263</t>
  </si>
  <si>
    <t xml:space="preserve">229265, 229273, 229277, 229279</t>
  </si>
  <si>
    <t xml:space="preserve">2.23 + 2.23 + 2.17 + 2.17</t>
  </si>
  <si>
    <t xml:space="preserve">229287, 229267, 231432, 231433</t>
  </si>
  <si>
    <t xml:space="preserve">231434, 231435, 231450, 231451</t>
  </si>
  <si>
    <t xml:space="preserve">231430, 231431, 231446, 231447</t>
  </si>
  <si>
    <t xml:space="preserve">2.16 + 2.16 + 2.02 + 2.02 + 0.39</t>
  </si>
  <si>
    <t xml:space="preserve">231448, 231449, 229244, 229246, 225045</t>
  </si>
  <si>
    <t xml:space="preserve">229248, 229250, 229252, 229254, 225837</t>
  </si>
  <si>
    <t xml:space="preserve">229256, 229258, 229260, 229262, 225837</t>
  </si>
  <si>
    <t xml:space="preserve">229285, 229286, 229264, 229266, 225840</t>
  </si>
  <si>
    <t xml:space="preserve">229268, 229270, 229272, 229274, 225840</t>
  </si>
  <si>
    <t xml:space="preserve">229276, 229278, 229280, 229282, 225840</t>
  </si>
  <si>
    <t xml:space="preserve">2.02 + 2.02 + 1.87 + 1.87 + 1.15</t>
  </si>
  <si>
    <t xml:space="preserve">229284, 229288, 229200, 229197, 231443</t>
  </si>
  <si>
    <t xml:space="preserve">1.87 + 1.87 + 1.87 + 1.87 + 1.42</t>
  </si>
  <si>
    <t xml:space="preserve">Losa, Vigas</t>
  </si>
  <si>
    <t xml:space="preserve">229198, 229201, 229202, 229191, 228192</t>
  </si>
  <si>
    <t xml:space="preserve">1.87 + 1.87 + 1.87 + 1.62 + 1.62</t>
  </si>
  <si>
    <t xml:space="preserve">229192, 229193, 229194, 227216, 227222</t>
  </si>
  <si>
    <t xml:space="preserve">227222, 227222, 227222, 227222, 227222, 225242</t>
  </si>
  <si>
    <t xml:space="preserve">227228, 227228, 227234, 227234, 227234, 225242</t>
  </si>
  <si>
    <t xml:space="preserve">227234, 227240, 227246, 227246, 227252, 225242</t>
  </si>
  <si>
    <t xml:space="preserve">227252, 227252, 227252, 227252, 227252, 225242</t>
  </si>
  <si>
    <t xml:space="preserve">227258, 226949, 226955, 226955, 226955, 225242</t>
  </si>
  <si>
    <t xml:space="preserve">226955, 226955, 226955, 226961, 226961, 225242</t>
  </si>
  <si>
    <t xml:space="preserve">226967, 226967, 226967, 226967, 226973, 225245</t>
  </si>
  <si>
    <t xml:space="preserve">226979, 226979, 226985, 226985, 226985, 225245</t>
  </si>
  <si>
    <t xml:space="preserve">226985, 226985, 226985, 226991, 227217, 225248</t>
  </si>
  <si>
    <t xml:space="preserve">227223, 227223, 227223, 227223, 227223, 225248</t>
  </si>
  <si>
    <t xml:space="preserve">227223, 227229, 227229, 227235, 227235, 225248</t>
  </si>
  <si>
    <t xml:space="preserve">227235, 227235, 227241, 227247, 227247, 225248</t>
  </si>
  <si>
    <t xml:space="preserve">227253, 227253, 227253, 227253, 227253, 225252</t>
  </si>
  <si>
    <t xml:space="preserve">227253, 227259, 225010, 225010, 225010, 225255</t>
  </si>
  <si>
    <t xml:space="preserve">225010, 225010, 225010, 225040, 225040, 225255</t>
  </si>
  <si>
    <t xml:space="preserve">225040, 225040, 225040, 225040, 225441, 225258</t>
  </si>
  <si>
    <t xml:space="preserve">225441, 225441, 225441, 225441, 225441, 225258</t>
  </si>
  <si>
    <t xml:space="preserve">225471, 225471, 225471, 225471, 225471, 225258</t>
  </si>
  <si>
    <t xml:space="preserve">225471, 225004, 225016, 225016, 225022, 225258</t>
  </si>
  <si>
    <t xml:space="preserve">225022, 225022, 225022, 225028, 225034, 225258</t>
  </si>
  <si>
    <t xml:space="preserve">225034, 225046, 225435, 225447, 225447, 225258</t>
  </si>
  <si>
    <t xml:space="preserve">225453, 225453, 225453, 225453, 225459, 225261</t>
  </si>
  <si>
    <t xml:space="preserve">225465, 225465, 225477, 225820, 225823, 226443</t>
  </si>
  <si>
    <t xml:space="preserve">225823, 225823, 225823, 225823, 225823, 226446</t>
  </si>
  <si>
    <t xml:space="preserve">225826, 225826, 225829, 225829, 225829, 226446</t>
  </si>
  <si>
    <t xml:space="preserve">225829, 225832, 225835, 225835, 225838, 226446</t>
  </si>
  <si>
    <t xml:space="preserve">225838, 225838, 225838, 225838, 225838, 226446</t>
  </si>
  <si>
    <t xml:space="preserve">225841, 226444, 226444, 226444, 226444, 226446</t>
  </si>
  <si>
    <t xml:space="preserve">226444, 226444, 226461, 226461, 226461, 226446</t>
  </si>
  <si>
    <t xml:space="preserve">226461, 226461, 226461, 226948, 226954, 226449</t>
  </si>
  <si>
    <t xml:space="preserve">226954, 226954, 226954, 226954, 226954, 226449</t>
  </si>
  <si>
    <t xml:space="preserve">226960, 226960, 226966, 226966, 226966, 226452</t>
  </si>
  <si>
    <t xml:space="preserve">226966, 226972, 226978, 226978, 226984, 226452</t>
  </si>
  <si>
    <t xml:space="preserve">226984, 226984, 226984, 226984, 226984, 226452</t>
  </si>
  <si>
    <t xml:space="preserve">226990, 226441, 226447, 226447, 226450, 226452</t>
  </si>
  <si>
    <t xml:space="preserve">226450, 226450, 226450, 226453, 226458, 226456</t>
  </si>
  <si>
    <t xml:space="preserve">226458, 226464, 225005, 225011, 225011, 226460</t>
  </si>
  <si>
    <t xml:space="preserve">225011, 225011, 225011, 225011, 225017, 226460</t>
  </si>
  <si>
    <t xml:space="preserve">225017, 225023, 225023, 225023, 225023, 226463</t>
  </si>
  <si>
    <t xml:space="preserve">225029, 225035, 225035, 225041, 225041, 226463</t>
  </si>
  <si>
    <t xml:space="preserve">225041, 225041, 225041, 225041, 225047, 226463</t>
  </si>
  <si>
    <t xml:space="preserve">227447, 227450, 227450, 227450, 227450, 226463</t>
  </si>
  <si>
    <t xml:space="preserve">227450, 227450, 227453, 227453, 227456, 226463</t>
  </si>
  <si>
    <t xml:space="preserve">227456, 227456, 227456, 227459, 227462, 226463</t>
  </si>
  <si>
    <t xml:space="preserve">227462, 227465, 227465, 227465, 227465, 226467</t>
  </si>
  <si>
    <t xml:space="preserve">227465, 227465, 227468, 225237, 225240, 227449</t>
  </si>
  <si>
    <t xml:space="preserve">225240, 225240, 225240, 225240, 225240, 227452</t>
  </si>
  <si>
    <t xml:space="preserve">225243, 225243, 225246, 225246, 225246, 227452</t>
  </si>
  <si>
    <t xml:space="preserve">225246, 225249, 225253, 225253, 225256, 227452</t>
  </si>
  <si>
    <t xml:space="preserve">225256, 225256, 225256, 225256, 225256, 227452</t>
  </si>
  <si>
    <t xml:space="preserve">225259, 225442, 225442, 225442, 225442, 227452</t>
  </si>
  <si>
    <t xml:space="preserve">225442, 225442, 225472, 225472, 225472, 227452</t>
  </si>
  <si>
    <t xml:space="preserve">225472, 225472, 225472, 225436, 225448, 227455</t>
  </si>
  <si>
    <t xml:space="preserve">225448, 225454, 225454, 225454, 225454, 227455</t>
  </si>
  <si>
    <t xml:space="preserve">225460, 225466, 225466, 225478, 226131, 227458</t>
  </si>
  <si>
    <t xml:space="preserve">226137, 226137, 226140, 226140, 226140, 227458</t>
  </si>
  <si>
    <t xml:space="preserve">226140, 226143, 226146, 226146, 226152, 227458</t>
  </si>
  <si>
    <t xml:space="preserve">226284, 226290, 226290, 226293, 226293, 227458</t>
  </si>
  <si>
    <t xml:space="preserve">226293, 226293, 226296, 226299, 226299, 227461</t>
  </si>
  <si>
    <t xml:space="preserve">226305, 226134, 226134, 226134, 226134, 227464</t>
  </si>
  <si>
    <t xml:space="preserve">226134, 226134, 226149, 226149, 226149, 227464</t>
  </si>
  <si>
    <t xml:space="preserve">226149, 226149, 226149, 226287, 226287, 227467</t>
  </si>
  <si>
    <t xml:space="preserve">226287, 226287, 226287, 226287, 226302, 227467</t>
  </si>
  <si>
    <t xml:space="preserve">226302, 226302, 226302, 226302, 226302, 227467</t>
  </si>
  <si>
    <t xml:space="preserve">225976, 225982, 225982, 225985, 225985, 227467</t>
  </si>
  <si>
    <t xml:space="preserve">225985, 225985, 225988, 225992, 225992, 227467</t>
  </si>
  <si>
    <t xml:space="preserve">225998, 225979, 225979, 225979, 225979, 227467</t>
  </si>
  <si>
    <t xml:space="preserve">225979, 225979, 225995, 225995, 225995, 227470</t>
  </si>
  <si>
    <t xml:space="preserve">225995, 225995, 225995, 226602, 226602, 225822</t>
  </si>
  <si>
    <t xml:space="preserve">226602, 226602, 226602, 226602, 226617, 225825</t>
  </si>
  <si>
    <t xml:space="preserve">226617, 226617, 226617, 226617, 226617, 225825</t>
  </si>
  <si>
    <t xml:space="preserve">226599, 226605, 226605, 226608, 226608, 225825</t>
  </si>
  <si>
    <t xml:space="preserve">226608, 226608, 226611, 226614, 226614, 225825</t>
  </si>
  <si>
    <t xml:space="preserve">226620, 225663, 225666, 225666, 225666, 225825</t>
  </si>
  <si>
    <t xml:space="preserve">225666, 225666, 225666, 225669, 225669, 225825</t>
  </si>
  <si>
    <t xml:space="preserve">225672, 225672, 225672, 225672, 225675, 225828</t>
  </si>
  <si>
    <t xml:space="preserve">225678, 225678, 225681, 225681, 225681, 225828</t>
  </si>
  <si>
    <t xml:space="preserve">225681, 225681, 225681, 225684, 226752, 225831</t>
  </si>
  <si>
    <t xml:space="preserve">226755, 226755, 226755, 226755, 226755, 225831</t>
  </si>
  <si>
    <t xml:space="preserve">226755, 226758, 226758, 226761, 226761, 225831</t>
  </si>
  <si>
    <t xml:space="preserve">226761, 226761, 226764, 226767, 226767, 225831</t>
  </si>
  <si>
    <t xml:space="preserve">226770, 226770, 226770, 226770, 226770, 225834</t>
  </si>
  <si>
    <t xml:space="preserve">1.62 + 1.62 + 1.42 + 1.42 + 1.42 + 1.42</t>
  </si>
  <si>
    <t xml:space="preserve">226770, 226773, 228192, 228192, 228192, 228192</t>
  </si>
  <si>
    <t xml:space="preserve">228192, 228193, 228193, 228193, 228193, 228193, 225012</t>
  </si>
  <si>
    <t xml:space="preserve">228193, 228193, 228193, 228193, 228193, 228193, 225012</t>
  </si>
  <si>
    <t xml:space="preserve">228193, 227776, 227776, 227799, 227799, 227799, 225012</t>
  </si>
  <si>
    <t xml:space="preserve">227799, 227799, 227799, 227799, 227799, 227799, 225012</t>
  </si>
  <si>
    <t xml:space="preserve">227799, 227777, 227777, 227777, 227777, 227777, 225013</t>
  </si>
  <si>
    <t xml:space="preserve">227777, 227777, 227777, 227777, 227777, 227779, 225013</t>
  </si>
  <si>
    <t xml:space="preserve">227779, 227779, 227780, 227780, 227780, 227780, 225013</t>
  </si>
  <si>
    <t xml:space="preserve">227780, 227780, 227780, 227780, 227780, 227780, 225013</t>
  </si>
  <si>
    <t xml:space="preserve">227800, 227800, 227800, 227800, 227800, 227800, 225013</t>
  </si>
  <si>
    <t xml:space="preserve">227800, 227800, 227800, 227800, 227802, 227802, 225013</t>
  </si>
  <si>
    <t xml:space="preserve">227802, 227802, 227802, 227802, 227802, 227802, 225014</t>
  </si>
  <si>
    <t xml:space="preserve">227802, 227802, 227803, 227803, 227803, 227803, 225014</t>
  </si>
  <si>
    <t xml:space="preserve">227803, 227803, 227803, 227803, 227803, 227803, 225014</t>
  </si>
  <si>
    <t xml:space="preserve">227805, 227805, 227805, 227805, 227805, 227805, 225014</t>
  </si>
  <si>
    <t xml:space="preserve">227805, 227805, 227805, 227805, 227806, 227806, 225014</t>
  </si>
  <si>
    <t xml:space="preserve">227806, 227806, 227806, 227806, 227806, 227806, 225014</t>
  </si>
  <si>
    <t xml:space="preserve">227806, 227806, 227827, 227827, 227827, 227827, 225015</t>
  </si>
  <si>
    <t xml:space="preserve">227827, 227827, 227827, 227827, 227827, 227827, 225015</t>
  </si>
  <si>
    <t xml:space="preserve">227829, 227829, 227829, 227829, 227829, 227829, 225015</t>
  </si>
  <si>
    <t xml:space="preserve">227829, 227829, 227829, 227829, 227831, 227831, 225015</t>
  </si>
  <si>
    <t xml:space="preserve">227831, 227833, 227833, 227833, 227833, 227833, 225015</t>
  </si>
  <si>
    <t xml:space="preserve">227833, 227833, 227833, 227833, 227833, 227825, 225015</t>
  </si>
  <si>
    <t xml:space="preserve">227825, 227825, 227825, 227825, 227825, 227825, 225018</t>
  </si>
  <si>
    <t xml:space="preserve">227825, 227825, 227825, 227828, 227828, 227830, 225018</t>
  </si>
  <si>
    <t xml:space="preserve">227830, 227830, 227830, 227830, 227830, 227830, 225019</t>
  </si>
  <si>
    <t xml:space="preserve">227830, 227830, 227830, 227832, 227832, 227832, 225019</t>
  </si>
  <si>
    <t xml:space="preserve">227832, 227832, 227832, 227832, 227832, 227832, 225020</t>
  </si>
  <si>
    <t xml:space="preserve">227832, 227834, 227834, 227834, 227834, 228042, 225020</t>
  </si>
  <si>
    <t xml:space="preserve">228042, 228042, 228042, 228042, 228042, 228042, 225021</t>
  </si>
  <si>
    <t xml:space="preserve">228042, 228042, 227774, 227774, 227774, 227774, 225024</t>
  </si>
  <si>
    <t xml:space="preserve">227774, 227774, 227774, 227774, 227774, 227774, 225024</t>
  </si>
  <si>
    <t xml:space="preserve">227775, 227775, 227775, 227775, 227775, 227775, 225024</t>
  </si>
  <si>
    <t xml:space="preserve">227775, 227775, 227775, 227775, 227778, 227778, 225024</t>
  </si>
  <si>
    <t xml:space="preserve">227778, 227778, 227778, 227778, 227778, 227778, 225025</t>
  </si>
  <si>
    <t xml:space="preserve">227778, 227778, 227781, 227781, 227781, 227781, 225025</t>
  </si>
  <si>
    <t xml:space="preserve">227781, 227781, 227781, 227781, 227781, 227781, 225025</t>
  </si>
  <si>
    <t xml:space="preserve">227782, 227782, 227782, 227782, 227801, 227801, 225025</t>
  </si>
  <si>
    <t xml:space="preserve">227801, 227801, 227804, 227804, 227804, 227804, 225026</t>
  </si>
  <si>
    <t xml:space="preserve">227807, 227807, 227807, 227807, 227807, 227807, 225026</t>
  </si>
  <si>
    <t xml:space="preserve">228171, 228171, 228171, 228171, 228171, 228171, 225026</t>
  </si>
  <si>
    <t xml:space="preserve">228171, 228171, 228171, 228171, 228171, 228171, 225027</t>
  </si>
  <si>
    <t xml:space="preserve">228171, 228171, 228189, 228189, 228189, 228189, 225027</t>
  </si>
  <si>
    <t xml:space="preserve">228189, 228189, 228214, 228214, 228214, 228214, 225027</t>
  </si>
  <si>
    <t xml:space="preserve">228214, 228214, 228214, 228214, 228214, 228214, 225030</t>
  </si>
  <si>
    <t xml:space="preserve">228214, 228214, 228231, 228231, 228231, 228231, 225031</t>
  </si>
  <si>
    <t xml:space="preserve">228231, 228231, 228232, 228232, 228232, 228232, 225032</t>
  </si>
  <si>
    <t xml:space="preserve">228232, 228232, 228232, 228232, 228232, 228232, 225033</t>
  </si>
  <si>
    <t xml:space="preserve">228232, 228232, 228232, 228232, 228232, 228232, 225036</t>
  </si>
  <si>
    <t xml:space="preserve">228232, 228232, 228232, 228232, 228168, 228168, 225037</t>
  </si>
  <si>
    <t xml:space="preserve">228168, 228168, 228168, 228168, 228168, 228168, 225037</t>
  </si>
  <si>
    <t xml:space="preserve">228168, 228168, 228169, 228169, 228169, 228169, 225038</t>
  </si>
  <si>
    <t xml:space="preserve">228169, 228169, 228169, 228169, 228169, 228169, 225038</t>
  </si>
  <si>
    <t xml:space="preserve">228170, 228170, 228170, 228170, 228170, 228187, 225039</t>
  </si>
  <si>
    <t xml:space="preserve">228187, 228187, 228187, 228187, 228187, 228187, 225039</t>
  </si>
  <si>
    <t xml:space="preserve">228187, 228187, 228187, 228188, 228188, 228188, 225042</t>
  </si>
  <si>
    <t xml:space="preserve">228188, 228188, 228188, 228188, 228188, 228188, 225042</t>
  </si>
  <si>
    <t xml:space="preserve">228188, 228190, 228190, 228190, 228190, 228190, 225042</t>
  </si>
  <si>
    <t xml:space="preserve">228190, 228190, 228190, 228190, 228190, 228191, 225042</t>
  </si>
  <si>
    <t xml:space="preserve">228191, 228191, 228191, 228191, 228191, 228191, 225042</t>
  </si>
  <si>
    <t xml:space="preserve">228191, 228191, 228191, 228208, 228208, 228208, 225042</t>
  </si>
  <si>
    <t xml:space="preserve">228208, 228208, 228208, 228208, 228208, 228208, 225043</t>
  </si>
  <si>
    <t xml:space="preserve">228208, 228209, 228209, 228209, 228209, 228209, 225043</t>
  </si>
  <si>
    <t xml:space="preserve">228209, 228209, 228209, 228209, 228209, 228210, 225043</t>
  </si>
  <si>
    <t xml:space="preserve">228210, 228210, 228210, 228210, 228211, 228211, 225043</t>
  </si>
  <si>
    <t xml:space="preserve">228211, 228211, 228211, 228211, 228211, 228211, 225043</t>
  </si>
  <si>
    <t xml:space="preserve">228211, 228211, 228212, 228212, 228212, 228212, 225043</t>
  </si>
  <si>
    <t xml:space="preserve">228212, 228212, 228212, 228212, 228212, 228212, 225044</t>
  </si>
  <si>
    <t xml:space="preserve">228213, 228213, 228213, 228213, 228213, 228229, 225044</t>
  </si>
  <si>
    <t xml:space="preserve">228229, 228229, 228229, 228229, 228229, 228229, 225044</t>
  </si>
  <si>
    <t xml:space="preserve">228229, 228229, 228229, 228230, 228230, 228230, 225044</t>
  </si>
  <si>
    <t xml:space="preserve">228230, 228230, 228230, 228230, 228230, 228230, 225044</t>
  </si>
  <si>
    <t xml:space="preserve">1.42 + 1.15 + 1.15 + 1.15 + 1.15 + 1.15 + 1.15 + 0.39</t>
  </si>
  <si>
    <t xml:space="preserve">228230, 231437, 231438, 231439, 231440, 231442, 231444, 225443</t>
  </si>
  <si>
    <t xml:space="preserve">1.15 + 1.15 + 1.15 + 1.05 + 1.05 + 1.05 + 1.05 + 1.05</t>
  </si>
  <si>
    <t xml:space="preserve">231436, 231441, 231445, 231425, 231420, 231421, 231422, 231423</t>
  </si>
  <si>
    <t xml:space="preserve">231424, 231426, 231427, 231428, 231429, 231473, 231326, 231328, 225044</t>
  </si>
  <si>
    <t xml:space="preserve">231329, 231331, 231332, 231333, 231334, 231464, 231465, 231468, 225045</t>
  </si>
  <si>
    <t xml:space="preserve">231469, 231471, 231325, 231327, 231330, 231470, 231472, 231466, 225045</t>
  </si>
  <si>
    <t xml:space="preserve">1.05 + 1.02 + 1.02 + 1.02 + 1.02 + 1.02 + 1.02 + 0.97 + 0.70</t>
  </si>
  <si>
    <t xml:space="preserve">231467, 229167, 229169, 229168, 229170, 229172, 229171, 227451, 225239</t>
  </si>
  <si>
    <t xml:space="preserve">227451, 227451, 227451, 227451, 227451, 227466, 227466, 227466, 227466</t>
  </si>
  <si>
    <t xml:space="preserve">227466, 227466, 227448, 227454, 227454, 227457, 227457, 227457, 227457</t>
  </si>
  <si>
    <t xml:space="preserve">227460, 227463, 227463, 227469, 225821, 225824, 225824, 225824, 225824</t>
  </si>
  <si>
    <t xml:space="preserve">225824, 225824, 225827, 225827, 225830, 225830, 225830, 225830, 225833</t>
  </si>
  <si>
    <t xml:space="preserve">225836, 225836, 225839, 225839, 225839, 225839, 225839, 225839, 225843</t>
  </si>
  <si>
    <t xml:space="preserve">225238, 225241, 225241, 225241, 225241, 225241, 225241, 225244, 225244</t>
  </si>
  <si>
    <t xml:space="preserve">225247, 225247, 225247, 225247, 225251, 225254, 225254, 225257, 225257</t>
  </si>
  <si>
    <t xml:space="preserve">225257, 225257, 225257, 225257, 225260, 226753, 226756, 226756, 226756</t>
  </si>
  <si>
    <t xml:space="preserve">226756, 226756, 226756, 226759, 226759, 226762, 226762, 226762, 226762</t>
  </si>
  <si>
    <t xml:space="preserve">226765, 226768, 226768, 226771, 226771, 226771, 226771, 226771, 226771</t>
  </si>
  <si>
    <t xml:space="preserve">226774, 225664, 225667, 225667, 225667, 225667, 225667, 225667, 225670</t>
  </si>
  <si>
    <t xml:space="preserve">225670, 225673, 225673, 225673, 225673, 225676, 225679, 225679, 225682</t>
  </si>
  <si>
    <t xml:space="preserve">225682, 225682, 225682, 225682, 225682, 225687, 226442, 226448, 226448</t>
  </si>
  <si>
    <t xml:space="preserve">226451, 226451, 226451, 226451, 226455, 226459, 226459, 226466, 226445</t>
  </si>
  <si>
    <t xml:space="preserve">226445, 226445, 226445, 226445, 226445, 226462, 226462, 226462, 226462</t>
  </si>
  <si>
    <t xml:space="preserve">226462, 226462, 225977, 225980, 225980, 225980, 225980, 225980, 225980</t>
  </si>
  <si>
    <t xml:space="preserve">225983, 225983, 225986, 225986, 225986, 225986, 225990, 225993, 225993</t>
  </si>
  <si>
    <t xml:space="preserve">225996, 225996, 225996, 225996, 225996, 225996, 226000, 226603, 226603</t>
  </si>
  <si>
    <t xml:space="preserve">226603, 226603, 226603, 226603, 226618, 226618, 226618, 226618, 226618</t>
  </si>
  <si>
    <t xml:space="preserve">226618, 226600, 226606, 226606, 226609, 226609, 226609, 226609, 226612</t>
  </si>
  <si>
    <t xml:space="preserve">226615, 226615, 226622, 226288, 226288, 226288, 226288, 226288, 226288</t>
  </si>
  <si>
    <t xml:space="preserve">226303, 226303, 226303, 226303, 226303, 226303, 226135, 226135, 226135</t>
  </si>
  <si>
    <t xml:space="preserve">226135, 226135, 226135, 226150, 226150, 226150, 226150, 226150, 226150</t>
  </si>
  <si>
    <t xml:space="preserve">226285, 226291, 226291, 226294, 226294, 226294, 226294, 226297, 226300</t>
  </si>
  <si>
    <t xml:space="preserve">226300, 226307, 226132, 226138, 226138, 226141, 226141, 226141, 226141</t>
  </si>
  <si>
    <t xml:space="preserve">0.97 + 0.97 + 0.97 + 0.97 + 0.70 + 0.70 + 0.70 + 0.70 + 0.70 + 0.70 + 0.70</t>
  </si>
  <si>
    <t xml:space="preserve">226144, 226147, 226147, 226153, 225840, 225840, 225840, 225844, 225978, 225981, 225981</t>
  </si>
  <si>
    <t xml:space="preserve">225981, 225981, 225981, 225981, 225984, 225984, 225987, 225987, 225987, 225987, 225991, 225994, 225045</t>
  </si>
  <si>
    <t xml:space="preserve">225994, 225997, 225997, 225997, 225997, 225997, 225997, 226001, 225665, 225668, 225668, 225668, 225045</t>
  </si>
  <si>
    <t xml:space="preserve">225668, 225668, 225668, 225671, 225671, 225674, 225674, 225674, 225674, 225677, 225680, 225680, 225045</t>
  </si>
  <si>
    <t xml:space="preserve">225683, 225683, 225683, 225683, 225683, 225683, 225688, 226136, 226136, 226136, 226136, 226136, 225048</t>
  </si>
  <si>
    <t xml:space="preserve">226136, 226151, 226151, 226151, 226151, 226151, 226151, 226289, 226289, 226289, 226289, 226289, 225049</t>
  </si>
  <si>
    <t xml:space="preserve">226289, 226304, 226304, 226304, 226304, 226304, 226304, 226604, 226604, 226604, 226604, 226604, 225050</t>
  </si>
  <si>
    <t xml:space="preserve">226604, 226619, 226619, 226619, 226619, 226619, 226619, 226757, 226757, 226757, 226757, 226757, 225051</t>
  </si>
  <si>
    <t xml:space="preserve">226757, 226772, 226772, 226772, 226772, 226772, 226772, 226133, 226139, 226139, 226142, 226142, 225437</t>
  </si>
  <si>
    <t xml:space="preserve">226142, 226142, 226145, 226148, 226148, 226154, 226286, 226292, 226292, 226295, 226295, 226295, 225438</t>
  </si>
  <si>
    <t xml:space="preserve">226295, 226298, 226301, 226301, 226308, 226601, 226607, 226607, 226610, 226610, 226610, 226610, 225439</t>
  </si>
  <si>
    <t xml:space="preserve">226613, 226616, 226616, 226623, 226754, 226760, 226760, 226763, 226763, 226763, 226763, 226766, 225440</t>
  </si>
  <si>
    <t xml:space="preserve">226769, 226769, 226775, 225443, 225443, 225443, 225443, 225443, 225444, 225444, 225444, 225444, 225444, 225444, 225445, 225445, 225445, 225445, 225445, 225445</t>
  </si>
  <si>
    <t xml:space="preserve">225446, 225446, 225446, 225446, 225446, 225446, 225449, 225449, 225450, 225450, 225451, 225451, 225452, 225452, 225455, 225455, 225455, 225455, 225456, 225456, 225456, 225456</t>
  </si>
  <si>
    <t xml:space="preserve">225457, 225457, 225457, 225457, 225458, 225458, 225458, 225458, 225461, 225462, 225463, 225464, 225467, 225467, 225468, 225468, 225469, 225469, 225470, 225470, 225473, 225473</t>
  </si>
  <si>
    <t xml:space="preserve">225473, 225473, 225473, 225473, 225474, 225474, 225474, 225474, 225474, 225474, 225475, 225475, 225475, 225475, 225475, 225475, 225476, 225476, 225476, 225476, 225476, 225476</t>
  </si>
  <si>
    <t xml:space="preserve">225479, 225480, 225481, 225482, 226950, 226951, 226952, 226953, 226956, 226956, 226956, 226956, 226956, 226956, 226957, 226957, 226957, 226957, 226957, 226957, 226958, 226958</t>
  </si>
  <si>
    <t xml:space="preserve">226958, 226958, 226958, 226958, 226959, 226959, 226959, 226959, 226959, 226959, 226962, 226962, 226963, 226963, 226964, 226964, 226965, 226965, 226968, 226968, 226968, 226968</t>
  </si>
  <si>
    <t xml:space="preserve">226969, 226969, 226969, 226969, 226970, 226970, 226970, 226970, 226971, 226971, 226971, 226971, 226974, 226975, 226976, 226977, 226980, 226980, 226981, 226981, 226982, 226982</t>
  </si>
  <si>
    <t xml:space="preserve">226983, 226983, 226986, 226986, 226986, 226986, 226986, 226986, 226987, 226987, 226987, 226987, 226987, 226987, 226988, 226988, 226988, 226988, 226988, 226988, 226989, 226989</t>
  </si>
  <si>
    <t xml:space="preserve">226989, 226989, 226989, 226989, 226992, 226993, 226994, 226995, 227218, 227219, 227220, 227221, 227224, 227224, 227224, 227224, 227224, 227224, 227225, 227225, 227225, 227225</t>
  </si>
  <si>
    <t xml:space="preserve">227225, 227225, 227226, 227226, 227226, 227226, 227226, 227226, 227227, 227227, 227227, 227227, 227227, 227227, 227230, 227230, 227231, 227231, 227232, 227232, 227233, 227233</t>
  </si>
  <si>
    <t xml:space="preserve">227236, 227236, 227236, 227236, 227237, 227237, 227237, 227237, 227238, 227238, 227238, 227238, 227239, 227239, 227239, 227239, 227242, 227243, 227244, 227245, 227248, 227248</t>
  </si>
  <si>
    <t xml:space="preserve">227249, 227249, 227250, 227250, 227251, 227251, 227254, 227254, 227254, 227254, 227254, 227254, 227255, 227255, 227255, 227255, 227255, 227255, 227256, 227256, 227256, 227256</t>
  </si>
  <si>
    <t xml:space="preserve">0.39 + 0.39 + 0.39 + 0.39 + 0.39 + 0.39 + 0.39 + 0.39 + 0.39 + 0.39 + 0.39 + 0.39</t>
  </si>
  <si>
    <t xml:space="preserve">227256, 227256, 227257, 227257, 227257, 227257, 227257, 227257, 227260, 227261, 227262, 227263</t>
  </si>
  <si>
    <t xml:space="preserve">229161, 229187</t>
  </si>
  <si>
    <t xml:space="preserve">229165, 229186</t>
  </si>
  <si>
    <t xml:space="preserve">229293, 229185</t>
  </si>
  <si>
    <t xml:space="preserve">229295</t>
  </si>
  <si>
    <t xml:space="preserve">229163</t>
  </si>
  <si>
    <t xml:space="preserve">229289</t>
  </si>
  <si>
    <t xml:space="preserve">229291</t>
  </si>
  <si>
    <t xml:space="preserve">229160, 229189</t>
  </si>
  <si>
    <t xml:space="preserve">229158, 229190</t>
  </si>
  <si>
    <t xml:space="preserve">229156, 229188</t>
  </si>
  <si>
    <t xml:space="preserve">229242</t>
  </si>
  <si>
    <t xml:space="preserve">229240</t>
  </si>
  <si>
    <t xml:space="preserve">229238</t>
  </si>
  <si>
    <t xml:space="preserve">229236</t>
  </si>
  <si>
    <t xml:space="preserve">229296, 229294</t>
  </si>
  <si>
    <t xml:space="preserve">229292, 229290</t>
  </si>
  <si>
    <t xml:space="preserve">229166, 229164</t>
  </si>
  <si>
    <t xml:space="preserve">229162, 229155</t>
  </si>
  <si>
    <t xml:space="preserve">229157, 229159</t>
  </si>
  <si>
    <t xml:space="preserve">229235, 229237</t>
  </si>
  <si>
    <t xml:space="preserve">229239, 229241</t>
  </si>
  <si>
    <t xml:space="preserve">229207, 229209</t>
  </si>
  <si>
    <t xml:space="preserve">229211, 229217</t>
  </si>
  <si>
    <t xml:space="preserve">229213, 229215</t>
  </si>
  <si>
    <t xml:space="preserve">229219, 229223</t>
  </si>
  <si>
    <t xml:space="preserve">229231, 229221</t>
  </si>
  <si>
    <t xml:space="preserve">229227, 229225</t>
  </si>
  <si>
    <t xml:space="preserve">229229, 229233</t>
  </si>
  <si>
    <t xml:space="preserve">3.20 + 3.20 + 2.37</t>
  </si>
  <si>
    <t xml:space="preserve">225788, 225190, 229173</t>
  </si>
  <si>
    <t xml:space="preserve">225195, 225621, 229174</t>
  </si>
  <si>
    <t xml:space="preserve">225626, 225942, 229175</t>
  </si>
  <si>
    <t xml:space="preserve">226095, 226100, 229176</t>
  </si>
  <si>
    <t xml:space="preserve">226250, 226562, 229177</t>
  </si>
  <si>
    <t xml:space="preserve">226716, 226721, 229178</t>
  </si>
  <si>
    <t xml:space="preserve">3.20 + 3.20 + 2.23</t>
  </si>
  <si>
    <t xml:space="preserve">227402, 227407, 229179</t>
  </si>
  <si>
    <t xml:space="preserve">225783, 226245, 229180</t>
  </si>
  <si>
    <t xml:space="preserve">226400, 226405, 229181</t>
  </si>
  <si>
    <t xml:space="preserve">226567, 225937, 229182</t>
  </si>
  <si>
    <t xml:space="preserve">229183, 229184</t>
  </si>
  <si>
    <t xml:space="preserve">228036, 228037</t>
  </si>
  <si>
    <t xml:space="preserve">228038, 228040</t>
  </si>
  <si>
    <t xml:space="preserve">228041, 228039</t>
  </si>
  <si>
    <t xml:space="preserve">3.35 + 3.35</t>
  </si>
  <si>
    <t xml:space="preserve">224879, 224939</t>
  </si>
  <si>
    <t xml:space="preserve">226836, 226856</t>
  </si>
  <si>
    <t xml:space="preserve">226866, 224884</t>
  </si>
  <si>
    <t xml:space="preserve">224929, 225323</t>
  </si>
  <si>
    <t xml:space="preserve">225333, 225343</t>
  </si>
  <si>
    <t xml:space="preserve">225353, 226846</t>
  </si>
  <si>
    <t xml:space="preserve">227094, 227099</t>
  </si>
  <si>
    <t xml:space="preserve">227144, 227154</t>
  </si>
  <si>
    <t xml:space="preserve">224889, 224899</t>
  </si>
  <si>
    <t xml:space="preserve">224904, 226085</t>
  </si>
  <si>
    <t xml:space="preserve">226215, 226230</t>
  </si>
  <si>
    <t xml:space="preserve">226240, 226691</t>
  </si>
  <si>
    <t xml:space="preserve">226876, 224909</t>
  </si>
  <si>
    <t xml:space="preserve">224914, 224919</t>
  </si>
  <si>
    <t xml:space="preserve">224924, 225150</t>
  </si>
  <si>
    <t xml:space="preserve">225155, 225160</t>
  </si>
  <si>
    <t xml:space="preserve">225165, 225170</t>
  </si>
  <si>
    <t xml:space="preserve">225175, 225180</t>
  </si>
  <si>
    <t xml:space="preserve">225185, 225313</t>
  </si>
  <si>
    <t xml:space="preserve">225318, 225328</t>
  </si>
  <si>
    <t xml:space="preserve">225363, 225368</t>
  </si>
  <si>
    <t xml:space="preserve">225373, 225378</t>
  </si>
  <si>
    <t xml:space="preserve">226055, 226065</t>
  </si>
  <si>
    <t xml:space="preserve">226075, 226080</t>
  </si>
  <si>
    <t xml:space="preserve">226205, 226210</t>
  </si>
  <si>
    <t xml:space="preserve">226220, 226225</t>
  </si>
  <si>
    <t xml:space="preserve">226235, 226360</t>
  </si>
  <si>
    <t xml:space="preserve">226365, 226370</t>
  </si>
  <si>
    <t xml:space="preserve">226375, 226380</t>
  </si>
  <si>
    <t xml:space="preserve">226385, 226390</t>
  </si>
  <si>
    <t xml:space="preserve">226395, 226522</t>
  </si>
  <si>
    <t xml:space="preserve">226527, 226532</t>
  </si>
  <si>
    <t xml:space="preserve">226537, 226542</t>
  </si>
  <si>
    <t xml:space="preserve">226547, 226552</t>
  </si>
  <si>
    <t xml:space="preserve">226557, 226676</t>
  </si>
  <si>
    <t xml:space="preserve">226686, 226696</t>
  </si>
  <si>
    <t xml:space="preserve">226701, 226826</t>
  </si>
  <si>
    <t xml:space="preserve">226831, 226841</t>
  </si>
  <si>
    <t xml:space="preserve">226881, 226886</t>
  </si>
  <si>
    <t xml:space="preserve">226891, 227104</t>
  </si>
  <si>
    <t xml:space="preserve">227114, 227119</t>
  </si>
  <si>
    <t xml:space="preserve">227124, 227129</t>
  </si>
  <si>
    <t xml:space="preserve">227134, 227139</t>
  </si>
  <si>
    <t xml:space="preserve">227159, 227362</t>
  </si>
  <si>
    <t xml:space="preserve">227367, 227372</t>
  </si>
  <si>
    <t xml:space="preserve">227377, 227382</t>
  </si>
  <si>
    <t xml:space="preserve">227387, 227392</t>
  </si>
  <si>
    <t xml:space="preserve">227397, 224894</t>
  </si>
  <si>
    <t xml:space="preserve">224934, 224944</t>
  </si>
  <si>
    <t xml:space="preserve">225338, 225348</t>
  </si>
  <si>
    <t xml:space="preserve">225358, 225581</t>
  </si>
  <si>
    <t xml:space="preserve">225586, 225591</t>
  </si>
  <si>
    <t xml:space="preserve">225596, 225601</t>
  </si>
  <si>
    <t xml:space="preserve">225606, 225611</t>
  </si>
  <si>
    <t xml:space="preserve">225616, 225743</t>
  </si>
  <si>
    <t xml:space="preserve">225748, 225753</t>
  </si>
  <si>
    <t xml:space="preserve">225758, 225763</t>
  </si>
  <si>
    <t xml:space="preserve">225768, 225773</t>
  </si>
  <si>
    <t xml:space="preserve">225778, 225897</t>
  </si>
  <si>
    <t xml:space="preserve">225902, 225907</t>
  </si>
  <si>
    <t xml:space="preserve">225912, 225917</t>
  </si>
  <si>
    <t xml:space="preserve">225922, 225927</t>
  </si>
  <si>
    <t xml:space="preserve">225932, 226060</t>
  </si>
  <si>
    <t xml:space="preserve">226070, 226090</t>
  </si>
  <si>
    <t xml:space="preserve">226681, 226706</t>
  </si>
  <si>
    <t xml:space="preserve">226711, 226851</t>
  </si>
  <si>
    <t xml:space="preserve">226861, 226871</t>
  </si>
  <si>
    <t xml:space="preserve">227109, 227149</t>
  </si>
  <si>
    <t xml:space="preserve">227761a</t>
  </si>
  <si>
    <t xml:space="preserve">227765a</t>
  </si>
  <si>
    <t xml:space="preserve">227784a</t>
  </si>
  <si>
    <t xml:space="preserve">227788a</t>
  </si>
  <si>
    <t xml:space="preserve">227809a</t>
  </si>
  <si>
    <t xml:space="preserve">227814a</t>
  </si>
  <si>
    <t xml:space="preserve">228173a</t>
  </si>
  <si>
    <t xml:space="preserve">228178a</t>
  </si>
  <si>
    <t xml:space="preserve">228195</t>
  </si>
  <si>
    <t xml:space="preserve">228199</t>
  </si>
  <si>
    <t xml:space="preserve">227818</t>
  </si>
  <si>
    <t xml:space="preserve">227822</t>
  </si>
  <si>
    <t xml:space="preserve">227767</t>
  </si>
  <si>
    <t xml:space="preserve">227771</t>
  </si>
  <si>
    <t xml:space="preserve">227792</t>
  </si>
  <si>
    <t xml:space="preserve">227796</t>
  </si>
  <si>
    <t xml:space="preserve">228201</t>
  </si>
  <si>
    <t xml:space="preserve">228205</t>
  </si>
  <si>
    <t xml:space="preserve">228180</t>
  </si>
  <si>
    <t xml:space="preserve">228184</t>
  </si>
  <si>
    <t xml:space="preserve">228220</t>
  </si>
  <si>
    <t xml:space="preserve">228216</t>
  </si>
  <si>
    <t xml:space="preserve">228159</t>
  </si>
  <si>
    <t xml:space="preserve">228155</t>
  </si>
  <si>
    <t xml:space="preserve">228161</t>
  </si>
  <si>
    <t xml:space="preserve">7.73</t>
  </si>
  <si>
    <t xml:space="preserve">228222</t>
  </si>
  <si>
    <t xml:space="preserve">228165</t>
  </si>
  <si>
    <t xml:space="preserve">7.65 + 1.27</t>
  </si>
  <si>
    <t xml:space="preserve">228226, 228173b</t>
  </si>
  <si>
    <t xml:space="preserve">228174, 228200</t>
  </si>
  <si>
    <t xml:space="preserve">228217, 228204</t>
  </si>
  <si>
    <t xml:space="preserve">228196, 227783</t>
  </si>
  <si>
    <t xml:space="preserve">228156, 227764</t>
  </si>
  <si>
    <t xml:space="preserve">227816, 228194</t>
  </si>
  <si>
    <t xml:space="preserve">227763, 228198</t>
  </si>
  <si>
    <t xml:space="preserve">227786, 228154</t>
  </si>
  <si>
    <t xml:space="preserve">227790, 228158</t>
  </si>
  <si>
    <t xml:space="preserve">6.08 + 2.70</t>
  </si>
  <si>
    <t xml:space="preserve">227812, 228172</t>
  </si>
  <si>
    <t xml:space="preserve">228202, 228177</t>
  </si>
  <si>
    <t xml:space="preserve">228206, 228215</t>
  </si>
  <si>
    <t xml:space="preserve">228181, 228219</t>
  </si>
  <si>
    <t xml:space="preserve">228185, 227760</t>
  </si>
  <si>
    <t xml:space="preserve">228223, 227813</t>
  </si>
  <si>
    <t xml:space="preserve">5.87 + 2.55</t>
  </si>
  <si>
    <t xml:space="preserve">228227, 227808</t>
  </si>
  <si>
    <t xml:space="preserve">5.87 + 2.51</t>
  </si>
  <si>
    <t xml:space="preserve">228162, 227787</t>
  </si>
  <si>
    <t xml:space="preserve">5.87 + 2.37</t>
  </si>
  <si>
    <t xml:space="preserve">228166, 228179</t>
  </si>
  <si>
    <t xml:space="preserve">227785, 228183</t>
  </si>
  <si>
    <t xml:space="preserve">227762, 228221</t>
  </si>
  <si>
    <t xml:space="preserve">227815, 228225</t>
  </si>
  <si>
    <t xml:space="preserve">5.68 + 2.37</t>
  </si>
  <si>
    <t xml:space="preserve">227810, 228160</t>
  </si>
  <si>
    <t xml:space="preserve">227789, 228164</t>
  </si>
  <si>
    <t xml:space="preserve">5.57 + 1.97 + 1.39</t>
  </si>
  <si>
    <t xml:space="preserve">227794, 227791, 227814b</t>
  </si>
  <si>
    <t xml:space="preserve">227798, 227795, 227761b</t>
  </si>
  <si>
    <t xml:space="preserve">5.42 + 1.82 + 1.47</t>
  </si>
  <si>
    <t xml:space="preserve">227820, 227766, 227784b</t>
  </si>
  <si>
    <t xml:space="preserve">227824, 227770, 227788b</t>
  </si>
  <si>
    <t xml:space="preserve">5.42 + 1.82 + 1.35</t>
  </si>
  <si>
    <t xml:space="preserve">227769, 227817, 227809b</t>
  </si>
  <si>
    <t xml:space="preserve">227773, 227821, 227765b</t>
  </si>
  <si>
    <t xml:space="preserve">5.35 + 1.27</t>
  </si>
  <si>
    <t xml:space="preserve">228197, 228178b</t>
  </si>
  <si>
    <t xml:space="preserve">227768</t>
  </si>
  <si>
    <t xml:space="preserve">227772</t>
  </si>
  <si>
    <t xml:space="preserve">227819</t>
  </si>
  <si>
    <t xml:space="preserve">227823</t>
  </si>
  <si>
    <t xml:space="preserve">228176</t>
  </si>
  <si>
    <t xml:space="preserve">227793</t>
  </si>
  <si>
    <t xml:space="preserve">227797</t>
  </si>
  <si>
    <t xml:space="preserve">228186, 228218</t>
  </si>
  <si>
    <t xml:space="preserve">228182</t>
  </si>
  <si>
    <t xml:space="preserve">228207</t>
  </si>
  <si>
    <t xml:space="preserve">228203</t>
  </si>
  <si>
    <t xml:space="preserve">4.29 + 4.23</t>
  </si>
  <si>
    <t xml:space="preserve">228163, 228224</t>
  </si>
  <si>
    <t xml:space="preserve">4.23 + 4.21</t>
  </si>
  <si>
    <t xml:space="preserve">228157, 228167</t>
  </si>
  <si>
    <t xml:space="preserve">4.15</t>
  </si>
  <si>
    <t xml:space="preserve">228228</t>
  </si>
  <si>
    <t xml:space="preserve">229653, 229722</t>
  </si>
  <si>
    <t xml:space="preserve">229657, 229722</t>
  </si>
  <si>
    <t xml:space="preserve">229658, 229722</t>
  </si>
  <si>
    <t xml:space="preserve">229659, 229722</t>
  </si>
  <si>
    <t xml:space="preserve">229660, 229722</t>
  </si>
  <si>
    <t xml:space="preserve">229661, 229722</t>
  </si>
  <si>
    <t xml:space="preserve">229662, 229722</t>
  </si>
  <si>
    <t xml:space="preserve">229663, 229724</t>
  </si>
  <si>
    <t xml:space="preserve">229664, 229724</t>
  </si>
  <si>
    <t xml:space="preserve">229665, 229724</t>
  </si>
  <si>
    <t xml:space="preserve">229666, 229724</t>
  </si>
  <si>
    <t xml:space="preserve">229667, 229724</t>
  </si>
  <si>
    <t xml:space="preserve">229654, 229724</t>
  </si>
  <si>
    <t xml:space="preserve">229655, 229724</t>
  </si>
  <si>
    <t xml:space="preserve">229656, 229724</t>
  </si>
  <si>
    <t xml:space="preserve">229668, 229724</t>
  </si>
  <si>
    <t xml:space="preserve">229669, 229724</t>
  </si>
  <si>
    <t xml:space="preserve">229621, 229724, 229724</t>
  </si>
  <si>
    <t xml:space="preserve">229623, 229724, 229724</t>
  </si>
  <si>
    <t xml:space="preserve">229625, 229723, 229723</t>
  </si>
  <si>
    <t xml:space="preserve">229627, 229723, 229723</t>
  </si>
  <si>
    <t xml:space="preserve">229629, 229723, 229723</t>
  </si>
  <si>
    <t xml:space="preserve">229631, 229723, 229723</t>
  </si>
  <si>
    <t xml:space="preserve">229633, 229723, 229723</t>
  </si>
  <si>
    <t xml:space="preserve">229635, 229723, 229723</t>
  </si>
  <si>
    <t xml:space="preserve">229637, 229723, 229723</t>
  </si>
  <si>
    <t xml:space="preserve">229639, 229725, 229725</t>
  </si>
  <si>
    <t xml:space="preserve">229641, 229725, 229725</t>
  </si>
  <si>
    <t xml:space="preserve">229643, 229725, 229725</t>
  </si>
  <si>
    <t xml:space="preserve">229645, 229725, 229725</t>
  </si>
  <si>
    <t xml:space="preserve">229647, 229725, 229725</t>
  </si>
  <si>
    <t xml:space="preserve">229649, 229725, 229725</t>
  </si>
  <si>
    <t xml:space="preserve">229651, 229725, 229725</t>
  </si>
  <si>
    <t xml:space="preserve">229620, 229725, 229725</t>
  </si>
  <si>
    <t xml:space="preserve">229618, 229727, 229727</t>
  </si>
  <si>
    <t xml:space="preserve">229616, 229727, 229727</t>
  </si>
  <si>
    <t xml:space="preserve">229614, 229727, 229727</t>
  </si>
  <si>
    <t xml:space="preserve">229612, 229727, 229727</t>
  </si>
  <si>
    <t xml:space="preserve">229610, 229727, 229727</t>
  </si>
  <si>
    <t xml:space="preserve">229608, 229727, 229727</t>
  </si>
  <si>
    <t xml:space="preserve">229606, 229727, 229727</t>
  </si>
  <si>
    <t xml:space="preserve">229604</t>
  </si>
  <si>
    <t xml:space="preserve">229602</t>
  </si>
  <si>
    <t xml:space="preserve">229720</t>
  </si>
  <si>
    <t xml:space="preserve">229600</t>
  </si>
  <si>
    <t xml:space="preserve">229598</t>
  </si>
  <si>
    <t xml:space="preserve">229596</t>
  </si>
  <si>
    <t xml:space="preserve">229594</t>
  </si>
  <si>
    <t xml:space="preserve">229592</t>
  </si>
  <si>
    <t xml:space="preserve">229590</t>
  </si>
  <si>
    <t xml:space="preserve">229589</t>
  </si>
  <si>
    <t xml:space="preserve">229588</t>
  </si>
  <si>
    <t xml:space="preserve">229587</t>
  </si>
  <si>
    <t xml:space="preserve">229586</t>
  </si>
  <si>
    <t xml:space="preserve">229585</t>
  </si>
  <si>
    <t xml:space="preserve">229584</t>
  </si>
  <si>
    <t xml:space="preserve">229708</t>
  </si>
  <si>
    <t xml:space="preserve">229710</t>
  </si>
  <si>
    <t xml:space="preserve">229712</t>
  </si>
  <si>
    <t xml:space="preserve">229714</t>
  </si>
  <si>
    <t xml:space="preserve">229716</t>
  </si>
  <si>
    <t xml:space="preserve">229682</t>
  </si>
  <si>
    <t xml:space="preserve">229684</t>
  </si>
  <si>
    <t xml:space="preserve">229686</t>
  </si>
  <si>
    <t xml:space="preserve">229688</t>
  </si>
  <si>
    <t xml:space="preserve">229690</t>
  </si>
  <si>
    <t xml:space="preserve">229692</t>
  </si>
  <si>
    <t xml:space="preserve">229694</t>
  </si>
  <si>
    <t xml:space="preserve">229696</t>
  </si>
  <si>
    <t xml:space="preserve">229698</t>
  </si>
  <si>
    <t xml:space="preserve">229700</t>
  </si>
  <si>
    <t xml:space="preserve">229702</t>
  </si>
  <si>
    <t xml:space="preserve">229704</t>
  </si>
  <si>
    <t xml:space="preserve">229706</t>
  </si>
  <si>
    <t xml:space="preserve">229718</t>
  </si>
  <si>
    <t xml:space="preserve">229670</t>
  </si>
  <si>
    <t xml:space="preserve">229672</t>
  </si>
  <si>
    <t xml:space="preserve">229674</t>
  </si>
  <si>
    <t xml:space="preserve">229676</t>
  </si>
  <si>
    <t xml:space="preserve">229678</t>
  </si>
  <si>
    <t xml:space="preserve">229680</t>
  </si>
  <si>
    <t xml:space="preserve">229652, 229650</t>
  </si>
  <si>
    <t xml:space="preserve">229648, 229646</t>
  </si>
  <si>
    <t xml:space="preserve">229644, 229642</t>
  </si>
  <si>
    <t xml:space="preserve">229640, 229638, 229726</t>
  </si>
  <si>
    <t xml:space="preserve">229671, 229673, 229726</t>
  </si>
  <si>
    <t xml:space="preserve">229675, 229679, 229726</t>
  </si>
  <si>
    <t xml:space="preserve">229681, 229683, 229726</t>
  </si>
  <si>
    <t xml:space="preserve">229685, 229687, 229726</t>
  </si>
  <si>
    <t xml:space="preserve">229695, 229677, 229726</t>
  </si>
  <si>
    <t xml:space="preserve">229689, 229691, 229726</t>
  </si>
  <si>
    <t xml:space="preserve">229693, 229697, 229726</t>
  </si>
  <si>
    <t xml:space="preserve">229699, 229701, 229726</t>
  </si>
  <si>
    <t xml:space="preserve">229703, 229705, 229726</t>
  </si>
  <si>
    <t xml:space="preserve">229707, 229709, 229726</t>
  </si>
  <si>
    <t xml:space="preserve">229711, 229713, 229726</t>
  </si>
  <si>
    <t xml:space="preserve">229715, 229717, 229726</t>
  </si>
  <si>
    <t xml:space="preserve">229719, 229636, 229726</t>
  </si>
  <si>
    <t xml:space="preserve">229634, 229632, 229728</t>
  </si>
  <si>
    <t xml:space="preserve">229630, 229628, 229728</t>
  </si>
  <si>
    <t xml:space="preserve">229626, 229624, 229722</t>
  </si>
  <si>
    <t xml:space="preserve">229622, 229591, 229722</t>
  </si>
  <si>
    <t xml:space="preserve">229593, 229595, 229722</t>
  </si>
  <si>
    <t xml:space="preserve">229597, 229599, 229722</t>
  </si>
  <si>
    <t xml:space="preserve">229601, 229603, 229722</t>
  </si>
  <si>
    <t xml:space="preserve">229605, 229607, 229722</t>
  </si>
  <si>
    <t xml:space="preserve">229609, 229611, 229722</t>
  </si>
  <si>
    <t xml:space="preserve">229613, 229615, 229722</t>
  </si>
  <si>
    <t xml:space="preserve">229617, 229619, 229722</t>
  </si>
  <si>
    <t xml:space="preserve">229721</t>
  </si>
  <si>
    <t xml:space="preserve">229517, 229519, 229491</t>
  </si>
  <si>
    <t xml:space="preserve">229521, 229503, 229493</t>
  </si>
  <si>
    <t xml:space="preserve">229505, 229507, 229483</t>
  </si>
  <si>
    <t xml:space="preserve">229509, 229511, 229487</t>
  </si>
  <si>
    <t xml:space="preserve">229513, 229515, 229485</t>
  </si>
  <si>
    <t xml:space="preserve">229495, 229497, 229489</t>
  </si>
  <si>
    <t xml:space="preserve">229499, 229501, 229479</t>
  </si>
  <si>
    <t xml:space="preserve">231531, 231511, 229530</t>
  </si>
  <si>
    <t xml:space="preserve">231528, 231532, 229532</t>
  </si>
  <si>
    <t xml:space="preserve">231533, 231530, 229534</t>
  </si>
  <si>
    <t xml:space="preserve">231506, 231507, 229536</t>
  </si>
  <si>
    <t xml:space="preserve">231510, 231529, 229538</t>
  </si>
  <si>
    <t xml:space="preserve">231509, 231508, 229542</t>
  </si>
  <si>
    <t xml:space="preserve">231517, 231536, 229544, 225054</t>
  </si>
  <si>
    <t xml:space="preserve">231534, 231535, 229546, 225055</t>
  </si>
  <si>
    <t xml:space="preserve">231514, 231516, 229540, 225056</t>
  </si>
  <si>
    <t xml:space="preserve">231537, 231538, 229548, 225057</t>
  </si>
  <si>
    <t xml:space="preserve">231539, 231515, 229556, 225060</t>
  </si>
  <si>
    <t xml:space="preserve">231512, 231513, 229558, 225060</t>
  </si>
  <si>
    <t xml:space="preserve">229562, 229568, 229570, 229550</t>
  </si>
  <si>
    <t xml:space="preserve">229552, 229560, 229564, 229566</t>
  </si>
  <si>
    <t xml:space="preserve">229574, 229554, 231486, 231487</t>
  </si>
  <si>
    <t xml:space="preserve">231488, 231489, 231504, 231505</t>
  </si>
  <si>
    <t xml:space="preserve">231484, 231485, 231500, 231501</t>
  </si>
  <si>
    <t xml:space="preserve">2.16 + 2.16 + 2.08 + 2.08 + 0.39</t>
  </si>
  <si>
    <t xml:space="preserve">231502, 231503, 229490, 229492, 225092</t>
  </si>
  <si>
    <t xml:space="preserve">229482, 229484, 229486, 229488, 225491</t>
  </si>
  <si>
    <t xml:space="preserve">2.08 + 2.08 + 2.02 + 2.02 + 0.70</t>
  </si>
  <si>
    <t xml:space="preserve">229480, 229478, 229531, 229533, 225267</t>
  </si>
  <si>
    <t xml:space="preserve">229535, 229537, 229539, 229541, 225862</t>
  </si>
  <si>
    <t xml:space="preserve">229543, 229545, 229547, 229549, 225865</t>
  </si>
  <si>
    <t xml:space="preserve">229572, 229573, 229551, 229553, 225865</t>
  </si>
  <si>
    <t xml:space="preserve">229555, 229557, 229559, 229561, 225865</t>
  </si>
  <si>
    <t xml:space="preserve">229563, 229565, 229567, 229569, 225865</t>
  </si>
  <si>
    <t xml:space="preserve">2.02 + 2.02 + 1.87 + 1.62 + 1.42</t>
  </si>
  <si>
    <t xml:space="preserve">Columnas, Losa, Vigas</t>
  </si>
  <si>
    <t xml:space="preserve">229571, 229575, 229481, 227264, 228271</t>
  </si>
  <si>
    <t xml:space="preserve">227270, 227270, 227270, 227270, 227270, 225267</t>
  </si>
  <si>
    <t xml:space="preserve">227270, 227276, 227276, 227282, 227282, 225267</t>
  </si>
  <si>
    <t xml:space="preserve">227282, 227282, 227288, 227294, 227294, 225267</t>
  </si>
  <si>
    <t xml:space="preserve">227300, 227300, 227300, 227300, 227300, 225267</t>
  </si>
  <si>
    <t xml:space="preserve">227300, 227306, 226997, 227003, 227003, 225267</t>
  </si>
  <si>
    <t xml:space="preserve">227003, 227003, 227003, 227003, 227009, 225270</t>
  </si>
  <si>
    <t xml:space="preserve">227009, 227015, 227015, 227015, 227015, 225270</t>
  </si>
  <si>
    <t xml:space="preserve">227021, 227027, 227027, 227033, 227033, 225273</t>
  </si>
  <si>
    <t xml:space="preserve">227033, 227033, 227033, 227033, 227039, 225273</t>
  </si>
  <si>
    <t xml:space="preserve">227265, 227271, 227271, 227271, 227271, 225273</t>
  </si>
  <si>
    <t xml:space="preserve">227271, 227271, 227277, 227277, 227283, 225273</t>
  </si>
  <si>
    <t xml:space="preserve">227283, 227283, 227283, 227289, 227295, 225277</t>
  </si>
  <si>
    <t xml:space="preserve">227295, 227301, 227301, 227301, 227301, 225280</t>
  </si>
  <si>
    <t xml:space="preserve">227301, 227301, 227307, 225058, 225058, 225280</t>
  </si>
  <si>
    <t xml:space="preserve">225058, 225058, 225058, 225058, 225088, 225283</t>
  </si>
  <si>
    <t xml:space="preserve">225088, 225088, 225088, 225088, 225088, 225283</t>
  </si>
  <si>
    <t xml:space="preserve">225489, 225489, 225489, 225489, 225489, 225283</t>
  </si>
  <si>
    <t xml:space="preserve">225489, 225519, 225519, 225519, 225519, 225283</t>
  </si>
  <si>
    <t xml:space="preserve">225519, 225519, 225052, 225064, 225064, 225283</t>
  </si>
  <si>
    <t xml:space="preserve">225070, 225070, 225070, 225070, 225076, 225283</t>
  </si>
  <si>
    <t xml:space="preserve">225082, 225082, 225094, 225483, 225495, 225286</t>
  </si>
  <si>
    <t xml:space="preserve">225495, 225501, 225501, 225501, 225501, 226470</t>
  </si>
  <si>
    <t xml:space="preserve">225507, 225513, 225513, 225525, 225845, 226473</t>
  </si>
  <si>
    <t xml:space="preserve">225848, 225848, 225848, 225848, 225848, 226473</t>
  </si>
  <si>
    <t xml:space="preserve">225848, 225851, 225851, 225854, 225854, 226473</t>
  </si>
  <si>
    <t xml:space="preserve">225854, 225854, 225857, 225860, 225860, 226473</t>
  </si>
  <si>
    <t xml:space="preserve">225863, 225863, 225863, 225863, 225863, 226473</t>
  </si>
  <si>
    <t xml:space="preserve">225863, 225866, 226471, 226471, 226471, 226473</t>
  </si>
  <si>
    <t xml:space="preserve">226471, 226471, 226471, 226488, 226488, 226476</t>
  </si>
  <si>
    <t xml:space="preserve">226488, 226488, 226488, 226488, 226996, 226476</t>
  </si>
  <si>
    <t xml:space="preserve">227002, 227002, 227002, 227002, 227002, 226479</t>
  </si>
  <si>
    <t xml:space="preserve">227002, 227008, 227008, 227014, 227014, 226479</t>
  </si>
  <si>
    <t xml:space="preserve">227014, 227014, 227020, 227026, 227026, 226479</t>
  </si>
  <si>
    <t xml:space="preserve">227032, 227032, 227032, 227032, 227032, 226479</t>
  </si>
  <si>
    <t xml:space="preserve">227032, 227038, 226468, 226474, 226474, 226483</t>
  </si>
  <si>
    <t xml:space="preserve">226477, 226477, 226477, 226477, 226480, 226487</t>
  </si>
  <si>
    <t xml:space="preserve">226485, 226485, 226491, 225053, 225059, 226487</t>
  </si>
  <si>
    <t xml:space="preserve">225059, 225059, 225059, 225059, 225059, 226490</t>
  </si>
  <si>
    <t xml:space="preserve">225065, 225065, 225071, 225071, 225071, 226490</t>
  </si>
  <si>
    <t xml:space="preserve">225071, 225077, 225083, 225083, 225089, 226490</t>
  </si>
  <si>
    <t xml:space="preserve">225089, 225089, 225089, 225089, 225089, 226490</t>
  </si>
  <si>
    <t xml:space="preserve">225095, 227471, 227474, 227474, 227474, 226490</t>
  </si>
  <si>
    <t xml:space="preserve">227474, 227474, 227474, 227477, 227477, 226490</t>
  </si>
  <si>
    <t xml:space="preserve">227480, 227480, 227480, 227480, 227483, 226494</t>
  </si>
  <si>
    <t xml:space="preserve">227486, 227486, 227489, 227489, 227489, 227473</t>
  </si>
  <si>
    <t xml:space="preserve">227489, 227489, 227489, 227492, 225262, 227476</t>
  </si>
  <si>
    <t xml:space="preserve">225265, 225265, 225265, 225265, 225265, 227476</t>
  </si>
  <si>
    <t xml:space="preserve">225265, 225268, 225268, 225271, 225271, 227476</t>
  </si>
  <si>
    <t xml:space="preserve">225271, 225271, 225274, 225278, 225278, 227476</t>
  </si>
  <si>
    <t xml:space="preserve">225281, 225281, 225281, 225281, 225281, 227476</t>
  </si>
  <si>
    <t xml:space="preserve">225281, 225284, 225490, 225490, 225490, 227476</t>
  </si>
  <si>
    <t xml:space="preserve">225490, 225490, 225490, 225520, 225520, 227479</t>
  </si>
  <si>
    <t xml:space="preserve">225520, 225520, 225520, 225520, 225484, 227479</t>
  </si>
  <si>
    <t xml:space="preserve">225496, 225496, 225502, 225502, 225502, 227482</t>
  </si>
  <si>
    <t xml:space="preserve">225502, 225508, 225514, 225514, 225526, 227482</t>
  </si>
  <si>
    <t xml:space="preserve">226155, 226161, 226161, 226164, 226164, 227482</t>
  </si>
  <si>
    <t xml:space="preserve">226164, 226164, 226167, 226170, 226170, 227482</t>
  </si>
  <si>
    <t xml:space="preserve">226176, 226309, 226315, 226315, 226318, 227485</t>
  </si>
  <si>
    <t xml:space="preserve">226318, 226318, 226318, 226321, 226324, 227488</t>
  </si>
  <si>
    <t xml:space="preserve">226324, 226330, 226158, 226158, 226158, 227488</t>
  </si>
  <si>
    <t xml:space="preserve">226158, 226158, 226158, 226173, 226173, 227491</t>
  </si>
  <si>
    <t xml:space="preserve">226173, 226173, 226173, 226173, 226312, 227491</t>
  </si>
  <si>
    <t xml:space="preserve">226312, 226312, 226312, 226312, 226312, 227491</t>
  </si>
  <si>
    <t xml:space="preserve">226327, 226327, 226327, 226327, 226327, 227491</t>
  </si>
  <si>
    <t xml:space="preserve">226327, 226002, 226008, 226008, 226011, 227491</t>
  </si>
  <si>
    <t xml:space="preserve">226011, 226011, 226011, 226014, 226018, 227491</t>
  </si>
  <si>
    <t xml:space="preserve">226018, 226024, 226005, 226005, 226005, 227494</t>
  </si>
  <si>
    <t xml:space="preserve">226005, 226005, 226005, 226021, 226021, 225847</t>
  </si>
  <si>
    <t xml:space="preserve">226021, 226021, 226021, 226021, 226627, 225850</t>
  </si>
  <si>
    <t xml:space="preserve">226627, 226627, 226627, 226627, 226627, 225850</t>
  </si>
  <si>
    <t xml:space="preserve">226642, 226642, 226642, 226642, 226642, 225850</t>
  </si>
  <si>
    <t xml:space="preserve">226642, 226624, 226630, 226630, 226633, 225850</t>
  </si>
  <si>
    <t xml:space="preserve">226633, 226633, 226633, 226636, 226639, 225850</t>
  </si>
  <si>
    <t xml:space="preserve">226639, 226645, 226776, 226779, 226779, 225850</t>
  </si>
  <si>
    <t xml:space="preserve">226779, 226779, 226779, 226779, 226782, 225853</t>
  </si>
  <si>
    <t xml:space="preserve">226782, 226785, 226785, 226785, 226785, 225853</t>
  </si>
  <si>
    <t xml:space="preserve">226788, 226791, 226791, 226794, 226794, 225856</t>
  </si>
  <si>
    <t xml:space="preserve">226794, 226794, 226794, 226794, 226797, 225856</t>
  </si>
  <si>
    <t xml:space="preserve">225689, 225692, 225692, 225692, 225692, 225856</t>
  </si>
  <si>
    <t xml:space="preserve">225692, 225692, 225695, 225695, 225698, 225856</t>
  </si>
  <si>
    <t xml:space="preserve">225698, 225698, 225698, 225701, 225704, 225859</t>
  </si>
  <si>
    <t xml:space="preserve">225704, 225707, 225707, 225707, 225707, 225862</t>
  </si>
  <si>
    <t xml:space="preserve">1.62 + 1.62 + 1.62 + 1.42 + 1.42 + 1.15</t>
  </si>
  <si>
    <t xml:space="preserve">225707, 225707, 225710, 228271, 228271, 231497</t>
  </si>
  <si>
    <t xml:space="preserve">228271, 228271, 228271, 228272, 228272, 228272, 225060</t>
  </si>
  <si>
    <t xml:space="preserve">228272, 228272, 228272, 228272, 228272, 228272, 225060</t>
  </si>
  <si>
    <t xml:space="preserve">228272, 228272, 228272, 227851, 227851, 227874, 225060</t>
  </si>
  <si>
    <t xml:space="preserve">227874, 227874, 227874, 227874, 227874, 227874, 225060</t>
  </si>
  <si>
    <t xml:space="preserve">227874, 227874, 227874, 227852, 227852, 227852, 225061</t>
  </si>
  <si>
    <t xml:space="preserve">227852, 227852, 227852, 227852, 227852, 227852, 225061</t>
  </si>
  <si>
    <t xml:space="preserve">227852, 227854, 227854, 227854, 227855, 227855, 225061</t>
  </si>
  <si>
    <t xml:space="preserve">227855, 227855, 227855, 227855, 227855, 227855, 225061</t>
  </si>
  <si>
    <t xml:space="preserve">227855, 227855, 227875, 227875, 227875, 227875, 225061</t>
  </si>
  <si>
    <t xml:space="preserve">227875, 227875, 227875, 227875, 227875, 227875, 225061</t>
  </si>
  <si>
    <t xml:space="preserve">227877, 227877, 227877, 227877, 227877, 227877, 225062</t>
  </si>
  <si>
    <t xml:space="preserve">227877, 227877, 227877, 227877, 227878, 227878, 225062</t>
  </si>
  <si>
    <t xml:space="preserve">227878, 227878, 227878, 227878, 227878, 227878, 225062</t>
  </si>
  <si>
    <t xml:space="preserve">227878, 227878, 227880, 227880, 227880, 227880, 225062</t>
  </si>
  <si>
    <t xml:space="preserve">227880, 227880, 227880, 227880, 227880, 227880, 225062</t>
  </si>
  <si>
    <t xml:space="preserve">227881, 227881, 227881, 227881, 227881, 227881, 225062</t>
  </si>
  <si>
    <t xml:space="preserve">227881, 227881, 227881, 227881, 227900, 227900, 225063</t>
  </si>
  <si>
    <t xml:space="preserve">227900, 227900, 227900, 227900, 227900, 227900, 225063</t>
  </si>
  <si>
    <t xml:space="preserve">227900, 227900, 227902, 227902, 227902, 227902, 225063</t>
  </si>
  <si>
    <t xml:space="preserve">227902, 227902, 227902, 227902, 227902, 227902, 225063</t>
  </si>
  <si>
    <t xml:space="preserve">227904, 227904, 227904, 227906, 227906, 227906, 225063</t>
  </si>
  <si>
    <t xml:space="preserve">227906, 227906, 227906, 227906, 227906, 227906, 225063</t>
  </si>
  <si>
    <t xml:space="preserve">227906, 227898, 227898, 227898, 227898, 227898, 225066</t>
  </si>
  <si>
    <t xml:space="preserve">227898, 227898, 227898, 227898, 227898, 227901, 225066</t>
  </si>
  <si>
    <t xml:space="preserve">227901, 227903, 227903, 227903, 227903, 227903, 225067</t>
  </si>
  <si>
    <t xml:space="preserve">227903, 227903, 227903, 227903, 227903, 227905, 225067</t>
  </si>
  <si>
    <t xml:space="preserve">227905, 227905, 227905, 227905, 227905, 227905, 225068</t>
  </si>
  <si>
    <t xml:space="preserve">227905, 227905, 227905, 227907, 227907, 227907, 225068</t>
  </si>
  <si>
    <t xml:space="preserve">227907, 228050, 228050, 228050, 228050, 228050, 225069</t>
  </si>
  <si>
    <t xml:space="preserve">228050, 228050, 228050, 228050, 228050, 228050, 225069</t>
  </si>
  <si>
    <t xml:space="preserve">228050, 228050, 228050, 228050, 227849, 227849, 225072</t>
  </si>
  <si>
    <t xml:space="preserve">227849, 227849, 227849, 227849, 227849, 227849, 225072</t>
  </si>
  <si>
    <t xml:space="preserve">227849, 227849, 227850, 227850, 227850, 227850, 225072</t>
  </si>
  <si>
    <t xml:space="preserve">227850, 227850, 227850, 227850, 227850, 227850, 225072</t>
  </si>
  <si>
    <t xml:space="preserve">227853, 227853, 227853, 227853, 227853, 227853, 225073</t>
  </si>
  <si>
    <t xml:space="preserve">227853, 227853, 227853, 227853, 227856, 227856, 225073</t>
  </si>
  <si>
    <t xml:space="preserve">227856, 227856, 227856, 227856, 227856, 227856, 225073</t>
  </si>
  <si>
    <t xml:space="preserve">227856, 227856, 227857, 227857, 227857, 227857, 225073</t>
  </si>
  <si>
    <t xml:space="preserve">227876, 227876, 227876, 227876, 227879, 227879, 225074</t>
  </si>
  <si>
    <t xml:space="preserve">227879, 227879, 227882, 227882, 227882, 227882, 225074</t>
  </si>
  <si>
    <t xml:space="preserve">227882, 227882, 228250, 228250, 228250, 228250, 225074</t>
  </si>
  <si>
    <t xml:space="preserve">228250, 228250, 228250, 228250, 228250, 228250, 225074</t>
  </si>
  <si>
    <t xml:space="preserve">228250, 228250, 228250, 228250, 228250, 228250, 225075</t>
  </si>
  <si>
    <t xml:space="preserve">228250, 228250, 228250, 228250, 228268, 228268, 225075</t>
  </si>
  <si>
    <t xml:space="preserve">228268, 228268, 228268, 228268, 228293, 228293, 225075</t>
  </si>
  <si>
    <t xml:space="preserve">228293, 228293, 228293, 228293, 228293, 228293, 225078</t>
  </si>
  <si>
    <t xml:space="preserve">228293, 228293, 228293, 228293, 228310, 228310, 225079</t>
  </si>
  <si>
    <t xml:space="preserve">228310, 228310, 228310, 228310, 228311, 228311, 225080</t>
  </si>
  <si>
    <t xml:space="preserve">228311, 228311, 228311, 228311, 228311, 228311, 225081</t>
  </si>
  <si>
    <t xml:space="preserve">228311, 228311, 228311, 228311, 228311, 228311, 225084</t>
  </si>
  <si>
    <t xml:space="preserve">228311, 228311, 228311, 228311, 228311, 228311, 225085</t>
  </si>
  <si>
    <t xml:space="preserve">228247, 228247, 228247, 228247, 228247, 228247, 225085</t>
  </si>
  <si>
    <t xml:space="preserve">228247, 228247, 228247, 228247, 228248, 228248, 225086</t>
  </si>
  <si>
    <t xml:space="preserve">228248, 228248, 228248, 228248, 228248, 228248, 225086</t>
  </si>
  <si>
    <t xml:space="preserve">228248, 228248, 228249, 228249, 228249, 228249, 225087</t>
  </si>
  <si>
    <t xml:space="preserve">228249, 228266, 228266, 228266, 228266, 228266, 225087</t>
  </si>
  <si>
    <t xml:space="preserve">228266, 228266, 228266, 228266, 228266, 228267, 225090</t>
  </si>
  <si>
    <t xml:space="preserve">228267, 228267, 228267, 228267, 228267, 228267, 225090</t>
  </si>
  <si>
    <t xml:space="preserve">228267, 228267, 228267, 228269, 228269, 228269, 225090</t>
  </si>
  <si>
    <t xml:space="preserve">228269, 228269, 228269, 228269, 228269, 228269, 225090</t>
  </si>
  <si>
    <t xml:space="preserve">228269, 228270, 228270, 228270, 228270, 228270, 225090</t>
  </si>
  <si>
    <t xml:space="preserve">228270, 228270, 228270, 228270, 228270, 228287, 225090</t>
  </si>
  <si>
    <t xml:space="preserve">228287, 228287, 228287, 228287, 228287, 228287, 225091</t>
  </si>
  <si>
    <t xml:space="preserve">228287, 228287, 228287, 228288, 228288, 228288, 225091</t>
  </si>
  <si>
    <t xml:space="preserve">228288, 228288, 228288, 228288, 228288, 228288, 225091</t>
  </si>
  <si>
    <t xml:space="preserve">228288, 228289, 228289, 228289, 228289, 228289, 225091</t>
  </si>
  <si>
    <t xml:space="preserve">228290, 228290, 228290, 228290, 228290, 228290, 225091</t>
  </si>
  <si>
    <t xml:space="preserve">228290, 228290, 228290, 228290, 228291, 228291, 225091</t>
  </si>
  <si>
    <t xml:space="preserve">228291, 228291, 228291, 228291, 228291, 228291, 225092</t>
  </si>
  <si>
    <t xml:space="preserve">228291, 228291, 228292, 228292, 228292, 228292, 225092</t>
  </si>
  <si>
    <t xml:space="preserve">228292, 228308, 228308, 228308, 228308, 228308, 225092</t>
  </si>
  <si>
    <t xml:space="preserve">228308, 228308, 228308, 228308, 228308, 228309, 225092</t>
  </si>
  <si>
    <t xml:space="preserve">228309, 228309, 228309, 228309, 228309, 228309, 225092</t>
  </si>
  <si>
    <t xml:space="preserve">1.42 + 1.42 + 1.42 + 1.15 + 1.15 + 1.15 + 1.15</t>
  </si>
  <si>
    <t xml:space="preserve">Escalera, Vigas</t>
  </si>
  <si>
    <t xml:space="preserve">228309, 228309, 228309, 231491, 231492, 231493, 231494</t>
  </si>
  <si>
    <t xml:space="preserve">231496, 231498, 231490, 231495, 231499, 231479, 231474, 231475</t>
  </si>
  <si>
    <t xml:space="preserve">231476, 231477, 231478, 231480, 231481, 231482, 231483, 231549, 225093</t>
  </si>
  <si>
    <t xml:space="preserve">231519, 231521, 231522, 231524, 231525, 231526, 231527, 231540, 225093</t>
  </si>
  <si>
    <t xml:space="preserve">231541, 231544, 231545, 231547, 231518, 231520, 231523, 231546, 225093</t>
  </si>
  <si>
    <t xml:space="preserve">1.05 + 1.05 + 1.05 + 1.02 + 1.02 + 1.02 + 1.02 + 1.02 + 0.70</t>
  </si>
  <si>
    <t xml:space="preserve">231548, 231542, 231543, 229454, 229456, 229455, 229457, 229459, 225264</t>
  </si>
  <si>
    <t xml:space="preserve">1.02 + 0.97 + 0.97 + 0.97 + 0.97 + 0.97 + 0.97 + 0.97 + 0.97</t>
  </si>
  <si>
    <t xml:space="preserve">229458, 227475, 227475, 227475, 227475, 227475, 227475, 227490, 227490</t>
  </si>
  <si>
    <t xml:space="preserve">227490, 227490, 227490, 227490, 227472, 227478, 227478, 227481, 227481</t>
  </si>
  <si>
    <t xml:space="preserve">227481, 227481, 227484, 227487, 227487, 227493, 225846, 225849, 225849</t>
  </si>
  <si>
    <t xml:space="preserve">225849, 225849, 225849, 225849, 225852, 225852, 225855, 225855, 225855</t>
  </si>
  <si>
    <t xml:space="preserve">225855, 225858, 225861, 225861, 225864, 225864, 225864, 225864, 225864</t>
  </si>
  <si>
    <t xml:space="preserve">225864, 225868, 225263, 225266, 225266, 225266, 225266, 225266, 225266</t>
  </si>
  <si>
    <t xml:space="preserve">225269, 225269, 225272, 225272, 225272, 225272, 225276, 225279, 225279</t>
  </si>
  <si>
    <t xml:space="preserve">225282, 225282, 225282, 225282, 225282, 225282, 225285, 226777, 226780</t>
  </si>
  <si>
    <t xml:space="preserve">226780, 226780, 226780, 226780, 226780, 226783, 226783, 226786, 226786</t>
  </si>
  <si>
    <t xml:space="preserve">226786, 226786, 226789, 226792, 226792, 226795, 226795, 226795, 226795</t>
  </si>
  <si>
    <t xml:space="preserve">226795, 226795, 226798, 225690, 225693, 225693, 225693, 225693, 225693</t>
  </si>
  <si>
    <t xml:space="preserve">225693, 225696, 225696, 225699, 225699, 225699, 225699, 225702, 225705</t>
  </si>
  <si>
    <t xml:space="preserve">225705, 225708, 225708, 225708, 225708, 225708, 225708, 225713, 226469</t>
  </si>
  <si>
    <t xml:space="preserve">226475, 226475, 226478, 226478, 226478, 226478, 226482, 226486, 226486</t>
  </si>
  <si>
    <t xml:space="preserve">226493, 226472, 226472, 226472, 226472, 226472, 226472, 226489, 226489</t>
  </si>
  <si>
    <t xml:space="preserve">226489, 226489, 226489, 226489, 226003, 226006, 226006, 226006, 226006</t>
  </si>
  <si>
    <t xml:space="preserve">226006, 226006, 226009, 226009, 226012, 226012, 226012, 226012, 226016</t>
  </si>
  <si>
    <t xml:space="preserve">226019, 226019, 226022, 226022, 226022, 226022, 226022, 226022, 226026</t>
  </si>
  <si>
    <t xml:space="preserve">226628, 226628, 226628, 226628, 226628, 226628, 226643, 226643, 226643</t>
  </si>
  <si>
    <t xml:space="preserve">226643, 226643, 226643, 226625, 226631, 226631, 226634, 226634, 226634</t>
  </si>
  <si>
    <t xml:space="preserve">226634, 226637, 226640, 226640, 226647, 226313, 226313, 226313, 226313</t>
  </si>
  <si>
    <t xml:space="preserve">226313, 226313, 226328, 226328, 226328, 226328, 226328, 226328, 226159</t>
  </si>
  <si>
    <t xml:space="preserve">226159, 226159, 226159, 226159, 226159, 226174, 226174, 226174, 226174</t>
  </si>
  <si>
    <t xml:space="preserve">226174, 226174, 226310, 226316, 226316, 226319, 226319, 226319, 226319</t>
  </si>
  <si>
    <t xml:space="preserve">226322, 226325, 226325, 226332, 226156, 226162, 226162, 226165, 226165</t>
  </si>
  <si>
    <t xml:space="preserve">0.97 + 0.97 + 0.97 + 0.97 + 0.97 + 0.97 + 0.70 + 0.70 + 0.70 + 0.70</t>
  </si>
  <si>
    <t xml:space="preserve">226165, 226165, 226168, 226171, 226171, 226177, 225865, 225865, 225869, 226004</t>
  </si>
  <si>
    <t xml:space="preserve">226007, 226007, 226007, 226007, 226007, 226007, 226010, 226010, 226013, 226013, 226013, 226013, 225093</t>
  </si>
  <si>
    <t xml:space="preserve">226017, 226020, 226020, 226023, 226023, 226023, 226023, 226023, 226023, 226027, 225691, 225694, 225093</t>
  </si>
  <si>
    <t xml:space="preserve">225694, 225694, 225694, 225694, 225694, 225697, 225697, 225700, 225700, 225700, 225700, 225703, 225093</t>
  </si>
  <si>
    <t xml:space="preserve">225706, 225706, 225709, 225709, 225709, 225709, 225709, 225709, 225714, 226160, 226160, 226160, 225096</t>
  </si>
  <si>
    <t xml:space="preserve">226160, 226160, 226160, 226175, 226175, 226175, 226175, 226175, 226175, 226314, 226314, 226314, 225097</t>
  </si>
  <si>
    <t xml:space="preserve">226314, 226314, 226314, 226329, 226329, 226329, 226329, 226329, 226329, 226629, 226629, 226629, 225098</t>
  </si>
  <si>
    <t xml:space="preserve">226629, 226629, 226629, 226644, 226644, 226644, 226644, 226644, 226644, 226781, 226781, 226781, 225099</t>
  </si>
  <si>
    <t xml:space="preserve">226781, 226781, 226781, 226796, 226796, 226796, 226796, 226796, 226796, 226157, 226163, 226163, 225485</t>
  </si>
  <si>
    <t xml:space="preserve">226166, 226166, 226166, 226166, 226169, 226172, 226172, 226178, 226311, 226317, 226317, 226320, 225486</t>
  </si>
  <si>
    <t xml:space="preserve">226320, 226320, 226320, 226323, 226326, 226326, 226333, 226626, 226632, 226632, 226635, 226635, 225487</t>
  </si>
  <si>
    <t xml:space="preserve">226635, 226635, 226638, 226641, 226641, 226648, 226778, 226784, 226784, 226787, 226787, 226787, 225488</t>
  </si>
  <si>
    <t xml:space="preserve">0.70 + 0.70 + 0.70 + 0.70 + 0.70 + 0.39 + 0.39 + 0.39 + 0.39 + 0.39 + 0.39 + 0.39 + 0.39 + 0.39 + 0.39 + 0.39 + 0.39 + 0.39 + 0.39</t>
  </si>
  <si>
    <t xml:space="preserve">226787, 226790, 226793, 226793, 226799, 225491, 225491, 225491, 225491, 225491, 225492, 225492, 225492, 225492, 225492, 225492, 225493, 225493, 225493</t>
  </si>
  <si>
    <t xml:space="preserve">225493, 225493, 225493, 225494, 225494, 225494, 225494, 225494, 225494, 225497, 225497, 225498, 225498, 225499, 225499, 225500, 225500, 225503, 225503, 225503, 225503, 225504</t>
  </si>
  <si>
    <t xml:space="preserve">225504, 225504, 225504, 225505, 225505, 225505, 225505, 225506, 225506, 225506, 225506, 225509, 225510, 225511, 225512, 225515, 225515, 225516, 225516, 225517, 225517, 225518</t>
  </si>
  <si>
    <t xml:space="preserve">225518, 225521, 225521, 225521, 225521, 225521, 225521, 225522, 225522, 225522, 225522, 225522, 225522, 225523, 225523, 225523, 225523, 225523, 225523, 225524, 225524, 225524</t>
  </si>
  <si>
    <t xml:space="preserve">225524, 225524, 225524, 225527, 225528, 225529, 225530, 226998, 226999, 227000, 227001, 227004, 227004, 227004, 227004, 227004, 227004, 227005, 227005, 227005, 227005, 227005</t>
  </si>
  <si>
    <t xml:space="preserve">227005, 227006, 227006, 227006, 227006, 227006, 227006, 227007, 227007, 227007, 227007, 227007, 227007, 227010, 227010, 227011, 227011, 227012, 227012, 227013, 227013, 227016</t>
  </si>
  <si>
    <t xml:space="preserve">227016, 227016, 227016, 227017, 227017, 227017, 227017, 227018, 227018, 227018, 227018, 227019, 227019, 227019, 227019, 227022, 227023, 227024, 227025, 227028, 227028, 227029</t>
  </si>
  <si>
    <t xml:space="preserve">227029, 227030, 227030, 227031, 227031, 227034, 227034, 227034, 227034, 227034, 227034, 227035, 227035, 227035, 227035, 227035, 227035, 227036, 227036, 227036, 227036, 227036</t>
  </si>
  <si>
    <t xml:space="preserve">227036, 227037, 227037, 227037, 227037, 227037, 227037, 227040, 227041, 227042, 227043, 227266, 227267, 227268, 227269, 227272, 227272, 227272, 227272, 227272, 227272, 227273</t>
  </si>
  <si>
    <t xml:space="preserve">227273, 227273, 227273, 227273, 227273, 227274, 227274, 227274, 227274, 227274, 227274, 227275, 227275, 227275, 227275, 227275, 227275, 227278, 227278, 227279, 227279, 227280</t>
  </si>
  <si>
    <t xml:space="preserve">227280, 227281, 227281, 227284, 227284, 227284, 227284, 227285, 227285, 227285, 227285, 227286, 227286, 227286, 227286, 227287, 227287, 227287, 227287, 227290, 227291, 227292</t>
  </si>
  <si>
    <t xml:space="preserve">227293, 227296, 227296, 227297, 227297, 227298, 227298, 227299, 227299, 227302, 227302, 227302, 227302, 227302, 227302, 227303, 227303, 227303, 227303, 227303, 227303, 227304</t>
  </si>
  <si>
    <t xml:space="preserve">0.39 + 0.39 + 0.39 + 0.39 + 0.39 + 0.39 + 0.39 + 0.39 + 0.39 + 0.39 + 0.39 + 0.39 + 0.39 + 0.39 + 0.39</t>
  </si>
  <si>
    <t xml:space="preserve">227304, 227304, 227304, 227304, 227304, 227305, 227305, 227305, 227305, 227305, 227305, 227308, 227309, 227310, 227311</t>
  </si>
  <si>
    <t xml:space="preserve">229448, 229474</t>
  </si>
  <si>
    <t xml:space="preserve">229452, 229473</t>
  </si>
  <si>
    <t xml:space="preserve">229580, 229472</t>
  </si>
  <si>
    <t xml:space="preserve">229582</t>
  </si>
  <si>
    <t xml:space="preserve">229450</t>
  </si>
  <si>
    <t xml:space="preserve">229576</t>
  </si>
  <si>
    <t xml:space="preserve">229578</t>
  </si>
  <si>
    <t xml:space="preserve">229447, 229476</t>
  </si>
  <si>
    <t xml:space="preserve">229445, 229477</t>
  </si>
  <si>
    <t xml:space="preserve">229443, 229475</t>
  </si>
  <si>
    <t xml:space="preserve">229529</t>
  </si>
  <si>
    <t xml:space="preserve">229527</t>
  </si>
  <si>
    <t xml:space="preserve">229525</t>
  </si>
  <si>
    <t xml:space="preserve">229523</t>
  </si>
  <si>
    <t xml:space="preserve">229583, 229581</t>
  </si>
  <si>
    <t xml:space="preserve">229579, 229577</t>
  </si>
  <si>
    <t xml:space="preserve">229453, 229451</t>
  </si>
  <si>
    <t xml:space="preserve">229449, 229442</t>
  </si>
  <si>
    <t xml:space="preserve">229444, 229446</t>
  </si>
  <si>
    <t xml:space="preserve">229522, 229524</t>
  </si>
  <si>
    <t xml:space="preserve">229526, 229528</t>
  </si>
  <si>
    <t xml:space="preserve">229494, 229496</t>
  </si>
  <si>
    <t xml:space="preserve">229498, 229504</t>
  </si>
  <si>
    <t xml:space="preserve">229500, 229502</t>
  </si>
  <si>
    <t xml:space="preserve">229506, 229510</t>
  </si>
  <si>
    <t xml:space="preserve">229518, 229508</t>
  </si>
  <si>
    <t xml:space="preserve">229514, 229512</t>
  </si>
  <si>
    <t xml:space="preserve">229516, 229520</t>
  </si>
  <si>
    <t xml:space="preserve">225191, 225196, 229460</t>
  </si>
  <si>
    <t xml:space="preserve">227408, 225622, 229461</t>
  </si>
  <si>
    <t xml:space="preserve">225627, 225784, 229462</t>
  </si>
  <si>
    <t xml:space="preserve">225789, 225938, 229463</t>
  </si>
  <si>
    <t xml:space="preserve">226246, 226401, 229464</t>
  </si>
  <si>
    <t xml:space="preserve">226406, 227403, 229465</t>
  </si>
  <si>
    <t xml:space="preserve">225943, 226096, 229466</t>
  </si>
  <si>
    <t xml:space="preserve">226101, 226251, 229467</t>
  </si>
  <si>
    <t xml:space="preserve">226563, 226568, 229468</t>
  </si>
  <si>
    <t xml:space="preserve">226717, 226722, 229469</t>
  </si>
  <si>
    <t xml:space="preserve">229470, 229471</t>
  </si>
  <si>
    <t xml:space="preserve">228044, 228045</t>
  </si>
  <si>
    <t xml:space="preserve">228046, 228048</t>
  </si>
  <si>
    <t xml:space="preserve">228049, 228047</t>
  </si>
  <si>
    <t xml:space="preserve">225324, 225334</t>
  </si>
  <si>
    <t xml:space="preserve">225344, 227095</t>
  </si>
  <si>
    <t xml:space="preserve">227100, 227145</t>
  </si>
  <si>
    <t xml:space="preserve">227155, 224880</t>
  </si>
  <si>
    <t xml:space="preserve">224885, 224930</t>
  </si>
  <si>
    <t xml:space="preserve">224940, 225354</t>
  </si>
  <si>
    <t xml:space="preserve">226056, 226066</t>
  </si>
  <si>
    <t xml:space="preserve">226837, 226847</t>
  </si>
  <si>
    <t xml:space="preserve">226857, 226867</t>
  </si>
  <si>
    <t xml:space="preserve">224890, 224895</t>
  </si>
  <si>
    <t xml:space="preserve">224900, 224905</t>
  </si>
  <si>
    <t xml:space="preserve">224915, 224935</t>
  </si>
  <si>
    <t xml:space="preserve">225151, 225156</t>
  </si>
  <si>
    <t xml:space="preserve">225166, 225171</t>
  </si>
  <si>
    <t xml:space="preserve">225176, 225181</t>
  </si>
  <si>
    <t xml:space="preserve">225186, 225582</t>
  </si>
  <si>
    <t xml:space="preserve">225587, 225592</t>
  </si>
  <si>
    <t xml:space="preserve">225597, 225602</t>
  </si>
  <si>
    <t xml:space="preserve">225607, 225612</t>
  </si>
  <si>
    <t xml:space="preserve">225617, 225898</t>
  </si>
  <si>
    <t xml:space="preserve">225903, 225908</t>
  </si>
  <si>
    <t xml:space="preserve">225913, 225918</t>
  </si>
  <si>
    <t xml:space="preserve">225923, 225928</t>
  </si>
  <si>
    <t xml:space="preserve">225933, 226206</t>
  </si>
  <si>
    <t xml:space="preserve">226211, 226216</t>
  </si>
  <si>
    <t xml:space="preserve">226221, 226231</t>
  </si>
  <si>
    <t xml:space="preserve">226241, 226361</t>
  </si>
  <si>
    <t xml:space="preserve">226371, 226381</t>
  </si>
  <si>
    <t xml:space="preserve">226391, 226396</t>
  </si>
  <si>
    <t xml:space="preserve">226842, 226877</t>
  </si>
  <si>
    <t xml:space="preserve">226882, 226892</t>
  </si>
  <si>
    <t xml:space="preserve">227363, 227373</t>
  </si>
  <si>
    <t xml:space="preserve">227378, 227383</t>
  </si>
  <si>
    <t xml:space="preserve">227388, 227393</t>
  </si>
  <si>
    <t xml:space="preserve">227398, 224910</t>
  </si>
  <si>
    <t xml:space="preserve">224920, 224925</t>
  </si>
  <si>
    <t xml:space="preserve">224945, 225161</t>
  </si>
  <si>
    <t xml:space="preserve">225314, 225319</t>
  </si>
  <si>
    <t xml:space="preserve">225329, 225339</t>
  </si>
  <si>
    <t xml:space="preserve">225349, 225359</t>
  </si>
  <si>
    <t xml:space="preserve">225364, 225369</t>
  </si>
  <si>
    <t xml:space="preserve">225374, 225379</t>
  </si>
  <si>
    <t xml:space="preserve">225744, 225749</t>
  </si>
  <si>
    <t xml:space="preserve">225754, 225759</t>
  </si>
  <si>
    <t xml:space="preserve">225764, 225769</t>
  </si>
  <si>
    <t xml:space="preserve">225774, 225779</t>
  </si>
  <si>
    <t xml:space="preserve">226061, 226071</t>
  </si>
  <si>
    <t xml:space="preserve">226076, 226081</t>
  </si>
  <si>
    <t xml:space="preserve">226086, 226091</t>
  </si>
  <si>
    <t xml:space="preserve">226226, 226236</t>
  </si>
  <si>
    <t xml:space="preserve">226366, 226376</t>
  </si>
  <si>
    <t xml:space="preserve">226386, 226523</t>
  </si>
  <si>
    <t xml:space="preserve">226528, 226533</t>
  </si>
  <si>
    <t xml:space="preserve">226538, 226543</t>
  </si>
  <si>
    <t xml:space="preserve">226548, 226553</t>
  </si>
  <si>
    <t xml:space="preserve">226558, 226677</t>
  </si>
  <si>
    <t xml:space="preserve">226682, 226687</t>
  </si>
  <si>
    <t xml:space="preserve">226692, 226697</t>
  </si>
  <si>
    <t xml:space="preserve">226702, 226707</t>
  </si>
  <si>
    <t xml:space="preserve">226712, 226827</t>
  </si>
  <si>
    <t xml:space="preserve">226832, 226852</t>
  </si>
  <si>
    <t xml:space="preserve">226862, 226872</t>
  </si>
  <si>
    <t xml:space="preserve">226887, 227105</t>
  </si>
  <si>
    <t xml:space="preserve">227110, 227115</t>
  </si>
  <si>
    <t xml:space="preserve">227120, 227125</t>
  </si>
  <si>
    <t xml:space="preserve">227130, 227135</t>
  </si>
  <si>
    <t xml:space="preserve">227140, 227150</t>
  </si>
  <si>
    <t xml:space="preserve">227160, 227368</t>
  </si>
  <si>
    <t xml:space="preserve">227836a</t>
  </si>
  <si>
    <t xml:space="preserve">227840a</t>
  </si>
  <si>
    <t xml:space="preserve">227859a</t>
  </si>
  <si>
    <t xml:space="preserve">227863a</t>
  </si>
  <si>
    <t xml:space="preserve">227884a</t>
  </si>
  <si>
    <t xml:space="preserve">227889a</t>
  </si>
  <si>
    <t xml:space="preserve">228252a</t>
  </si>
  <si>
    <t xml:space="preserve">228257a</t>
  </si>
  <si>
    <t xml:space="preserve">228274</t>
  </si>
  <si>
    <t xml:space="preserve">228278</t>
  </si>
  <si>
    <t xml:space="preserve">227891</t>
  </si>
  <si>
    <t xml:space="preserve">227895</t>
  </si>
  <si>
    <t xml:space="preserve">227842</t>
  </si>
  <si>
    <t xml:space="preserve">227846</t>
  </si>
  <si>
    <t xml:space="preserve">227867</t>
  </si>
  <si>
    <t xml:space="preserve">227871</t>
  </si>
  <si>
    <t xml:space="preserve">228280</t>
  </si>
  <si>
    <t xml:space="preserve">228284</t>
  </si>
  <si>
    <t xml:space="preserve">228259</t>
  </si>
  <si>
    <t xml:space="preserve">228263</t>
  </si>
  <si>
    <t xml:space="preserve">228299</t>
  </si>
  <si>
    <t xml:space="preserve">228295</t>
  </si>
  <si>
    <t xml:space="preserve">228234</t>
  </si>
  <si>
    <t xml:space="preserve">228238</t>
  </si>
  <si>
    <t xml:space="preserve">228240</t>
  </si>
  <si>
    <t xml:space="preserve">228244</t>
  </si>
  <si>
    <t xml:space="preserve">228301</t>
  </si>
  <si>
    <t xml:space="preserve">228305, 228252b</t>
  </si>
  <si>
    <t xml:space="preserve">228253, 228279</t>
  </si>
  <si>
    <t xml:space="preserve">228296, 228283</t>
  </si>
  <si>
    <t xml:space="preserve">228275, 227858</t>
  </si>
  <si>
    <t xml:space="preserve">228235, 227862</t>
  </si>
  <si>
    <t xml:space="preserve">227838, 228273</t>
  </si>
  <si>
    <t xml:space="preserve">227861, 228277</t>
  </si>
  <si>
    <t xml:space="preserve">6.10 + 2.85</t>
  </si>
  <si>
    <t xml:space="preserve">227865, 228233</t>
  </si>
  <si>
    <t xml:space="preserve">6.07 + 2.85</t>
  </si>
  <si>
    <t xml:space="preserve">227887, 228237</t>
  </si>
  <si>
    <t xml:space="preserve">228281, 228251</t>
  </si>
  <si>
    <t xml:space="preserve">228285, 228256</t>
  </si>
  <si>
    <t xml:space="preserve">228264, 228294</t>
  </si>
  <si>
    <t xml:space="preserve">228260, 228298</t>
  </si>
  <si>
    <t xml:space="preserve">228302, 227835</t>
  </si>
  <si>
    <t xml:space="preserve">228306, 227888</t>
  </si>
  <si>
    <t xml:space="preserve">228241, 227839</t>
  </si>
  <si>
    <t xml:space="preserve">228245, 227883</t>
  </si>
  <si>
    <t xml:space="preserve">227860, 228258</t>
  </si>
  <si>
    <t xml:space="preserve">227837, 228262</t>
  </si>
  <si>
    <t xml:space="preserve">227864, 228300</t>
  </si>
  <si>
    <t xml:space="preserve">227885, 228304</t>
  </si>
  <si>
    <t xml:space="preserve">5.57 + 2.37</t>
  </si>
  <si>
    <t xml:space="preserve">227869, 228239</t>
  </si>
  <si>
    <t xml:space="preserve">227873, 228243</t>
  </si>
  <si>
    <t xml:space="preserve">5.42 + 1.97 + 1.47</t>
  </si>
  <si>
    <t xml:space="preserve">227893, 227866, 227859b</t>
  </si>
  <si>
    <t xml:space="preserve">227897, 227870, 227863b</t>
  </si>
  <si>
    <t xml:space="preserve">227844, 227841, 227889b</t>
  </si>
  <si>
    <t xml:space="preserve">227848, 227845, 227836b</t>
  </si>
  <si>
    <t xml:space="preserve">5.35 + 1.82 + 1.82</t>
  </si>
  <si>
    <t xml:space="preserve">228276, 227890, 227894</t>
  </si>
  <si>
    <t xml:space="preserve">5.32 + 1.35 + 1.35</t>
  </si>
  <si>
    <t xml:space="preserve">227843, 227884b, 227840b</t>
  </si>
  <si>
    <t xml:space="preserve">5.32 + 1.27</t>
  </si>
  <si>
    <t xml:space="preserve">227847, 228257b</t>
  </si>
  <si>
    <t xml:space="preserve">227892</t>
  </si>
  <si>
    <t xml:space="preserve">227896</t>
  </si>
  <si>
    <t xml:space="preserve">228255</t>
  </si>
  <si>
    <t xml:space="preserve">227868</t>
  </si>
  <si>
    <t xml:space="preserve">227872</t>
  </si>
  <si>
    <t xml:space="preserve">228265, 228297</t>
  </si>
  <si>
    <t xml:space="preserve">228261</t>
  </si>
  <si>
    <t xml:space="preserve">228286</t>
  </si>
  <si>
    <t xml:space="preserve">228282</t>
  </si>
  <si>
    <t xml:space="preserve">228303, 228236</t>
  </si>
  <si>
    <t xml:space="preserve">228246, 228242</t>
  </si>
  <si>
    <t xml:space="preserve">228307</t>
  </si>
  <si>
    <t xml:space="preserve">229951, 230009</t>
  </si>
  <si>
    <t xml:space="preserve">229953, 230009</t>
  </si>
  <si>
    <t xml:space="preserve">229940, 230009</t>
  </si>
  <si>
    <t xml:space="preserve">229944, 230009</t>
  </si>
  <si>
    <t xml:space="preserve">229945, 230009</t>
  </si>
  <si>
    <t xml:space="preserve">229946, 230009</t>
  </si>
  <si>
    <t xml:space="preserve">229947, 230009</t>
  </si>
  <si>
    <t xml:space="preserve">229948, 230011</t>
  </si>
  <si>
    <t xml:space="preserve">229949, 230011</t>
  </si>
  <si>
    <t xml:space="preserve">229950, 230011</t>
  </si>
  <si>
    <t xml:space="preserve">229952, 230011</t>
  </si>
  <si>
    <t xml:space="preserve">229954, 230011</t>
  </si>
  <si>
    <t xml:space="preserve">229955, 230011</t>
  </si>
  <si>
    <t xml:space="preserve">229956, 230011</t>
  </si>
  <si>
    <t xml:space="preserve">229941, 230011</t>
  </si>
  <si>
    <t xml:space="preserve">229942, 230011</t>
  </si>
  <si>
    <t xml:space="preserve">229943, 230011</t>
  </si>
  <si>
    <t xml:space="preserve">229908, 230011, 230011</t>
  </si>
  <si>
    <t xml:space="preserve">229910, 230011, 230011</t>
  </si>
  <si>
    <t xml:space="preserve">229912, 230010, 230010</t>
  </si>
  <si>
    <t xml:space="preserve">229914, 230010, 230010</t>
  </si>
  <si>
    <t xml:space="preserve">229916, 230010, 230010</t>
  </si>
  <si>
    <t xml:space="preserve">229918, 230010, 230010</t>
  </si>
  <si>
    <t xml:space="preserve">229920, 230010, 230010</t>
  </si>
  <si>
    <t xml:space="preserve">229922, 230010, 230010</t>
  </si>
  <si>
    <t xml:space="preserve">229924, 230010, 230010</t>
  </si>
  <si>
    <t xml:space="preserve">229926, 230014, 230014</t>
  </si>
  <si>
    <t xml:space="preserve">229928, 230014, 230014</t>
  </si>
  <si>
    <t xml:space="preserve">229930, 230014, 230014</t>
  </si>
  <si>
    <t xml:space="preserve">229932, 230014, 230014</t>
  </si>
  <si>
    <t xml:space="preserve">229934, 230014, 230014</t>
  </si>
  <si>
    <t xml:space="preserve">229936, 230014, 230014</t>
  </si>
  <si>
    <t xml:space="preserve">229938, 230014, 230014</t>
  </si>
  <si>
    <t xml:space="preserve">229907, 230012, 230012</t>
  </si>
  <si>
    <t xml:space="preserve">229905, 230012, 230012</t>
  </si>
  <si>
    <t xml:space="preserve">229903, 230012, 230012</t>
  </si>
  <si>
    <t xml:space="preserve">229901, 230012, 230012</t>
  </si>
  <si>
    <t xml:space="preserve">229899, 230012, 230012</t>
  </si>
  <si>
    <t xml:space="preserve">229897, 230012, 230012</t>
  </si>
  <si>
    <t xml:space="preserve">229895, 230012, 230012</t>
  </si>
  <si>
    <t xml:space="preserve">229893, 230012, 230012</t>
  </si>
  <si>
    <t xml:space="preserve">229891</t>
  </si>
  <si>
    <t xml:space="preserve">229889</t>
  </si>
  <si>
    <t xml:space="preserve">230007</t>
  </si>
  <si>
    <t xml:space="preserve">229887</t>
  </si>
  <si>
    <t xml:space="preserve">229885</t>
  </si>
  <si>
    <t xml:space="preserve">229883</t>
  </si>
  <si>
    <t xml:space="preserve">229881</t>
  </si>
  <si>
    <t xml:space="preserve">229879</t>
  </si>
  <si>
    <t xml:space="preserve">229877</t>
  </si>
  <si>
    <t xml:space="preserve">229876</t>
  </si>
  <si>
    <t xml:space="preserve">229875</t>
  </si>
  <si>
    <t xml:space="preserve">229874</t>
  </si>
  <si>
    <t xml:space="preserve">229873</t>
  </si>
  <si>
    <t xml:space="preserve">229872</t>
  </si>
  <si>
    <t xml:space="preserve">229871</t>
  </si>
  <si>
    <t xml:space="preserve">229977</t>
  </si>
  <si>
    <t xml:space="preserve">229995</t>
  </si>
  <si>
    <t xml:space="preserve">229997</t>
  </si>
  <si>
    <t xml:space="preserve">229999</t>
  </si>
  <si>
    <t xml:space="preserve">230001</t>
  </si>
  <si>
    <t xml:space="preserve">230003</t>
  </si>
  <si>
    <t xml:space="preserve">230005</t>
  </si>
  <si>
    <t xml:space="preserve">229969</t>
  </si>
  <si>
    <t xml:space="preserve">229971</t>
  </si>
  <si>
    <t xml:space="preserve">229973</t>
  </si>
  <si>
    <t xml:space="preserve">229975</t>
  </si>
  <si>
    <t xml:space="preserve">229979</t>
  </si>
  <si>
    <t xml:space="preserve">229981</t>
  </si>
  <si>
    <t xml:space="preserve">229983</t>
  </si>
  <si>
    <t xml:space="preserve">229985</t>
  </si>
  <si>
    <t xml:space="preserve">229987</t>
  </si>
  <si>
    <t xml:space="preserve">229989</t>
  </si>
  <si>
    <t xml:space="preserve">229991</t>
  </si>
  <si>
    <t xml:space="preserve">229993</t>
  </si>
  <si>
    <t xml:space="preserve">229957</t>
  </si>
  <si>
    <t xml:space="preserve">229959</t>
  </si>
  <si>
    <t xml:space="preserve">229961</t>
  </si>
  <si>
    <t xml:space="preserve">229963</t>
  </si>
  <si>
    <t xml:space="preserve">229965</t>
  </si>
  <si>
    <t xml:space="preserve">229967</t>
  </si>
  <si>
    <t xml:space="preserve">229939, 229937</t>
  </si>
  <si>
    <t xml:space="preserve">229935, 229933</t>
  </si>
  <si>
    <t xml:space="preserve">229931, 229929</t>
  </si>
  <si>
    <t xml:space="preserve">229927, 229925, 230015</t>
  </si>
  <si>
    <t xml:space="preserve">229958, 229960, 230015</t>
  </si>
  <si>
    <t xml:space="preserve">229962, 229966, 230013</t>
  </si>
  <si>
    <t xml:space="preserve">229968, 229970, 230013</t>
  </si>
  <si>
    <t xml:space="preserve">229972, 229974, 230013</t>
  </si>
  <si>
    <t xml:space="preserve">229976, 229978, 230013</t>
  </si>
  <si>
    <t xml:space="preserve">229980, 229982, 230013</t>
  </si>
  <si>
    <t xml:space="preserve">229984, 229986, 230013</t>
  </si>
  <si>
    <t xml:space="preserve">229988, 229990, 230013</t>
  </si>
  <si>
    <t xml:space="preserve">229964, 229992, 230013</t>
  </si>
  <si>
    <t xml:space="preserve">229994, 229996, 230013</t>
  </si>
  <si>
    <t xml:space="preserve">229998, 230000, 230013</t>
  </si>
  <si>
    <t xml:space="preserve">230002, 230004, 230013</t>
  </si>
  <si>
    <t xml:space="preserve">230006, 229923, 230013</t>
  </si>
  <si>
    <t xml:space="preserve">229921, 229919, 230013</t>
  </si>
  <si>
    <t xml:space="preserve">229917, 229915, 230013</t>
  </si>
  <si>
    <t xml:space="preserve">229913, 229911, 230009</t>
  </si>
  <si>
    <t xml:space="preserve">229909, 229878, 230009</t>
  </si>
  <si>
    <t xml:space="preserve">229880, 229882, 230009</t>
  </si>
  <si>
    <t xml:space="preserve">229884, 229886, 230009</t>
  </si>
  <si>
    <t xml:space="preserve">229888, 229890, 230009</t>
  </si>
  <si>
    <t xml:space="preserve">229892, 229894, 230009</t>
  </si>
  <si>
    <t xml:space="preserve">229896, 229898, 230009</t>
  </si>
  <si>
    <t xml:space="preserve">229900, 229902, 230009</t>
  </si>
  <si>
    <t xml:space="preserve">229904, 229906, 230009</t>
  </si>
  <si>
    <t xml:space="preserve">230008</t>
  </si>
  <si>
    <t xml:space="preserve">229804, 229806, 229778</t>
  </si>
  <si>
    <t xml:space="preserve">229808, 229790, 229780</t>
  </si>
  <si>
    <t xml:space="preserve">229792, 229794, 229770</t>
  </si>
  <si>
    <t xml:space="preserve">229796, 229798, 229774</t>
  </si>
  <si>
    <t xml:space="preserve">229800, 229802, 229772</t>
  </si>
  <si>
    <t xml:space="preserve">229782, 229784, 229776</t>
  </si>
  <si>
    <t xml:space="preserve">229786, 229788, 229766</t>
  </si>
  <si>
    <t xml:space="preserve">231587, 231607, 229817</t>
  </si>
  <si>
    <t xml:space="preserve">231608, 231609, 229823</t>
  </si>
  <si>
    <t xml:space="preserve">231583, 231586, 229819</t>
  </si>
  <si>
    <t xml:space="preserve">231604, 231582, 229821</t>
  </si>
  <si>
    <t xml:space="preserve">231584, 231585, 229825</t>
  </si>
  <si>
    <t xml:space="preserve">231605, 231606, 229829</t>
  </si>
  <si>
    <t xml:space="preserve">231593, 231612, 229831, 225102</t>
  </si>
  <si>
    <t xml:space="preserve">231590, 231592, 229833, 225103</t>
  </si>
  <si>
    <t xml:space="preserve">231613, 231614, 229827, 225104</t>
  </si>
  <si>
    <t xml:space="preserve">231615, 231591, 229835, 225105</t>
  </si>
  <si>
    <t xml:space="preserve">231610, 231611, 229837, 225108</t>
  </si>
  <si>
    <t xml:space="preserve">231588, 231589, 229839, 225108</t>
  </si>
  <si>
    <t xml:space="preserve">229843, 229845, 229849, 229855</t>
  </si>
  <si>
    <t xml:space="preserve">229857, 229841, 229847, 229851</t>
  </si>
  <si>
    <t xml:space="preserve">229853, 229861, 231562, 231563</t>
  </si>
  <si>
    <t xml:space="preserve">231564, 231565, 231580, 231581</t>
  </si>
  <si>
    <t xml:space="preserve">231560, 231561, 231576, 231577</t>
  </si>
  <si>
    <t xml:space="preserve">231578, 231579, 229777, 229779, 225140</t>
  </si>
  <si>
    <t xml:space="preserve">229769, 229771, 229773, 229775, 225539</t>
  </si>
  <si>
    <t xml:space="preserve">229765, 229767, 229818, 229820, 225292</t>
  </si>
  <si>
    <t xml:space="preserve">229822, 229824, 229826, 229828, 225887</t>
  </si>
  <si>
    <t xml:space="preserve">229830, 229832, 229834, 229836, 225890</t>
  </si>
  <si>
    <t xml:space="preserve">229838, 229840, 229842, 229859, 225890</t>
  </si>
  <si>
    <t xml:space="preserve">229860, 229844, 229846, 229848, 225890</t>
  </si>
  <si>
    <t xml:space="preserve">229850, 229852, 229854, 229856, 225890</t>
  </si>
  <si>
    <t xml:space="preserve">229858, 229862, 229768, 227312, 228349</t>
  </si>
  <si>
    <t xml:space="preserve">227318, 227318, 227318, 227318, 227318, 225292</t>
  </si>
  <si>
    <t xml:space="preserve">227318, 227324, 227324, 227330, 227330, 225292</t>
  </si>
  <si>
    <t xml:space="preserve">227330, 227330, 227336, 227342, 227342, 225292</t>
  </si>
  <si>
    <t xml:space="preserve">227348, 227348, 227348, 227348, 227348, 225292</t>
  </si>
  <si>
    <t xml:space="preserve">227348, 227354, 227045, 227051, 227051, 225292</t>
  </si>
  <si>
    <t xml:space="preserve">227051, 227051, 227051, 227051, 227057, 225295</t>
  </si>
  <si>
    <t xml:space="preserve">227057, 227063, 227063, 227063, 227063, 225295</t>
  </si>
  <si>
    <t xml:space="preserve">227069, 227075, 227075, 227081, 227081, 225298</t>
  </si>
  <si>
    <t xml:space="preserve">227081, 227081, 227081, 227081, 227087, 225298</t>
  </si>
  <si>
    <t xml:space="preserve">227313, 227319, 227319, 227319, 227319, 225298</t>
  </si>
  <si>
    <t xml:space="preserve">227319, 227319, 227325, 227325, 227331, 225298</t>
  </si>
  <si>
    <t xml:space="preserve">227331, 227331, 227331, 227337, 227343, 225301</t>
  </si>
  <si>
    <t xml:space="preserve">227343, 227349, 227349, 227349, 227349, 225304</t>
  </si>
  <si>
    <t xml:space="preserve">227349, 227349, 227355, 225106, 225106, 225304</t>
  </si>
  <si>
    <t xml:space="preserve">225106, 225106, 225106, 225106, 225136, 225307</t>
  </si>
  <si>
    <t xml:space="preserve">225136, 225136, 225136, 225136, 225136, 225307</t>
  </si>
  <si>
    <t xml:space="preserve">225537, 225537, 225537, 225537, 225537, 225307</t>
  </si>
  <si>
    <t xml:space="preserve">225537, 225567, 225567, 225567, 225567, 225307</t>
  </si>
  <si>
    <t xml:space="preserve">225567, 225567, 225100, 225112, 225112, 225307</t>
  </si>
  <si>
    <t xml:space="preserve">225118, 225118, 225118, 225118, 225124, 225307</t>
  </si>
  <si>
    <t xml:space="preserve">225130, 225130, 225142, 225531, 225543, 225310</t>
  </si>
  <si>
    <t xml:space="preserve">225543, 225549, 225549, 225549, 225549, 226497</t>
  </si>
  <si>
    <t xml:space="preserve">225555, 225561, 225561, 225573, 225870, 226500</t>
  </si>
  <si>
    <t xml:space="preserve">225873, 225873, 225873, 225873, 225873, 226500</t>
  </si>
  <si>
    <t xml:space="preserve">225873, 225876, 225876, 225879, 225879, 226500</t>
  </si>
  <si>
    <t xml:space="preserve">225879, 225879, 225882, 225885, 225885, 226500</t>
  </si>
  <si>
    <t xml:space="preserve">225888, 225888, 225888, 225888, 225888, 226500</t>
  </si>
  <si>
    <t xml:space="preserve">225888, 225891, 226498, 226498, 226498, 226500</t>
  </si>
  <si>
    <t xml:space="preserve">226498, 226498, 226498, 226513, 226513, 226503</t>
  </si>
  <si>
    <t xml:space="preserve">226513, 226513, 226513, 226513, 227044, 226503</t>
  </si>
  <si>
    <t xml:space="preserve">227050, 227050, 227050, 227050, 227050, 226506</t>
  </si>
  <si>
    <t xml:space="preserve">227050, 227056, 227056, 227062, 227062, 226506</t>
  </si>
  <si>
    <t xml:space="preserve">227062, 227062, 227068, 227074, 227074, 226506</t>
  </si>
  <si>
    <t xml:space="preserve">227080, 227080, 227080, 227080, 227080, 226506</t>
  </si>
  <si>
    <t xml:space="preserve">227080, 227086, 226495, 226501, 226501, 226509</t>
  </si>
  <si>
    <t xml:space="preserve">226504, 226504, 226504, 226504, 226507, 226512</t>
  </si>
  <si>
    <t xml:space="preserve">226510, 226510, 226516, 225101, 225107, 226512</t>
  </si>
  <si>
    <t xml:space="preserve">225107, 225107, 225107, 225107, 225107, 226515</t>
  </si>
  <si>
    <t xml:space="preserve">225113, 225113, 225119, 225119, 225119, 226515</t>
  </si>
  <si>
    <t xml:space="preserve">225119, 225125, 225131, 225131, 225137, 226515</t>
  </si>
  <si>
    <t xml:space="preserve">225137, 225137, 225137, 225137, 225137, 226515</t>
  </si>
  <si>
    <t xml:space="preserve">225143, 227495, 227498, 227498, 227498, 226515</t>
  </si>
  <si>
    <t xml:space="preserve">227498, 227498, 227498, 227501, 227501, 226515</t>
  </si>
  <si>
    <t xml:space="preserve">227504, 227504, 227504, 227504, 227507, 226519</t>
  </si>
  <si>
    <t xml:space="preserve">227510, 227510, 227513, 227513, 227513, 227497</t>
  </si>
  <si>
    <t xml:space="preserve">227513, 227513, 227513, 227516, 225287, 227500</t>
  </si>
  <si>
    <t xml:space="preserve">225290, 225290, 225290, 225290, 225290, 227500</t>
  </si>
  <si>
    <t xml:space="preserve">225290, 225293, 225293, 225296, 225296, 227500</t>
  </si>
  <si>
    <t xml:space="preserve">225296, 225296, 225299, 225302, 225302, 227500</t>
  </si>
  <si>
    <t xml:space="preserve">225305, 225305, 225305, 225305, 225305, 227500</t>
  </si>
  <si>
    <t xml:space="preserve">225305, 225308, 225538, 225538, 225538, 227500</t>
  </si>
  <si>
    <t xml:space="preserve">225538, 225538, 225538, 225568, 225568, 227503</t>
  </si>
  <si>
    <t xml:space="preserve">225568, 225568, 225568, 225568, 225532, 227503</t>
  </si>
  <si>
    <t xml:space="preserve">225544, 225544, 225550, 225550, 225550, 227506</t>
  </si>
  <si>
    <t xml:space="preserve">225550, 225556, 225562, 225562, 225574, 227506</t>
  </si>
  <si>
    <t xml:space="preserve">226334, 226340, 226340, 226343, 226343, 227506</t>
  </si>
  <si>
    <t xml:space="preserve">226343, 226343, 226346, 226349, 226349, 227506</t>
  </si>
  <si>
    <t xml:space="preserve">226355, 226182, 226182, 226182, 226182, 227509</t>
  </si>
  <si>
    <t xml:space="preserve">226182, 226182, 226197, 226197, 226197, 227512</t>
  </si>
  <si>
    <t xml:space="preserve">226197, 226197, 226197, 226337, 226337, 227512</t>
  </si>
  <si>
    <t xml:space="preserve">226337, 226337, 226337, 226337, 226352, 227515</t>
  </si>
  <si>
    <t xml:space="preserve">226352, 226352, 226352, 226352, 226352, 227515</t>
  </si>
  <si>
    <t xml:space="preserve">226179, 226185, 226185, 226188, 226188, 227515</t>
  </si>
  <si>
    <t xml:space="preserve">226188, 226188, 226191, 226194, 226194, 227515</t>
  </si>
  <si>
    <t xml:space="preserve">226200, 226028, 226034, 226034, 226037, 227515</t>
  </si>
  <si>
    <t xml:space="preserve">226037, 226037, 226037, 226040, 226043, 227515</t>
  </si>
  <si>
    <t xml:space="preserve">226043, 226049, 226031, 226031, 226031, 227518</t>
  </si>
  <si>
    <t xml:space="preserve">226031, 226031, 226031, 226046, 226046, 225872</t>
  </si>
  <si>
    <t xml:space="preserve">226046, 226046, 226046, 226046, 226652, 225875</t>
  </si>
  <si>
    <t xml:space="preserve">226652, 226652, 226652, 226652, 226652, 225875</t>
  </si>
  <si>
    <t xml:space="preserve">226667, 226667, 226667, 226667, 226667, 225875</t>
  </si>
  <si>
    <t xml:space="preserve">226667, 226649, 226655, 226655, 226658, 225875</t>
  </si>
  <si>
    <t xml:space="preserve">226658, 226658, 226658, 226661, 226664, 225875</t>
  </si>
  <si>
    <t xml:space="preserve">226664, 226670, 226800, 226803, 226803, 225875</t>
  </si>
  <si>
    <t xml:space="preserve">226803, 226803, 226803, 226803, 226806, 225878</t>
  </si>
  <si>
    <t xml:space="preserve">226806, 226809, 226809, 226809, 226809, 225878</t>
  </si>
  <si>
    <t xml:space="preserve">226812, 226815, 226815, 226818, 226818, 225881</t>
  </si>
  <si>
    <t xml:space="preserve">226818, 226818, 226818, 226818, 226821, 225881</t>
  </si>
  <si>
    <t xml:space="preserve">225715, 225718, 225718, 225718, 225718, 225881</t>
  </si>
  <si>
    <t xml:space="preserve">225718, 225718, 225721, 225721, 225724, 225881</t>
  </si>
  <si>
    <t xml:space="preserve">225724, 225724, 225724, 225727, 225730, 225884</t>
  </si>
  <si>
    <t xml:space="preserve">225730, 225733, 225733, 225733, 225733, 225887</t>
  </si>
  <si>
    <t xml:space="preserve">225733, 225733, 225736, 228349, 228349, 231573</t>
  </si>
  <si>
    <t xml:space="preserve">228349, 228349, 228349, 228350, 228350, 228350, 225108</t>
  </si>
  <si>
    <t xml:space="preserve">228350, 228350, 228350, 228350, 228350, 228350, 225108</t>
  </si>
  <si>
    <t xml:space="preserve">228350, 228350, 228350, 227924, 227924, 227945, 225108</t>
  </si>
  <si>
    <t xml:space="preserve">227945, 227945, 227945, 227945, 227945, 227945, 225108</t>
  </si>
  <si>
    <t xml:space="preserve">227945, 227945, 227945, 227925, 227925, 227925, 225109</t>
  </si>
  <si>
    <t xml:space="preserve">227925, 227925, 227925, 227925, 227925, 227925, 225109</t>
  </si>
  <si>
    <t xml:space="preserve">227925, 227927, 227927, 227927, 227928, 227928, 225109</t>
  </si>
  <si>
    <t xml:space="preserve">227928, 227928, 227928, 227928, 227928, 227928, 225109</t>
  </si>
  <si>
    <t xml:space="preserve">227928, 227928, 227946, 227946, 227946, 227946, 225109</t>
  </si>
  <si>
    <t xml:space="preserve">227946, 227946, 227946, 227946, 227946, 227946, 225109</t>
  </si>
  <si>
    <t xml:space="preserve">227948, 227948, 227948, 227948, 227948, 227948, 225110</t>
  </si>
  <si>
    <t xml:space="preserve">227948, 227948, 227948, 227948, 227949, 227949, 225110</t>
  </si>
  <si>
    <t xml:space="preserve">227949, 227949, 227949, 227949, 227949, 227949, 225110</t>
  </si>
  <si>
    <t xml:space="preserve">227949, 227949, 227951, 227951, 227951, 227951, 225110</t>
  </si>
  <si>
    <t xml:space="preserve">227951, 227951, 227951, 227951, 227951, 227951, 225110</t>
  </si>
  <si>
    <t xml:space="preserve">227952, 227952, 227952, 227952, 227952, 227952, 225110</t>
  </si>
  <si>
    <t xml:space="preserve">227952, 227952, 227952, 227952, 227970, 227970, 225111</t>
  </si>
  <si>
    <t xml:space="preserve">227970, 227970, 227970, 227970, 227970, 227970, 225111</t>
  </si>
  <si>
    <t xml:space="preserve">227970, 227970, 227972, 227972, 227972, 227972, 225111</t>
  </si>
  <si>
    <t xml:space="preserve">227972, 227972, 227972, 227972, 227972, 227972, 225111</t>
  </si>
  <si>
    <t xml:space="preserve">227974, 227974, 227974, 227976, 227976, 227976, 225111</t>
  </si>
  <si>
    <t xml:space="preserve">227976, 227976, 227976, 227976, 227976, 227976, 225111</t>
  </si>
  <si>
    <t xml:space="preserve">227976, 227969, 227969, 227969, 227969, 227969, 225114</t>
  </si>
  <si>
    <t xml:space="preserve">227969, 227969, 227969, 227969, 227969, 227971, 225114</t>
  </si>
  <si>
    <t xml:space="preserve">227971, 227973, 227973, 227973, 227973, 227973, 225115</t>
  </si>
  <si>
    <t xml:space="preserve">227973, 227973, 227973, 227973, 227973, 227975, 225115</t>
  </si>
  <si>
    <t xml:space="preserve">227975, 227975, 227975, 227975, 227975, 227975, 225116</t>
  </si>
  <si>
    <t xml:space="preserve">227975, 227975, 227975, 227977, 227977, 227977, 225116</t>
  </si>
  <si>
    <t xml:space="preserve">227977, 228058, 228058, 228058, 228058, 228058, 225117</t>
  </si>
  <si>
    <t xml:space="preserve">228058, 228058, 228058, 228058, 228058, 228058, 225117</t>
  </si>
  <si>
    <t xml:space="preserve">228058, 228058, 228058, 228058, 227922, 227922, 225120</t>
  </si>
  <si>
    <t xml:space="preserve">227922, 227922, 227922, 227922, 227922, 227922, 225120</t>
  </si>
  <si>
    <t xml:space="preserve">227922, 227922, 227923, 227923, 227923, 227923, 225120</t>
  </si>
  <si>
    <t xml:space="preserve">227923, 227923, 227923, 227923, 227923, 227923, 225120</t>
  </si>
  <si>
    <t xml:space="preserve">227926, 227926, 227926, 227926, 227926, 227926, 225121</t>
  </si>
  <si>
    <t xml:space="preserve">227926, 227926, 227926, 227926, 227929, 227929, 225121</t>
  </si>
  <si>
    <t xml:space="preserve">227929, 227929, 227929, 227929, 227929, 227929, 225121</t>
  </si>
  <si>
    <t xml:space="preserve">227929, 227929, 227930, 227930, 227930, 227930, 225121</t>
  </si>
  <si>
    <t xml:space="preserve">227947, 227947, 227947, 227947, 227950, 227950, 225122</t>
  </si>
  <si>
    <t xml:space="preserve">227950, 227950, 227953, 227953, 227953, 227953, 225122</t>
  </si>
  <si>
    <t xml:space="preserve">227953, 227953, 228329, 228329, 228329, 228329, 225122</t>
  </si>
  <si>
    <t xml:space="preserve">228329, 228329, 228329, 228329, 228329, 228329, 225122</t>
  </si>
  <si>
    <t xml:space="preserve">228329, 228329, 228329, 228329, 228329, 228329, 225123</t>
  </si>
  <si>
    <t xml:space="preserve">228329, 228329, 228329, 228329, 228346, 228346, 225123</t>
  </si>
  <si>
    <t xml:space="preserve">228346, 228346, 228346, 228346, 228371, 228371, 225123</t>
  </si>
  <si>
    <t xml:space="preserve">228371, 228371, 228371, 228371, 228371, 228371, 225126</t>
  </si>
  <si>
    <t xml:space="preserve">228371, 228371, 228371, 228371, 228388, 228388, 225127</t>
  </si>
  <si>
    <t xml:space="preserve">228388, 228388, 228388, 228388, 228389, 228389, 225128</t>
  </si>
  <si>
    <t xml:space="preserve">228389, 228389, 228389, 228389, 228389, 228389, 225129</t>
  </si>
  <si>
    <t xml:space="preserve">228389, 228389, 228389, 228389, 228389, 228389, 225132</t>
  </si>
  <si>
    <t xml:space="preserve">228389, 228389, 228389, 228389, 228389, 228389, 225133</t>
  </si>
  <si>
    <t xml:space="preserve">228326, 228326, 228326, 228326, 228326, 228326, 225133</t>
  </si>
  <si>
    <t xml:space="preserve">228326, 228326, 228326, 228326, 228327, 228327, 225134</t>
  </si>
  <si>
    <t xml:space="preserve">228327, 228327, 228327, 228327, 228327, 228327, 225134</t>
  </si>
  <si>
    <t xml:space="preserve">228327, 228327, 228328, 228328, 228328, 228328, 225135</t>
  </si>
  <si>
    <t xml:space="preserve">228328, 228344, 228344, 228344, 228344, 228344, 225135</t>
  </si>
  <si>
    <t xml:space="preserve">228344, 228344, 228344, 228344, 228344, 228345, 225138</t>
  </si>
  <si>
    <t xml:space="preserve">228345, 228345, 228345, 228345, 228345, 228345, 225138</t>
  </si>
  <si>
    <t xml:space="preserve">228345, 228345, 228345, 228347, 228347, 228347, 225138</t>
  </si>
  <si>
    <t xml:space="preserve">228347, 228347, 228347, 228347, 228347, 228347, 225138</t>
  </si>
  <si>
    <t xml:space="preserve">228347, 228348, 228348, 228348, 228348, 228348, 225138</t>
  </si>
  <si>
    <t xml:space="preserve">228348, 228348, 228348, 228348, 228348, 228365, 225138</t>
  </si>
  <si>
    <t xml:space="preserve">228365, 228365, 228365, 228365, 228365, 228365, 225139</t>
  </si>
  <si>
    <t xml:space="preserve">228365, 228365, 228365, 228366, 228366, 228366, 225139</t>
  </si>
  <si>
    <t xml:space="preserve">228366, 228366, 228366, 228366, 228366, 228366, 225139</t>
  </si>
  <si>
    <t xml:space="preserve">228366, 228367, 228367, 228367, 228367, 228367, 225139</t>
  </si>
  <si>
    <t xml:space="preserve">228368, 228368, 228368, 228368, 228368, 228368, 225139</t>
  </si>
  <si>
    <t xml:space="preserve">228368, 228368, 228368, 228368, 228369, 228369, 225139</t>
  </si>
  <si>
    <t xml:space="preserve">228369, 228369, 228369, 228369, 228369, 228369, 225140</t>
  </si>
  <si>
    <t xml:space="preserve">228369, 228369, 228370, 228370, 228370, 228370, 225140</t>
  </si>
  <si>
    <t xml:space="preserve">228370, 228386, 228386, 228386, 228386, 228386, 225140</t>
  </si>
  <si>
    <t xml:space="preserve">228386, 228386, 228386, 228386, 228386, 228387, 225140</t>
  </si>
  <si>
    <t xml:space="preserve">228387, 228387, 228387, 228387, 228387, 228387, 225140</t>
  </si>
  <si>
    <t xml:space="preserve">228387, 228387, 228387, 231567, 231568, 231569, 231570</t>
  </si>
  <si>
    <t xml:space="preserve">231572, 231574, 231566, 231571, 231575, 231555, 231550, 231551</t>
  </si>
  <si>
    <t xml:space="preserve">231552, 231553, 231554, 231556, 231557, 231558, 231559, 231625, 225141</t>
  </si>
  <si>
    <t xml:space="preserve">231595, 231597, 231598, 231600, 231601, 231602, 231603, 231616, 225141</t>
  </si>
  <si>
    <t xml:space="preserve">231617, 231620, 231621, 231623, 231594, 231596, 231599, 231622, 225141</t>
  </si>
  <si>
    <t xml:space="preserve">231624, 231618, 231619, 229741, 229742, 229744, 229746, 229743, 225289</t>
  </si>
  <si>
    <t xml:space="preserve">229745, 227499, 227499, 227499, 227499, 227499, 227499, 227514, 227514</t>
  </si>
  <si>
    <t xml:space="preserve">227514, 227514, 227514, 227514, 227496, 227502, 227502, 227505, 227505</t>
  </si>
  <si>
    <t xml:space="preserve">227505, 227505, 227508, 227511, 227511, 227517, 225871, 225874, 225874</t>
  </si>
  <si>
    <t xml:space="preserve">225874, 225874, 225874, 225874, 225877, 225877, 225880, 225880, 225880</t>
  </si>
  <si>
    <t xml:space="preserve">225880, 225883, 225886, 225886, 225889, 225889, 225889, 225889, 225889</t>
  </si>
  <si>
    <t xml:space="preserve">225889, 225893, 225288, 225291, 225291, 225291, 225291, 225291, 225291</t>
  </si>
  <si>
    <t xml:space="preserve">225294, 225294, 225297, 225297, 225297, 225297, 225300, 225303, 225303</t>
  </si>
  <si>
    <t xml:space="preserve">225306, 225306, 225306, 225306, 225306, 225306, 225309, 226801, 226804</t>
  </si>
  <si>
    <t xml:space="preserve">226804, 226804, 226804, 226804, 226804, 226807, 226807, 226810, 226810</t>
  </si>
  <si>
    <t xml:space="preserve">226810, 226810, 226813, 226816, 226816, 226819, 226819, 226819, 226819</t>
  </si>
  <si>
    <t xml:space="preserve">226819, 226819, 226822, 225716, 225719, 225719, 225719, 225719, 225719</t>
  </si>
  <si>
    <t xml:space="preserve">225719, 225722, 225722, 225725, 225725, 225725, 225725, 225728, 225731</t>
  </si>
  <si>
    <t xml:space="preserve">225731, 225734, 225734, 225734, 225734, 225734, 225734, 225739, 226496</t>
  </si>
  <si>
    <t xml:space="preserve">226502, 226502, 226505, 226505, 226505, 226505, 226508, 226511, 226511</t>
  </si>
  <si>
    <t xml:space="preserve">226518, 226499, 226499, 226499, 226499, 226499, 226499, 226514, 226514</t>
  </si>
  <si>
    <t xml:space="preserve">226514, 226514, 226514, 226514, 226029, 226032, 226032, 226032, 226032</t>
  </si>
  <si>
    <t xml:space="preserve">226032, 226032, 226035, 226035, 226038, 226038, 226038, 226038, 226041</t>
  </si>
  <si>
    <t xml:space="preserve">226044, 226044, 226047, 226047, 226047, 226047, 226047, 226047, 226051</t>
  </si>
  <si>
    <t xml:space="preserve">226653, 226653, 226653, 226653, 226653, 226653, 226668, 226668, 226668</t>
  </si>
  <si>
    <t xml:space="preserve">226668, 226668, 226668, 226650, 226656, 226656, 226659, 226659, 226659</t>
  </si>
  <si>
    <t xml:space="preserve">226659, 226662, 226665, 226665, 226672, 226183, 226183, 226183, 226183</t>
  </si>
  <si>
    <t xml:space="preserve">226183, 226183, 226198, 226198, 226198, 226198, 226198, 226198, 226338</t>
  </si>
  <si>
    <t xml:space="preserve">226338, 226338, 226338, 226338, 226338, 226353, 226353, 226353, 226353</t>
  </si>
  <si>
    <t xml:space="preserve">226353, 226353, 226180, 226186, 226186, 226189, 226189, 226189, 226189</t>
  </si>
  <si>
    <t xml:space="preserve">226192, 226195, 226195, 226201, 226335, 226341, 226341, 226344, 226344</t>
  </si>
  <si>
    <t xml:space="preserve">226344, 226344, 226347, 226350, 226350, 226356, 225890, 225890, 225894, 226030</t>
  </si>
  <si>
    <t xml:space="preserve">226033, 226033, 226033, 226033, 226033, 226033, 226036, 226036, 226039, 226039, 226039, 226039, 225141</t>
  </si>
  <si>
    <t xml:space="preserve">226042, 226045, 226045, 226048, 226048, 226048, 226048, 226048, 226048, 226052, 225717, 225720, 225141</t>
  </si>
  <si>
    <t xml:space="preserve">225720, 225720, 225720, 225720, 225720, 225723, 225723, 225726, 225726, 225726, 225726, 225729, 225141</t>
  </si>
  <si>
    <t xml:space="preserve">225732, 225732, 225735, 225735, 225735, 225735, 225735, 225735, 225740, 226184, 226184, 226184, 225144</t>
  </si>
  <si>
    <t xml:space="preserve">226184, 226184, 226184, 226199, 226199, 226199, 226199, 226199, 226199, 226339, 226339, 226339, 225145</t>
  </si>
  <si>
    <t xml:space="preserve">226339, 226339, 226339, 226354, 226354, 226354, 226354, 226354, 226354, 226654, 226654, 226654, 225146</t>
  </si>
  <si>
    <t xml:space="preserve">226654, 226654, 226654, 226669, 226669, 226669, 226669, 226669, 226669, 226805, 226805, 226805, 225147</t>
  </si>
  <si>
    <t xml:space="preserve">226805, 226805, 226805, 226820, 226820, 226820, 226820, 226820, 226820, 226181, 226187, 226187, 225533</t>
  </si>
  <si>
    <t xml:space="preserve">226190, 226190, 226190, 226190, 226193, 226196, 226196, 226202, 226336, 226342, 226342, 226345, 225534</t>
  </si>
  <si>
    <t xml:space="preserve">226345, 226345, 226345, 226348, 226351, 226351, 226357, 226651, 226657, 226657, 226660, 226660, 225535</t>
  </si>
  <si>
    <t xml:space="preserve">226660, 226660, 226663, 226666, 226666, 226673, 226802, 226808, 226808, 226811, 226811, 226811, 225536</t>
  </si>
  <si>
    <t xml:space="preserve">226811, 226814, 226817, 226817, 226823, 225539, 225539, 225539, 225539, 225539, 225540, 225540, 225540, 225540, 225540, 225540, 225541, 225541, 225541</t>
  </si>
  <si>
    <t xml:space="preserve">225541, 225541, 225541, 225542, 225542, 225542, 225542, 225542, 225542, 225545, 225545, 225546, 225546, 225547, 225547, 225548, 225548, 225551, 225551, 225551, 225551, 225552</t>
  </si>
  <si>
    <t xml:space="preserve">225552, 225552, 225552, 225553, 225553, 225553, 225553, 225554, 225554, 225554, 225554, 225557, 225558, 225559, 225560, 225563, 225563, 225564, 225564, 225565, 225565, 225566</t>
  </si>
  <si>
    <t xml:space="preserve">225566, 225569, 225569, 225569, 225569, 225569, 225569, 225570, 225570, 225570, 225570, 225570, 225570, 225571, 225571, 225571, 225571, 225571, 225571, 225572, 225572, 225572</t>
  </si>
  <si>
    <t xml:space="preserve">225572, 225572, 225572, 225575, 225576, 225577, 225578, 227046, 227047, 227048, 227049, 227052, 227052, 227052, 227052, 227052, 227052, 227053, 227053, 227053, 227053, 227053</t>
  </si>
  <si>
    <t xml:space="preserve">227053, 227054, 227054, 227054, 227054, 227054, 227054, 227055, 227055, 227055, 227055, 227055, 227055, 227058, 227058, 227059, 227059, 227060, 227060, 227061, 227061, 227064</t>
  </si>
  <si>
    <t xml:space="preserve">227064, 227064, 227064, 227065, 227065, 227065, 227065, 227066, 227066, 227066, 227066, 227067, 227067, 227067, 227067, 227070, 227071, 227072, 227073, 227076, 227076, 227077</t>
  </si>
  <si>
    <t xml:space="preserve">227077, 227078, 227078, 227079, 227079, 227082, 227082, 227082, 227082, 227082, 227082, 227083, 227083, 227083, 227083, 227083, 227083, 227084, 227084, 227084, 227084, 227084</t>
  </si>
  <si>
    <t xml:space="preserve">227084, 227085, 227085, 227085, 227085, 227085, 227085, 227088, 227089, 227090, 227091, 227314, 227315, 227316, 227317, 227320, 227320, 227320, 227320, 227320, 227320, 227321</t>
  </si>
  <si>
    <t xml:space="preserve">227321, 227321, 227321, 227321, 227321, 227322, 227322, 227322, 227322, 227322, 227322, 227323, 227323, 227323, 227323, 227323, 227323, 227326, 227326, 227327, 227327, 227328</t>
  </si>
  <si>
    <t xml:space="preserve">227328, 227329, 227329, 227332, 227332, 227332, 227332, 227333, 227333, 227333, 227333, 227334, 227334, 227334, 227334, 227335, 227335, 227335, 227335, 227338, 227339, 227340</t>
  </si>
  <si>
    <t xml:space="preserve">227341, 227344, 227344, 227345, 227345, 227346, 227346, 227347, 227347, 227350, 227350, 227350, 227350, 227350, 227350, 227351, 227351, 227351, 227351, 227351, 227351, 227352</t>
  </si>
  <si>
    <t xml:space="preserve">227352, 227352, 227352, 227352, 227352, 227353, 227353, 227353, 227353, 227353, 227353, 227356, 227357, 227358, 227359</t>
  </si>
  <si>
    <t xml:space="preserve">229735</t>
  </si>
  <si>
    <t xml:space="preserve">229739</t>
  </si>
  <si>
    <t xml:space="preserve">229867</t>
  </si>
  <si>
    <t xml:space="preserve">229869</t>
  </si>
  <si>
    <t xml:space="preserve">229737</t>
  </si>
  <si>
    <t xml:space="preserve">229863</t>
  </si>
  <si>
    <t xml:space="preserve">229865</t>
  </si>
  <si>
    <t xml:space="preserve">229734, 229763</t>
  </si>
  <si>
    <t xml:space="preserve">229732, 226402</t>
  </si>
  <si>
    <t xml:space="preserve">7.12 + 1.84</t>
  </si>
  <si>
    <t xml:space="preserve">229730, 225192</t>
  </si>
  <si>
    <t xml:space="preserve">7.09 + 1.84</t>
  </si>
  <si>
    <t xml:space="preserve">229814, 226097</t>
  </si>
  <si>
    <t xml:space="preserve">229816, 226564</t>
  </si>
  <si>
    <t xml:space="preserve">7.08 + 1.84</t>
  </si>
  <si>
    <t xml:space="preserve">229810, 226718</t>
  </si>
  <si>
    <t xml:space="preserve">229812, 226247</t>
  </si>
  <si>
    <t xml:space="preserve">229870, 229868</t>
  </si>
  <si>
    <t xml:space="preserve">229864, 229866</t>
  </si>
  <si>
    <t xml:space="preserve">229740, 229738</t>
  </si>
  <si>
    <t xml:space="preserve">229736, 229729</t>
  </si>
  <si>
    <t xml:space="preserve">229731, 229733</t>
  </si>
  <si>
    <t xml:space="preserve">229809, 229811</t>
  </si>
  <si>
    <t xml:space="preserve">229813, 229815</t>
  </si>
  <si>
    <t xml:space="preserve">229781, 229783</t>
  </si>
  <si>
    <t xml:space="preserve">229785, 229791</t>
  </si>
  <si>
    <t xml:space="preserve">229787, 229789</t>
  </si>
  <si>
    <t xml:space="preserve">229793, 229797</t>
  </si>
  <si>
    <t xml:space="preserve">229795, 229801</t>
  </si>
  <si>
    <t xml:space="preserve">229799, 229803</t>
  </si>
  <si>
    <t xml:space="preserve">229805, 229807</t>
  </si>
  <si>
    <t xml:space="preserve">2.37 + 2.37 + 2.37 + 1.84</t>
  </si>
  <si>
    <t xml:space="preserve">229747, 229748, 229749, 227404</t>
  </si>
  <si>
    <t xml:space="preserve">229750, 229751, 229752, 225623</t>
  </si>
  <si>
    <t xml:space="preserve">229753, 229754, 229755, 229756</t>
  </si>
  <si>
    <t xml:space="preserve">2.23 + 2.23 + 1.84 + 1.84</t>
  </si>
  <si>
    <t xml:space="preserve">229757, 229758, 225785, 225939</t>
  </si>
  <si>
    <t xml:space="preserve">1.84 + 1.82 + 1.82 + 1.82 + 1.69</t>
  </si>
  <si>
    <t xml:space="preserve">229764, 226407, 225197, 225790, 229761</t>
  </si>
  <si>
    <t xml:space="preserve">1.82 + 1.82 + 1.82 + 1.82 + 1.66</t>
  </si>
  <si>
    <t xml:space="preserve">227409, 225628, 225944, 226252, 229760</t>
  </si>
  <si>
    <t xml:space="preserve">1.82 + 1.82 + 1.82 + 1.78 + 1.63</t>
  </si>
  <si>
    <t xml:space="preserve">226569, 226723, 226102, 229762, 229759</t>
  </si>
  <si>
    <t xml:space="preserve">228053, 228056</t>
  </si>
  <si>
    <t xml:space="preserve">4.25 + 4.24</t>
  </si>
  <si>
    <t xml:space="preserve">228054, 228057</t>
  </si>
  <si>
    <t xml:space="preserve">228055, 228052</t>
  </si>
  <si>
    <t xml:space="preserve">2.05 + 2.05 + 2.05 + 2.05</t>
  </si>
  <si>
    <t xml:space="preserve">224881, 227096, 226828, 225315</t>
  </si>
  <si>
    <t xml:space="preserve">1.97 + 1.97 + 1.97 + 1.97</t>
  </si>
  <si>
    <t xml:space="preserve">225355, 226868, 224921, 227136</t>
  </si>
  <si>
    <t xml:space="preserve">1.95 + 1.95 + 1.94 + 1.94</t>
  </si>
  <si>
    <t xml:space="preserve">226227, 226232, 226893, 225380</t>
  </si>
  <si>
    <t xml:space="preserve">1.94 + 1.94 + 1.94 + 1.94</t>
  </si>
  <si>
    <t xml:space="preserve">224946, 227161, 225152, 225157</t>
  </si>
  <si>
    <t xml:space="preserve">225172, 225177, 225745, 225750</t>
  </si>
  <si>
    <t xml:space="preserve">225765, 225770, 226362, 226367</t>
  </si>
  <si>
    <t xml:space="preserve">226382, 226387, 227364, 227369</t>
  </si>
  <si>
    <t xml:space="preserve">227384, 227389, 226217, 225583</t>
  </si>
  <si>
    <t xml:space="preserve">225593, 225603, 225608, 226057</t>
  </si>
  <si>
    <t xml:space="preserve">226067, 226077, 226082, 226207</t>
  </si>
  <si>
    <t xml:space="preserve">226678, 226688, 226698, 226703</t>
  </si>
  <si>
    <t xml:space="preserve">225899, 225909, 225919, 225924</t>
  </si>
  <si>
    <t xml:space="preserve">226524, 226534, 226544, 226549</t>
  </si>
  <si>
    <t xml:space="preserve">1.90 + 1.90 + 1.90 + 1.90</t>
  </si>
  <si>
    <t xml:space="preserve">225904, 225914, 225929, 225934</t>
  </si>
  <si>
    <t xml:space="preserve">226529, 226539, 226554, 226559</t>
  </si>
  <si>
    <t xml:space="preserve">227379, 227394, 227374, 227399</t>
  </si>
  <si>
    <t xml:space="preserve">226372, 226377, 226392, 226397</t>
  </si>
  <si>
    <t xml:space="preserve">225755, 225775, 225588, 225598</t>
  </si>
  <si>
    <t xml:space="preserve">226222, 226237, 225162, 225613</t>
  </si>
  <si>
    <t xml:space="preserve">225618, 226212, 226242, 225760</t>
  </si>
  <si>
    <t xml:space="preserve">225780, 225167, 225182, 225187</t>
  </si>
  <si>
    <t xml:space="preserve">226062, 226072, 226087, 226092</t>
  </si>
  <si>
    <t xml:space="preserve">226683, 226693, 226708, 226713</t>
  </si>
  <si>
    <t xml:space="preserve">1.76 + 1.76 + 1.76 + 1.76 + 1.76</t>
  </si>
  <si>
    <t xml:space="preserve">224886, 224931, 224941, 225325, 225335</t>
  </si>
  <si>
    <t xml:space="preserve">225345, 226838, 226848, 226858, 227101</t>
  </si>
  <si>
    <t xml:space="preserve">227146, 227156, 224906, 224891, 224901</t>
  </si>
  <si>
    <t xml:space="preserve">224916, 226843, 226878, 226883, 224896</t>
  </si>
  <si>
    <t xml:space="preserve">224911, 224926, 224936, 225320, 225330</t>
  </si>
  <si>
    <t xml:space="preserve">225365, 225370, 225375, 226833, 226853</t>
  </si>
  <si>
    <t xml:space="preserve">226863, 226873, 226888, 227106, 227111</t>
  </si>
  <si>
    <t xml:space="preserve">227116, 227121, 227126, 227131, 227141</t>
  </si>
  <si>
    <t xml:space="preserve">1.76 + 1.76 + 1.76 + 1.76</t>
  </si>
  <si>
    <t xml:space="preserve">227151, 225340, 225350, 225360</t>
  </si>
  <si>
    <t xml:space="preserve">227909a</t>
  </si>
  <si>
    <t xml:space="preserve">227913a</t>
  </si>
  <si>
    <t xml:space="preserve">227932a</t>
  </si>
  <si>
    <t xml:space="preserve">227936a</t>
  </si>
  <si>
    <t xml:space="preserve">227955a</t>
  </si>
  <si>
    <t xml:space="preserve">227960a</t>
  </si>
  <si>
    <t xml:space="preserve">228331a</t>
  </si>
  <si>
    <t xml:space="preserve">228335a</t>
  </si>
  <si>
    <t xml:space="preserve">228352</t>
  </si>
  <si>
    <t xml:space="preserve">227962</t>
  </si>
  <si>
    <t xml:space="preserve">227966</t>
  </si>
  <si>
    <t xml:space="preserve">227915</t>
  </si>
  <si>
    <t xml:space="preserve">227919</t>
  </si>
  <si>
    <t xml:space="preserve">8.89</t>
  </si>
  <si>
    <t xml:space="preserve">228356</t>
  </si>
  <si>
    <t xml:space="preserve">227938</t>
  </si>
  <si>
    <t xml:space="preserve">227942</t>
  </si>
  <si>
    <t xml:space="preserve">228358</t>
  </si>
  <si>
    <t xml:space="preserve">228362</t>
  </si>
  <si>
    <t xml:space="preserve">228341</t>
  </si>
  <si>
    <t xml:space="preserve">228337</t>
  </si>
  <si>
    <t xml:space="preserve">228373</t>
  </si>
  <si>
    <t xml:space="preserve">228377</t>
  </si>
  <si>
    <t xml:space="preserve">228313</t>
  </si>
  <si>
    <t xml:space="preserve">228317</t>
  </si>
  <si>
    <t xml:space="preserve">228319</t>
  </si>
  <si>
    <t xml:space="preserve">228323</t>
  </si>
  <si>
    <t xml:space="preserve">228379</t>
  </si>
  <si>
    <t xml:space="preserve">7.63 + 1.35</t>
  </si>
  <si>
    <t xml:space="preserve">228383, 227955b</t>
  </si>
  <si>
    <t xml:space="preserve">228332, 228357</t>
  </si>
  <si>
    <t xml:space="preserve">228374, 228361</t>
  </si>
  <si>
    <t xml:space="preserve">228353, 227931</t>
  </si>
  <si>
    <t xml:space="preserve">228314, 227935</t>
  </si>
  <si>
    <t xml:space="preserve">227958, 228351</t>
  </si>
  <si>
    <t xml:space="preserve">6.12 + 2.85</t>
  </si>
  <si>
    <t xml:space="preserve">227911, 228316</t>
  </si>
  <si>
    <t xml:space="preserve">227934, 228312</t>
  </si>
  <si>
    <t xml:space="preserve">5.87 + 2.83</t>
  </si>
  <si>
    <t xml:space="preserve">228359, 228355</t>
  </si>
  <si>
    <t xml:space="preserve">228363, 228330</t>
  </si>
  <si>
    <t xml:space="preserve">228338, 228334</t>
  </si>
  <si>
    <t xml:space="preserve">228342, 228372</t>
  </si>
  <si>
    <t xml:space="preserve">228380, 228376</t>
  </si>
  <si>
    <t xml:space="preserve">228384, 227908</t>
  </si>
  <si>
    <t xml:space="preserve">228320, 227959</t>
  </si>
  <si>
    <t xml:space="preserve">228324, 227912</t>
  </si>
  <si>
    <t xml:space="preserve">5.71 + 2.55</t>
  </si>
  <si>
    <t xml:space="preserve">227933, 227954</t>
  </si>
  <si>
    <t xml:space="preserve">227910, 228336</t>
  </si>
  <si>
    <t xml:space="preserve">227956, 228340</t>
  </si>
  <si>
    <t xml:space="preserve">227940, 228378</t>
  </si>
  <si>
    <t xml:space="preserve">227944, 228382</t>
  </si>
  <si>
    <t xml:space="preserve">5.42 + 2.37</t>
  </si>
  <si>
    <t xml:space="preserve">227964, 228318</t>
  </si>
  <si>
    <t xml:space="preserve">227968, 228322</t>
  </si>
  <si>
    <t xml:space="preserve">227917, 227937, 227932b</t>
  </si>
  <si>
    <t xml:space="preserve">227921, 227941, 227936b</t>
  </si>
  <si>
    <t xml:space="preserve">228354, 227914, 227918</t>
  </si>
  <si>
    <t xml:space="preserve">5.32 + 1.82 + 1.82</t>
  </si>
  <si>
    <t xml:space="preserve">227916, 227961, 227965</t>
  </si>
  <si>
    <t xml:space="preserve">5.32 + 1.38 + 1.35</t>
  </si>
  <si>
    <t xml:space="preserve">227920, 227909b, 227913b</t>
  </si>
  <si>
    <t xml:space="preserve">5.32 + 1.34 + 1.27</t>
  </si>
  <si>
    <t xml:space="preserve">227963, 227960b, 228331b</t>
  </si>
  <si>
    <t xml:space="preserve">227967, 228335b</t>
  </si>
  <si>
    <t xml:space="preserve">228333</t>
  </si>
  <si>
    <t xml:space="preserve">227939</t>
  </si>
  <si>
    <t xml:space="preserve">227943</t>
  </si>
  <si>
    <t xml:space="preserve">228339</t>
  </si>
  <si>
    <t xml:space="preserve">228343</t>
  </si>
  <si>
    <t xml:space="preserve">228364</t>
  </si>
  <si>
    <t xml:space="preserve">228360</t>
  </si>
  <si>
    <t xml:space="preserve">228375, 228381</t>
  </si>
  <si>
    <t xml:space="preserve">228315, 228325</t>
  </si>
  <si>
    <t xml:space="preserve">4.21 + 4.14</t>
  </si>
  <si>
    <t xml:space="preserve">228321, 228385</t>
  </si>
  <si>
    <t xml:space="preserve">BARRAS DEL MODELO MAYORES DE 9 m (se cortan en dos piezas con traslape; no se modifica el diseño)</t>
  </si>
  <si>
    <t xml:space="preserve">ID Revit</t>
  </si>
  <si>
    <t xml:space="preserve">Longitud modelo (m)</t>
  </si>
  <si>
    <t xml:space="preserve">Pieza 1 (m)</t>
  </si>
  <si>
    <t xml:space="preserve">Pieza 2 = L − 9 + traslape (m)</t>
  </si>
  <si>
    <t xml:space="preserve">227665</t>
  </si>
  <si>
    <t xml:space="preserve">227670</t>
  </si>
  <si>
    <t xml:space="preserve">227979</t>
  </si>
  <si>
    <t xml:space="preserve">227983</t>
  </si>
  <si>
    <t xml:space="preserve">228008</t>
  </si>
  <si>
    <t xml:space="preserve">228013</t>
  </si>
  <si>
    <t xml:space="preserve">227636</t>
  </si>
  <si>
    <t xml:space="preserve">227640</t>
  </si>
  <si>
    <t xml:space="preserve">227644</t>
  </si>
  <si>
    <t xml:space="preserve">227702</t>
  </si>
  <si>
    <t xml:space="preserve">227706</t>
  </si>
  <si>
    <t xml:space="preserve">227710</t>
  </si>
  <si>
    <t xml:space="preserve">227731</t>
  </si>
  <si>
    <t xml:space="preserve">227735</t>
  </si>
  <si>
    <t xml:space="preserve">227739</t>
  </si>
  <si>
    <t xml:space="preserve">228082</t>
  </si>
  <si>
    <t xml:space="preserve">228087</t>
  </si>
  <si>
    <t xml:space="preserve">228091</t>
  </si>
  <si>
    <t xml:space="preserve">227761</t>
  </si>
  <si>
    <t xml:space="preserve">227765</t>
  </si>
  <si>
    <t xml:space="preserve">227784</t>
  </si>
  <si>
    <t xml:space="preserve">227788</t>
  </si>
  <si>
    <t xml:space="preserve">227809</t>
  </si>
  <si>
    <t xml:space="preserve">227814</t>
  </si>
  <si>
    <t xml:space="preserve">228173</t>
  </si>
  <si>
    <t xml:space="preserve">228178</t>
  </si>
  <si>
    <t xml:space="preserve">227836</t>
  </si>
  <si>
    <t xml:space="preserve">227840</t>
  </si>
  <si>
    <t xml:space="preserve">227859</t>
  </si>
  <si>
    <t xml:space="preserve">227863</t>
  </si>
  <si>
    <t xml:space="preserve">227884</t>
  </si>
  <si>
    <t xml:space="preserve">227889</t>
  </si>
  <si>
    <t xml:space="preserve">228252</t>
  </si>
  <si>
    <t xml:space="preserve">228257</t>
  </si>
  <si>
    <t xml:space="preserve">227909</t>
  </si>
  <si>
    <t xml:space="preserve">227913</t>
  </si>
  <si>
    <t xml:space="preserve">227932</t>
  </si>
  <si>
    <t xml:space="preserve">227936</t>
  </si>
  <si>
    <t xml:space="preserve">227955</t>
  </si>
  <si>
    <t xml:space="preserve">227960</t>
  </si>
  <si>
    <t xml:space="preserve">228331</t>
  </si>
  <si>
    <t xml:space="preserve">228335</t>
  </si>
  <si>
    <t xml:space="preserve">DATOS DEL MODELO (lectura del IFC, sin modificar)</t>
  </si>
  <si>
    <t xml:space="preserve">Fuente: 'Proyect sj.ifc' exportado de Revit 2027 (27-09-2026). Valores medidos en la geometría; no editar.</t>
  </si>
  <si>
    <t xml:space="preserve">Tipo Revit</t>
  </si>
  <si>
    <t xml:space="preserve">Comentarios (marcador SJ_*)</t>
  </si>
  <si>
    <t xml:space="preserve">Volumen neto (m³)</t>
  </si>
  <si>
    <t xml:space="preserve">Encofrado costados (m²)</t>
  </si>
  <si>
    <t xml:space="preserve">Encofrado fondo (m²)</t>
  </si>
  <si>
    <t xml:space="preserve">Sup. superior libre (m²)</t>
  </si>
  <si>
    <t xml:space="preserve">Costados libres (m²)</t>
  </si>
  <si>
    <t xml:space="preserve">Área losa (m²)</t>
  </si>
  <si>
    <t xml:space="preserve">Área aligerada (m²)</t>
  </si>
  <si>
    <t xml:space="preserve">205598</t>
  </si>
  <si>
    <t xml:space="preserve">CIM_ESCALERA_ARRANQUE_R1</t>
  </si>
  <si>
    <t xml:space="preserve">SJ_CIMIENTO_ESCALERA_R1|ARRANQUE_TRAMO_1|CIMIENTO</t>
  </si>
  <si>
    <t xml:space="preserve">224700</t>
  </si>
  <si>
    <t xml:space="preserve">VCA_250x400_FINAL_PREDIM</t>
  </si>
  <si>
    <t xml:space="preserve">SJ_REDISENO_4X3_R1|VCA|N-1-A-1-N-1-A-4</t>
  </si>
  <si>
    <t xml:space="preserve">224701</t>
  </si>
  <si>
    <t xml:space="preserve">SJ_REDISENO_4X3_R1|VCA|N-1-A-4-N-1-A-2</t>
  </si>
  <si>
    <t xml:space="preserve">224702</t>
  </si>
  <si>
    <t xml:space="preserve">SJ_REDISENO_4X3_R1|VCA|N-1-A-2-N-1-A-3</t>
  </si>
  <si>
    <t xml:space="preserve">224703</t>
  </si>
  <si>
    <t xml:space="preserve">SJ_REDISENO_4X3_R1|VCA|N-2-A-1-N-2-A-4</t>
  </si>
  <si>
    <t xml:space="preserve">224704</t>
  </si>
  <si>
    <t xml:space="preserve">SJ_REDISENO_4X3_R1|VCA|N-2-A-4-N-2-A-2</t>
  </si>
  <si>
    <t xml:space="preserve">224705</t>
  </si>
  <si>
    <t xml:space="preserve">SJ_REDISENO_4X3_R1|VCA|N-2-A-2-N-2-A-3</t>
  </si>
  <si>
    <t xml:space="preserve">224706</t>
  </si>
  <si>
    <t xml:space="preserve">SJ_REDISENO_4X3_R1|VCA|N-3-A-1-N-3-A-4</t>
  </si>
  <si>
    <t xml:space="preserve">224707</t>
  </si>
  <si>
    <t xml:space="preserve">SJ_REDISENO_4X3_R1|VCA|N-3-A-4-N-3-A-2</t>
  </si>
  <si>
    <t xml:space="preserve">224708</t>
  </si>
  <si>
    <t xml:space="preserve">SJ_REDISENO_4X3_R1|VCA|N-3-A-2-N-3-A-3</t>
  </si>
  <si>
    <t xml:space="preserve">224709</t>
  </si>
  <si>
    <t xml:space="preserve">SJ_REDISENO_4X3_R1|VCA|N-1-A-1-N-2-A-1</t>
  </si>
  <si>
    <t xml:space="preserve">224710</t>
  </si>
  <si>
    <t xml:space="preserve">SJ_REDISENO_4X3_R1|VCA|N-2-A-1-N-3-A-1</t>
  </si>
  <si>
    <t xml:space="preserve">224711</t>
  </si>
  <si>
    <t xml:space="preserve">SJ_REDISENO_4X3_R1|VCA|N-1-A-4-N-2-A-4</t>
  </si>
  <si>
    <t xml:space="preserve">224712</t>
  </si>
  <si>
    <t xml:space="preserve">SJ_REDISENO_4X3_R1|VCA|N-2-A-4-N-3-A-4</t>
  </si>
  <si>
    <t xml:space="preserve">224713</t>
  </si>
  <si>
    <t xml:space="preserve">SJ_REDISENO_4X3_R1|VCA|N-1-A-2-N-2-A-2</t>
  </si>
  <si>
    <t xml:space="preserve">224714</t>
  </si>
  <si>
    <t xml:space="preserve">SJ_REDISENO_4X3_R1|VCA|N-2-A-2-N-3-A-2</t>
  </si>
  <si>
    <t xml:space="preserve">224715</t>
  </si>
  <si>
    <t xml:space="preserve">SJ_REDISENO_4X3_R1|VCA|N-1-A-3-N-2-A-3</t>
  </si>
  <si>
    <t xml:space="preserve">224716</t>
  </si>
  <si>
    <t xml:space="preserve">SJ_REDISENO_4X3_R1|VCA|N-2-A-3-N-3-A-3</t>
  </si>
  <si>
    <t xml:space="preserve">196940</t>
  </si>
  <si>
    <t xml:space="preserve">ZR_1600x1600x550_R1</t>
  </si>
  <si>
    <t xml:space="preserve">SJ_REDISENO_4X3_R1|N-1-A-1|ZP-1600</t>
  </si>
  <si>
    <t xml:space="preserve">196941</t>
  </si>
  <si>
    <t xml:space="preserve">ZR_1800x1800x550_R1</t>
  </si>
  <si>
    <t xml:space="preserve">SJ_REDISENO_4X3_R1|N-1-A-2|ZP-1800</t>
  </si>
  <si>
    <t xml:space="preserve">196942</t>
  </si>
  <si>
    <t xml:space="preserve">SJ_REDISENO_4X3_R1|N-1-A-3|ZP-1600</t>
  </si>
  <si>
    <t xml:space="preserve">196946</t>
  </si>
  <si>
    <t xml:space="preserve">SJ_REDISENO_4X3_R1|N-3-A-1|ZP-1600</t>
  </si>
  <si>
    <t xml:space="preserve">198926</t>
  </si>
  <si>
    <t xml:space="preserve">ZR_1200x1200x500_R1</t>
  </si>
  <si>
    <t xml:space="preserve">SJ_REDISENO_4X3_R1|N-4-A-2|ZP-1200</t>
  </si>
  <si>
    <t xml:space="preserve">198930</t>
  </si>
  <si>
    <t xml:space="preserve">SJ_REDISENO_4X3_R1|N-4-A-3|ZP-1200</t>
  </si>
  <si>
    <t xml:space="preserve">212966</t>
  </si>
  <si>
    <t xml:space="preserve">SJ_REDISENO_4X3_R1|N-1-A-4|ZP-1800</t>
  </si>
  <si>
    <t xml:space="preserve">212969</t>
  </si>
  <si>
    <t xml:space="preserve">ZR_2000x2000x550_R1</t>
  </si>
  <si>
    <t xml:space="preserve">SJ_REDISENO_4X3_R1|N-2-A-1|ZP-2000</t>
  </si>
  <si>
    <t xml:space="preserve">212970</t>
  </si>
  <si>
    <t xml:space="preserve">SJ_REDISENO_4X3_R1|N-2-A-4|ZP-2000</t>
  </si>
  <si>
    <t xml:space="preserve">212971</t>
  </si>
  <si>
    <t xml:space="preserve">SJ_REDISENO_4X3_R1|N-2-A-2|ZP-2000</t>
  </si>
  <si>
    <t xml:space="preserve">212972</t>
  </si>
  <si>
    <t xml:space="preserve">SJ_REDISENO_4X3_R1|N-2-A-3|ZP-1800</t>
  </si>
  <si>
    <t xml:space="preserve">212973</t>
  </si>
  <si>
    <t xml:space="preserve">SJ_REDISENO_4X3_R1|N-3-A-4|ZP-2000</t>
  </si>
  <si>
    <t xml:space="preserve">212974</t>
  </si>
  <si>
    <t xml:space="preserve">SJ_REDISENO_4X3_R1|N-3-A-2|ZP-2000</t>
  </si>
  <si>
    <t xml:space="preserve">212975</t>
  </si>
  <si>
    <t xml:space="preserve">SJ_REDISENO_4X3_R1|N-3-A-3|ZP-1800</t>
  </si>
  <si>
    <t xml:space="preserve">196903</t>
  </si>
  <si>
    <t xml:space="preserve">C_600x300_H_R1</t>
  </si>
  <si>
    <t xml:space="preserve">SJ_REDISENO_4X3_R1|N-1-A-2|COLUMNA|Cimentacion-Nivel 1</t>
  </si>
  <si>
    <t xml:space="preserve">196911</t>
  </si>
  <si>
    <t xml:space="preserve">C_300x600_V_R1</t>
  </si>
  <si>
    <t xml:space="preserve">SJ_REDISENO_4X3_R1|N-2-A-1|COLUMNA|Cimentacion-Nivel 1</t>
  </si>
  <si>
    <t xml:space="preserve">196915</t>
  </si>
  <si>
    <t xml:space="preserve">SJ_REDISENO_4X3_R1|N-2-A-2|COLUMNA|Cimentacion-Nivel 1</t>
  </si>
  <si>
    <t xml:space="preserve">196924</t>
  </si>
  <si>
    <t xml:space="preserve">SJ_REDISENO_4X3_R1|N-2-A-3|COLUMNA|Cimentacion-Nivel 1</t>
  </si>
  <si>
    <t xml:space="preserve">196932</t>
  </si>
  <si>
    <t xml:space="preserve">SJ_REDISENO_4X3_R1|N-3-A-2|COLUMNA|Cimentacion-Nivel 1</t>
  </si>
  <si>
    <t xml:space="preserve">200061</t>
  </si>
  <si>
    <t xml:space="preserve">SJ_COLUMNAS_ZAPATAS_ESCALERA_R1|ESQUINA_A2|COLUMNA|Cimentacion-Nivel 1</t>
  </si>
  <si>
    <t xml:space="preserve">200070</t>
  </si>
  <si>
    <t xml:space="preserve">SJ_COLUMNAS_ZAPATAS_ESCALERA_R1|ESQUINA_A3|COLUMNA|Cimentacion-Nivel 1</t>
  </si>
  <si>
    <t xml:space="preserve">212947</t>
  </si>
  <si>
    <t xml:space="preserve">SJ_REDISENO_4X3_R1|N-1-A-4|COLUMNA|Cimentacion-Nivel 1</t>
  </si>
  <si>
    <t xml:space="preserve">212952</t>
  </si>
  <si>
    <t xml:space="preserve">SJ_REDISENO_4X3_R1|N-2-A-4|COLUMNA|Cimentacion-Nivel 1</t>
  </si>
  <si>
    <t xml:space="preserve">212957</t>
  </si>
  <si>
    <t xml:space="preserve">SJ_REDISENO_4X3_R1|N-3-A-4|COLUMNA|Cimentacion-Nivel 1</t>
  </si>
  <si>
    <t xml:space="preserve">218115</t>
  </si>
  <si>
    <t xml:space="preserve">L_600x600x300</t>
  </si>
  <si>
    <t xml:space="preserve">SJ_REDISENO_4X3_R1|N-1-A-1|COLUMNA_L|Cimentacion-Nivel 1</t>
  </si>
  <si>
    <t xml:space="preserve">218120</t>
  </si>
  <si>
    <t xml:space="preserve">SJ_REDISENO_4X3_R1|N-1-A-3|COLUMNA_L|Cimentacion-Nivel 1</t>
  </si>
  <si>
    <t xml:space="preserve">218125</t>
  </si>
  <si>
    <t xml:space="preserve">SJ_REDISENO_4X3_R1|N-3-A-1|COLUMNA_L|Cimentacion-Nivel 1</t>
  </si>
  <si>
    <t xml:space="preserve">218130</t>
  </si>
  <si>
    <t xml:space="preserve">SJ_REDISENO_4X3_R1|N-3-A-3|COLUMNA_L|Cimentacion-Nivel 1</t>
  </si>
  <si>
    <t xml:space="preserve">230350</t>
  </si>
  <si>
    <t xml:space="preserve">FALSO_PISO_100mm</t>
  </si>
  <si>
    <t xml:space="preserve">SJ_FALSO_PISO_R1|Nivel 1|FALSO_PISO</t>
  </si>
  <si>
    <t xml:space="preserve">196080</t>
  </si>
  <si>
    <t xml:space="preserve">SJ_REDISENO_4X3_R1|N-1-A-2|COLUMNA|Nivel 1-Nivel 2</t>
  </si>
  <si>
    <t xml:space="preserve">196355</t>
  </si>
  <si>
    <t xml:space="preserve">SJ_REDISENO_4X3_R1|N-3-A-2|COLUMNA|Nivel 1-Nivel 2</t>
  </si>
  <si>
    <t xml:space="preserve">196477</t>
  </si>
  <si>
    <t xml:space="preserve">SJ_REDISENO_4X3_R1|N-2-A-1|COLUMNA|Nivel 1-Nivel 2</t>
  </si>
  <si>
    <t xml:space="preserve">196478</t>
  </si>
  <si>
    <t xml:space="preserve">SJ_REDISENO_4X3_R1|N-2-A-3|COLUMNA|Nivel 1-Nivel 2</t>
  </si>
  <si>
    <t xml:space="preserve">196571</t>
  </si>
  <si>
    <t xml:space="preserve">SJ_REDISENO_4X3_R1|N-2-A-2|COLUMNA|Nivel 1-Nivel 2</t>
  </si>
  <si>
    <t xml:space="preserve">200064</t>
  </si>
  <si>
    <t xml:space="preserve">SJ_COLUMNAS_ZAPATAS_ESCALERA_R1|ESQUINA_A2|COLUMNA|Nivel 1-Nivel 2</t>
  </si>
  <si>
    <t xml:space="preserve">200071</t>
  </si>
  <si>
    <t xml:space="preserve">SJ_COLUMNAS_ZAPATAS_ESCALERA_R1|ESQUINA_A3|COLUMNA|Nivel 1-Nivel 2</t>
  </si>
  <si>
    <t xml:space="preserve">212948</t>
  </si>
  <si>
    <t xml:space="preserve">SJ_REDISENO_4X3_R1|N-1-A-4|COLUMNA|Nivel 1-Nivel 2</t>
  </si>
  <si>
    <t xml:space="preserve">212953</t>
  </si>
  <si>
    <t xml:space="preserve">SJ_REDISENO_4X3_R1|N-2-A-4|COLUMNA|Nivel 1-Nivel 2</t>
  </si>
  <si>
    <t xml:space="preserve">212958</t>
  </si>
  <si>
    <t xml:space="preserve">SJ_REDISENO_4X3_R1|N-3-A-4|COLUMNA|Nivel 1-Nivel 2</t>
  </si>
  <si>
    <t xml:space="preserve">218116</t>
  </si>
  <si>
    <t xml:space="preserve">SJ_REDISENO_4X3_R1|N-1-A-1|COLUMNA_L|Nivel 1-Nivel 2</t>
  </si>
  <si>
    <t xml:space="preserve">218121</t>
  </si>
  <si>
    <t xml:space="preserve">SJ_REDISENO_4X3_R1|N-1-A-3|COLUMNA_L|Nivel 1-Nivel 2</t>
  </si>
  <si>
    <t xml:space="preserve">218126</t>
  </si>
  <si>
    <t xml:space="preserve">SJ_REDISENO_4X3_R1|N-3-A-1|COLUMNA_L|Nivel 1-Nivel 2</t>
  </si>
  <si>
    <t xml:space="preserve">218131</t>
  </si>
  <si>
    <t xml:space="preserve">SJ_REDISENO_4X3_R1|N-3-A-3|COLUMNA_L|Nivel 1-Nivel 2</t>
  </si>
  <si>
    <t xml:space="preserve">231142</t>
  </si>
  <si>
    <t xml:space="preserve">Genérico 150 mm</t>
  </si>
  <si>
    <t xml:space="preserve">SJ_ESCALERA_CONCRETO_4X3_R1|N1-N2|LOSA_T1</t>
  </si>
  <si>
    <t xml:space="preserve">231152</t>
  </si>
  <si>
    <t xml:space="preserve">SJ_ESCALERA_CONCRETO_4X3_R1|N1-N2|LOSA_T2</t>
  </si>
  <si>
    <t xml:space="preserve">231162</t>
  </si>
  <si>
    <t xml:space="preserve">SJ_ESCALERA_CONCRETO_4X3_R1|N1-N2|DESCANSO_J2</t>
  </si>
  <si>
    <t xml:space="preserve">231171</t>
  </si>
  <si>
    <t xml:space="preserve">SJ_ESCALERA_CONCRETO_4X3_R1|N1-N2|EXTENSION_PLATAFORMA_J1</t>
  </si>
  <si>
    <t xml:space="preserve">231178</t>
  </si>
  <si>
    <t xml:space="preserve">SJ_ESCALERA_CONCRETO_4X3_R1|N1-N2|PELDANOS_T1</t>
  </si>
  <si>
    <t xml:space="preserve">231179</t>
  </si>
  <si>
    <t xml:space="preserve">SJ_ESCALERA_CONCRETO_4X3_R1|N1-N2|PELDANOS_T2</t>
  </si>
  <si>
    <t xml:space="preserve">231180</t>
  </si>
  <si>
    <t xml:space="preserve">SJ_ESCALERA_CONCRETO_4X3_R1|N1-N2|NUDO_PRISMATICO_J2</t>
  </si>
  <si>
    <t xml:space="preserve">231181</t>
  </si>
  <si>
    <t xml:space="preserve">SJ_ESCALERA_CONCRETO_4X3_R1|N1-N2|NUDO_PRISMATICO_J2B</t>
  </si>
  <si>
    <t xml:space="preserve">231182</t>
  </si>
  <si>
    <t xml:space="preserve">SJ_ESCALERA_CONCRETO_4X3_R1|N1-N2|NUDO_PRISMATICO_J1</t>
  </si>
  <si>
    <t xml:space="preserve">220830</t>
  </si>
  <si>
    <t xml:space="preserve">PISO_ESTRUCTURAL_MACIZO_200mm_VOLADO</t>
  </si>
  <si>
    <t xml:space="preserve">SJ_RECONSTRUIR_LOSA_INTEGRAL_4X3_R1|Nivel 2|LOSA_INTEGRAL</t>
  </si>
  <si>
    <t xml:space="preserve">224717</t>
  </si>
  <si>
    <t xml:space="preserve">V_300x500_ENTREPISO_PREDIM</t>
  </si>
  <si>
    <t xml:space="preserve">SJ_VIGAS_ENTREPISO_4X3_R1|Nivel 2|N-1-A-1-N-1-A-4</t>
  </si>
  <si>
    <t xml:space="preserve">224719</t>
  </si>
  <si>
    <t xml:space="preserve">SJ_VIGAS_ENTREPISO_4X3_R1|Nivel 2|N-1-A-4-N-1-A-2</t>
  </si>
  <si>
    <t xml:space="preserve">224721</t>
  </si>
  <si>
    <t xml:space="preserve">SJ_VIGAS_ENTREPISO_4X3_R1|Nivel 2|N-1-A-2-N-1-A-3</t>
  </si>
  <si>
    <t xml:space="preserve">224723</t>
  </si>
  <si>
    <t xml:space="preserve">SJ_VIGAS_ENTREPISO_4X3_R1|Nivel 2|N-2-A-1-N-2-A-4</t>
  </si>
  <si>
    <t xml:space="preserve">224725</t>
  </si>
  <si>
    <t xml:space="preserve">SJ_VIGAS_ENTREPISO_4X3_R1|Nivel 2|N-2-A-4-N-2-A-2</t>
  </si>
  <si>
    <t xml:space="preserve">224727</t>
  </si>
  <si>
    <t xml:space="preserve">SJ_VIGAS_ENTREPISO_4X3_R1|Nivel 2|N-2-A-2-N-2-A-3</t>
  </si>
  <si>
    <t xml:space="preserve">224729</t>
  </si>
  <si>
    <t xml:space="preserve">SJ_VIGAS_ENTREPISO_4X3_R1|Nivel 2|N-3-A-1-N-3-A-4</t>
  </si>
  <si>
    <t xml:space="preserve">224731</t>
  </si>
  <si>
    <t xml:space="preserve">SJ_VIGAS_ENTREPISO_4X3_R1|Nivel 2|N-3-A-4-N-3-A-2</t>
  </si>
  <si>
    <t xml:space="preserve">224733</t>
  </si>
  <si>
    <t xml:space="preserve">SJ_VIGAS_ENTREPISO_4X3_R1|Nivel 2|N-3-A-2-N-3-A-3</t>
  </si>
  <si>
    <t xml:space="preserve">224735</t>
  </si>
  <si>
    <t xml:space="preserve">SJ_VIGAS_ENTREPISO_4X3_R1|Nivel 2|N-1-A-1-N-2-A-1</t>
  </si>
  <si>
    <t xml:space="preserve">224737</t>
  </si>
  <si>
    <t xml:space="preserve">SJ_VIGAS_ENTREPISO_4X3_R1|Nivel 2|N-2-A-1-N-3-A-1|VOLADO-1.50</t>
  </si>
  <si>
    <t xml:space="preserve">224739</t>
  </si>
  <si>
    <t xml:space="preserve">SJ_VIGAS_ENTREPISO_4X3_R1|Nivel 2|N-1-A-4-N-2-A-4</t>
  </si>
  <si>
    <t xml:space="preserve">224741</t>
  </si>
  <si>
    <t xml:space="preserve">SJ_VIGAS_ENTREPISO_4X3_R1|Nivel 2|N-2-A-4-N-3-A-4|VOLADO-1.50</t>
  </si>
  <si>
    <t xml:space="preserve">224743</t>
  </si>
  <si>
    <t xml:space="preserve">SJ_VIGAS_ENTREPISO_4X3_R1|Nivel 2|N-1-A-2-N-2-A-2</t>
  </si>
  <si>
    <t xml:space="preserve">224745</t>
  </si>
  <si>
    <t xml:space="preserve">SJ_VIGAS_ENTREPISO_4X3_R1|Nivel 2|N-2-A-2-N-3-A-2</t>
  </si>
  <si>
    <t xml:space="preserve">224747</t>
  </si>
  <si>
    <t xml:space="preserve">SJ_VIGAS_ENTREPISO_4X3_R1|Nivel 2|N-1-A-3-N-2-A-3</t>
  </si>
  <si>
    <t xml:space="preserve">224749</t>
  </si>
  <si>
    <t xml:space="preserve">SJ_VIGAS_ENTREPISO_4X3_R1|Nivel 2|N-2-A-3-N-3-A-3</t>
  </si>
  <si>
    <t xml:space="preserve">224751</t>
  </si>
  <si>
    <t xml:space="preserve">SJ_VIGAS_ENTREPISO_4X3_R1|Nivel 2|N-3-A-2-N-4-A-2</t>
  </si>
  <si>
    <t xml:space="preserve">224753</t>
  </si>
  <si>
    <t xml:space="preserve">SJ_VIGAS_ENTREPISO_4X3_R1|Nivel 2|N-3-A-3-N-4-A-3</t>
  </si>
  <si>
    <t xml:space="preserve">224755</t>
  </si>
  <si>
    <t xml:space="preserve">VCA_300x500_ESCALERA_COLLARIN_R1</t>
  </si>
  <si>
    <t xml:space="preserve">SJ_COLUMNAS_ZAPATAS_ESCALERA_R1|COLLARIN_N4|Nivel 2|VIGA_COLLARIN</t>
  </si>
  <si>
    <t xml:space="preserve">196904</t>
  </si>
  <si>
    <t xml:space="preserve">SJ_REDISENO_4X3_R1|N-1-A-2|COLUMNA|Nivel 2-Nivel 3</t>
  </si>
  <si>
    <t xml:space="preserve">196912</t>
  </si>
  <si>
    <t xml:space="preserve">SJ_REDISENO_4X3_R1|N-2-A-1|COLUMNA|Nivel 2-Nivel 3</t>
  </si>
  <si>
    <t xml:space="preserve">196918</t>
  </si>
  <si>
    <t xml:space="preserve">SJ_REDISENO_4X3_R1|N-2-A-2|COLUMNA|Nivel 2-Nivel 3</t>
  </si>
  <si>
    <t xml:space="preserve">196925</t>
  </si>
  <si>
    <t xml:space="preserve">SJ_REDISENO_4X3_R1|N-2-A-3|COLUMNA|Nivel 2-Nivel 3</t>
  </si>
  <si>
    <t xml:space="preserve">196933</t>
  </si>
  <si>
    <t xml:space="preserve">SJ_REDISENO_4X3_R1|N-3-A-2|COLUMNA|Nivel 2-Nivel 3</t>
  </si>
  <si>
    <t xml:space="preserve">200066</t>
  </si>
  <si>
    <t xml:space="preserve">SJ_COLUMNAS_ZAPATAS_ESCALERA_R1|ESQUINA_A2|COLUMNA|Nivel 2-Nivel 3</t>
  </si>
  <si>
    <t xml:space="preserve">200072</t>
  </si>
  <si>
    <t xml:space="preserve">SJ_COLUMNAS_ZAPATAS_ESCALERA_R1|ESQUINA_A3|COLUMNA|Nivel 2-Nivel 3</t>
  </si>
  <si>
    <t xml:space="preserve">212949</t>
  </si>
  <si>
    <t xml:space="preserve">SJ_REDISENO_4X3_R1|N-1-A-4|COLUMNA|Nivel 2-Nivel 3</t>
  </si>
  <si>
    <t xml:space="preserve">212954</t>
  </si>
  <si>
    <t xml:space="preserve">SJ_REDISENO_4X3_R1|N-2-A-4|COLUMNA|Nivel 2-Nivel 3</t>
  </si>
  <si>
    <t xml:space="preserve">212959</t>
  </si>
  <si>
    <t xml:space="preserve">SJ_REDISENO_4X3_R1|N-3-A-4|COLUMNA|Nivel 2-Nivel 3</t>
  </si>
  <si>
    <t xml:space="preserve">218117</t>
  </si>
  <si>
    <t xml:space="preserve">SJ_REDISENO_4X3_R1|N-1-A-1|COLUMNA_L|Nivel 2-Nivel 3</t>
  </si>
  <si>
    <t xml:space="preserve">218122</t>
  </si>
  <si>
    <t xml:space="preserve">SJ_REDISENO_4X3_R1|N-1-A-3|COLUMNA_L|Nivel 2-Nivel 3</t>
  </si>
  <si>
    <t xml:space="preserve">218127</t>
  </si>
  <si>
    <t xml:space="preserve">SJ_REDISENO_4X3_R1|N-3-A-1|COLUMNA_L|Nivel 2-Nivel 3</t>
  </si>
  <si>
    <t xml:space="preserve">218132</t>
  </si>
  <si>
    <t xml:space="preserve">SJ_REDISENO_4X3_R1|N-3-A-3|COLUMNA_L|Nivel 2-Nivel 3</t>
  </si>
  <si>
    <t xml:space="preserve">231185</t>
  </si>
  <si>
    <t xml:space="preserve">SJ_ESCALERA_CONCRETO_4X3_R1|N2-N3|LOSA_T1</t>
  </si>
  <si>
    <t xml:space="preserve">231195</t>
  </si>
  <si>
    <t xml:space="preserve">SJ_ESCALERA_CONCRETO_4X3_R1|N2-N3|LOSA_T2</t>
  </si>
  <si>
    <t xml:space="preserve">231205</t>
  </si>
  <si>
    <t xml:space="preserve">SJ_ESCALERA_CONCRETO_4X3_R1|N2-N3|DESCANSO_J2</t>
  </si>
  <si>
    <t xml:space="preserve">231214</t>
  </si>
  <si>
    <t xml:space="preserve">SJ_ESCALERA_CONCRETO_4X3_R1|N2-N3|EXTENSION_PLATAFORMA_J1</t>
  </si>
  <si>
    <t xml:space="preserve">231221</t>
  </si>
  <si>
    <t xml:space="preserve">SJ_ESCALERA_CONCRETO_4X3_R1|N2-N3|PELDANOS_T1</t>
  </si>
  <si>
    <t xml:space="preserve">231222</t>
  </si>
  <si>
    <t xml:space="preserve">SJ_ESCALERA_CONCRETO_4X3_R1|N2-N3|PELDANOS_T2</t>
  </si>
  <si>
    <t xml:space="preserve">231223</t>
  </si>
  <si>
    <t xml:space="preserve">SJ_ESCALERA_CONCRETO_4X3_R1|N2-N3|NUDO_PRISMATICO_J2</t>
  </si>
  <si>
    <t xml:space="preserve">231224</t>
  </si>
  <si>
    <t xml:space="preserve">SJ_ESCALERA_CONCRETO_4X3_R1|N2-N3|NUDO_PRISMATICO_J2B</t>
  </si>
  <si>
    <t xml:space="preserve">231225</t>
  </si>
  <si>
    <t xml:space="preserve">SJ_ESCALERA_CONCRETO_4X3_R1|N2-N3|NUDO_PRISMATICO_J1</t>
  </si>
  <si>
    <t xml:space="preserve">220841</t>
  </si>
  <si>
    <t xml:space="preserve">SJ_RECONSTRUIR_LOSA_INTEGRAL_4X3_R1|Nivel 3|LOSA_INTEGRAL</t>
  </si>
  <si>
    <t xml:space="preserve">224757</t>
  </si>
  <si>
    <t xml:space="preserve">SJ_VIGAS_ENTREPISO_4X3_R1|Nivel 3|N-1-A-1-N-1-A-4</t>
  </si>
  <si>
    <t xml:space="preserve">224759</t>
  </si>
  <si>
    <t xml:space="preserve">SJ_VIGAS_ENTREPISO_4X3_R1|Nivel 3|N-1-A-4-N-1-A-2</t>
  </si>
  <si>
    <t xml:space="preserve">224761</t>
  </si>
  <si>
    <t xml:space="preserve">SJ_VIGAS_ENTREPISO_4X3_R1|Nivel 3|N-1-A-2-N-1-A-3</t>
  </si>
  <si>
    <t xml:space="preserve">224763</t>
  </si>
  <si>
    <t xml:space="preserve">SJ_VIGAS_ENTREPISO_4X3_R1|Nivel 3|N-2-A-1-N-2-A-4</t>
  </si>
  <si>
    <t xml:space="preserve">224765</t>
  </si>
  <si>
    <t xml:space="preserve">SJ_VIGAS_ENTREPISO_4X3_R1|Nivel 3|N-2-A-4-N-2-A-2</t>
  </si>
  <si>
    <t xml:space="preserve">224767</t>
  </si>
  <si>
    <t xml:space="preserve">SJ_VIGAS_ENTREPISO_4X3_R1|Nivel 3|N-2-A-2-N-2-A-3</t>
  </si>
  <si>
    <t xml:space="preserve">224769</t>
  </si>
  <si>
    <t xml:space="preserve">SJ_VIGAS_ENTREPISO_4X3_R1|Nivel 3|N-3-A-1-N-3-A-4</t>
  </si>
  <si>
    <t xml:space="preserve">224771</t>
  </si>
  <si>
    <t xml:space="preserve">SJ_VIGAS_ENTREPISO_4X3_R1|Nivel 3|N-3-A-4-N-3-A-2</t>
  </si>
  <si>
    <t xml:space="preserve">224773</t>
  </si>
  <si>
    <t xml:space="preserve">SJ_VIGAS_ENTREPISO_4X3_R1|Nivel 3|N-3-A-2-N-3-A-3</t>
  </si>
  <si>
    <t xml:space="preserve">224775</t>
  </si>
  <si>
    <t xml:space="preserve">SJ_VIGAS_ENTREPISO_4X3_R1|Nivel 3|N-1-A-1-N-2-A-1</t>
  </si>
  <si>
    <t xml:space="preserve">224777</t>
  </si>
  <si>
    <t xml:space="preserve">SJ_VIGAS_ENTREPISO_4X3_R1|Nivel 3|N-2-A-1-N-3-A-1|VOLADO-1.50</t>
  </si>
  <si>
    <t xml:space="preserve">224779</t>
  </si>
  <si>
    <t xml:space="preserve">SJ_VIGAS_ENTREPISO_4X3_R1|Nivel 3|N-1-A-4-N-2-A-4</t>
  </si>
  <si>
    <t xml:space="preserve">224781</t>
  </si>
  <si>
    <t xml:space="preserve">SJ_VIGAS_ENTREPISO_4X3_R1|Nivel 3|N-2-A-4-N-3-A-4|VOLADO-1.50</t>
  </si>
  <si>
    <t xml:space="preserve">224783</t>
  </si>
  <si>
    <t xml:space="preserve">SJ_VIGAS_ENTREPISO_4X3_R1|Nivel 3|N-1-A-2-N-2-A-2</t>
  </si>
  <si>
    <t xml:space="preserve">224785</t>
  </si>
  <si>
    <t xml:space="preserve">SJ_VIGAS_ENTREPISO_4X3_R1|Nivel 3|N-2-A-2-N-3-A-2</t>
  </si>
  <si>
    <t xml:space="preserve">224787</t>
  </si>
  <si>
    <t xml:space="preserve">SJ_VIGAS_ENTREPISO_4X3_R1|Nivel 3|N-1-A-3-N-2-A-3</t>
  </si>
  <si>
    <t xml:space="preserve">224789</t>
  </si>
  <si>
    <t xml:space="preserve">SJ_VIGAS_ENTREPISO_4X3_R1|Nivel 3|N-2-A-3-N-3-A-3</t>
  </si>
  <si>
    <t xml:space="preserve">224791</t>
  </si>
  <si>
    <t xml:space="preserve">SJ_VIGAS_ENTREPISO_4X3_R1|Nivel 3|N-3-A-2-N-4-A-2</t>
  </si>
  <si>
    <t xml:space="preserve">224793</t>
  </si>
  <si>
    <t xml:space="preserve">SJ_VIGAS_ENTREPISO_4X3_R1|Nivel 3|N-3-A-3-N-4-A-3</t>
  </si>
  <si>
    <t xml:space="preserve">224795</t>
  </si>
  <si>
    <t xml:space="preserve">SJ_COLUMNAS_ZAPATAS_ESCALERA_R1|COLLARIN_N4|Nivel 3|VIGA_COLLARIN</t>
  </si>
  <si>
    <t xml:space="preserve">196905</t>
  </si>
  <si>
    <t xml:space="preserve">SJ_REDISENO_4X3_R1|N-1-A-2|COLUMNA|Nivel 3-Nivel 4</t>
  </si>
  <si>
    <t xml:space="preserve">196913</t>
  </si>
  <si>
    <t xml:space="preserve">SJ_REDISENO_4X3_R1|N-2-A-1|COLUMNA|Nivel 3-Nivel 4</t>
  </si>
  <si>
    <t xml:space="preserve">196920</t>
  </si>
  <si>
    <t xml:space="preserve">SJ_REDISENO_4X3_R1|N-2-A-2|COLUMNA|Nivel 3-Nivel 4</t>
  </si>
  <si>
    <t xml:space="preserve">196926</t>
  </si>
  <si>
    <t xml:space="preserve">SJ_REDISENO_4X3_R1|N-2-A-3|COLUMNA|Nivel 3-Nivel 4</t>
  </si>
  <si>
    <t xml:space="preserve">196934</t>
  </si>
  <si>
    <t xml:space="preserve">SJ_REDISENO_4X3_R1|N-3-A-2|COLUMNA|Nivel 3-Nivel 4</t>
  </si>
  <si>
    <t xml:space="preserve">200068</t>
  </si>
  <si>
    <t xml:space="preserve">SJ_COLUMNAS_ZAPATAS_ESCALERA_R1|ESQUINA_A2|COLUMNA|Nivel 3-Nivel 4</t>
  </si>
  <si>
    <t xml:space="preserve">200073</t>
  </si>
  <si>
    <t xml:space="preserve">SJ_COLUMNAS_ZAPATAS_ESCALERA_R1|ESQUINA_A3|COLUMNA|Nivel 3-Nivel 4</t>
  </si>
  <si>
    <t xml:space="preserve">212950</t>
  </si>
  <si>
    <t xml:space="preserve">SJ_REDISENO_4X3_R1|N-1-A-4|COLUMNA|Nivel 3-Nivel 4</t>
  </si>
  <si>
    <t xml:space="preserve">212955</t>
  </si>
  <si>
    <t xml:space="preserve">SJ_REDISENO_4X3_R1|N-2-A-4|COLUMNA|Nivel 3-Nivel 4</t>
  </si>
  <si>
    <t xml:space="preserve">212960</t>
  </si>
  <si>
    <t xml:space="preserve">SJ_REDISENO_4X3_R1|N-3-A-4|COLUMNA|Nivel 3-Nivel 4</t>
  </si>
  <si>
    <t xml:space="preserve">218118</t>
  </si>
  <si>
    <t xml:space="preserve">SJ_REDISENO_4X3_R1|N-1-A-1|COLUMNA_L|Nivel 3-Nivel 4</t>
  </si>
  <si>
    <t xml:space="preserve">218123</t>
  </si>
  <si>
    <t xml:space="preserve">SJ_REDISENO_4X3_R1|N-1-A-3|COLUMNA_L|Nivel 3-Nivel 4</t>
  </si>
  <si>
    <t xml:space="preserve">218128</t>
  </si>
  <si>
    <t xml:space="preserve">SJ_REDISENO_4X3_R1|N-3-A-1|COLUMNA_L|Nivel 3-Nivel 4</t>
  </si>
  <si>
    <t xml:space="preserve">218133</t>
  </si>
  <si>
    <t xml:space="preserve">SJ_REDISENO_4X3_R1|N-3-A-3|COLUMNA_L|Nivel 3-Nivel 4</t>
  </si>
  <si>
    <t xml:space="preserve">231228</t>
  </si>
  <si>
    <t xml:space="preserve">SJ_ESCALERA_CONCRETO_4X3_R1|N3-N4|LOSA_T1</t>
  </si>
  <si>
    <t xml:space="preserve">231238</t>
  </si>
  <si>
    <t xml:space="preserve">SJ_ESCALERA_CONCRETO_4X3_R1|N3-N4|LOSA_T2</t>
  </si>
  <si>
    <t xml:space="preserve">231248</t>
  </si>
  <si>
    <t xml:space="preserve">SJ_ESCALERA_CONCRETO_4X3_R1|N3-N4|DESCANSO_J2</t>
  </si>
  <si>
    <t xml:space="preserve">231257</t>
  </si>
  <si>
    <t xml:space="preserve">SJ_ESCALERA_CONCRETO_4X3_R1|N3-N4|EXTENSION_PLATAFORMA_J1</t>
  </si>
  <si>
    <t xml:space="preserve">231264</t>
  </si>
  <si>
    <t xml:space="preserve">SJ_ESCALERA_CONCRETO_4X3_R1|N3-N4|PELDANOS_T1</t>
  </si>
  <si>
    <t xml:space="preserve">231265</t>
  </si>
  <si>
    <t xml:space="preserve">SJ_ESCALERA_CONCRETO_4X3_R1|N3-N4|PELDANOS_T2</t>
  </si>
  <si>
    <t xml:space="preserve">231266</t>
  </si>
  <si>
    <t xml:space="preserve">SJ_ESCALERA_CONCRETO_4X3_R1|N3-N4|NUDO_PRISMATICO_J2</t>
  </si>
  <si>
    <t xml:space="preserve">231267</t>
  </si>
  <si>
    <t xml:space="preserve">SJ_ESCALERA_CONCRETO_4X3_R1|N3-N4|NUDO_PRISMATICO_J2B</t>
  </si>
  <si>
    <t xml:space="preserve">231268</t>
  </si>
  <si>
    <t xml:space="preserve">SJ_ESCALERA_CONCRETO_4X3_R1|N3-N4|NUDO_PRISMATICO_J1</t>
  </si>
  <si>
    <t xml:space="preserve">220852</t>
  </si>
  <si>
    <t xml:space="preserve">SJ_RECONSTRUIR_LOSA_INTEGRAL_4X3_R1|Nivel 4|LOSA_INTEGRAL</t>
  </si>
  <si>
    <t xml:space="preserve">224797</t>
  </si>
  <si>
    <t xml:space="preserve">SJ_VIGAS_ENTREPISO_4X3_R1|Nivel 4|N-1-A-1-N-1-A-4</t>
  </si>
  <si>
    <t xml:space="preserve">224799</t>
  </si>
  <si>
    <t xml:space="preserve">SJ_VIGAS_ENTREPISO_4X3_R1|Nivel 4|N-1-A-4-N-1-A-2</t>
  </si>
  <si>
    <t xml:space="preserve">224801</t>
  </si>
  <si>
    <t xml:space="preserve">SJ_VIGAS_ENTREPISO_4X3_R1|Nivel 4|N-1-A-2-N-1-A-3</t>
  </si>
  <si>
    <t xml:space="preserve">224803</t>
  </si>
  <si>
    <t xml:space="preserve">SJ_VIGAS_ENTREPISO_4X3_R1|Nivel 4|N-2-A-1-N-2-A-4</t>
  </si>
  <si>
    <t xml:space="preserve">224805</t>
  </si>
  <si>
    <t xml:space="preserve">SJ_VIGAS_ENTREPISO_4X3_R1|Nivel 4|N-2-A-4-N-2-A-2</t>
  </si>
  <si>
    <t xml:space="preserve">224807</t>
  </si>
  <si>
    <t xml:space="preserve">SJ_VIGAS_ENTREPISO_4X3_R1|Nivel 4|N-2-A-2-N-2-A-3</t>
  </si>
  <si>
    <t xml:space="preserve">224809</t>
  </si>
  <si>
    <t xml:space="preserve">SJ_VIGAS_ENTREPISO_4X3_R1|Nivel 4|N-3-A-1-N-3-A-4</t>
  </si>
  <si>
    <t xml:space="preserve">224811</t>
  </si>
  <si>
    <t xml:space="preserve">SJ_VIGAS_ENTREPISO_4X3_R1|Nivel 4|N-3-A-4-N-3-A-2</t>
  </si>
  <si>
    <t xml:space="preserve">224813</t>
  </si>
  <si>
    <t xml:space="preserve">SJ_VIGAS_ENTREPISO_4X3_R1|Nivel 4|N-3-A-2-N-3-A-3</t>
  </si>
  <si>
    <t xml:space="preserve">224815</t>
  </si>
  <si>
    <t xml:space="preserve">SJ_VIGAS_ENTREPISO_4X3_R1|Nivel 4|N-1-A-1-N-2-A-1</t>
  </si>
  <si>
    <t xml:space="preserve">224817</t>
  </si>
  <si>
    <t xml:space="preserve">SJ_VIGAS_ENTREPISO_4X3_R1|Nivel 4|N-2-A-1-N-3-A-1|VOLADO-1.50</t>
  </si>
  <si>
    <t xml:space="preserve">224819</t>
  </si>
  <si>
    <t xml:space="preserve">SJ_VIGAS_ENTREPISO_4X3_R1|Nivel 4|N-1-A-4-N-2-A-4</t>
  </si>
  <si>
    <t xml:space="preserve">224821</t>
  </si>
  <si>
    <t xml:space="preserve">SJ_VIGAS_ENTREPISO_4X3_R1|Nivel 4|N-2-A-4-N-3-A-4|VOLADO-1.50</t>
  </si>
  <si>
    <t xml:space="preserve">224823</t>
  </si>
  <si>
    <t xml:space="preserve">SJ_VIGAS_ENTREPISO_4X3_R1|Nivel 4|N-1-A-2-N-2-A-2</t>
  </si>
  <si>
    <t xml:space="preserve">224825</t>
  </si>
  <si>
    <t xml:space="preserve">SJ_VIGAS_ENTREPISO_4X3_R1|Nivel 4|N-2-A-2-N-3-A-2</t>
  </si>
  <si>
    <t xml:space="preserve">224827</t>
  </si>
  <si>
    <t xml:space="preserve">SJ_VIGAS_ENTREPISO_4X3_R1|Nivel 4|N-1-A-3-N-2-A-3</t>
  </si>
  <si>
    <t xml:space="preserve">224829</t>
  </si>
  <si>
    <t xml:space="preserve">SJ_VIGAS_ENTREPISO_4X3_R1|Nivel 4|N-2-A-3-N-3-A-3</t>
  </si>
  <si>
    <t xml:space="preserve">224831</t>
  </si>
  <si>
    <t xml:space="preserve">SJ_VIGAS_ENTREPISO_4X3_R1|Nivel 4|N-3-A-2-N-4-A-2</t>
  </si>
  <si>
    <t xml:space="preserve">224833</t>
  </si>
  <si>
    <t xml:space="preserve">SJ_VIGAS_ENTREPISO_4X3_R1|Nivel 4|N-3-A-3-N-4-A-3</t>
  </si>
  <si>
    <t xml:space="preserve">224835</t>
  </si>
  <si>
    <t xml:space="preserve">SJ_COLUMNAS_ZAPATAS_ESCALERA_R1|COLLARIN_N4|Nivel 4|VIGA_COLLARIN</t>
  </si>
  <si>
    <t xml:space="preserve">196906</t>
  </si>
  <si>
    <t xml:space="preserve">SJ_REDISENO_4X3_R1|N-1-A-2|COLUMNA|Nivel 4-Nivel 5</t>
  </si>
  <si>
    <t xml:space="preserve">196914</t>
  </si>
  <si>
    <t xml:space="preserve">SJ_REDISENO_4X3_R1|N-2-A-1|COLUMNA|Nivel 4-Nivel 5</t>
  </si>
  <si>
    <t xml:space="preserve">196922</t>
  </si>
  <si>
    <t xml:space="preserve">SJ_REDISENO_4X3_R1|N-2-A-2|COLUMNA|Nivel 4-Nivel 5</t>
  </si>
  <si>
    <t xml:space="preserve">196927</t>
  </si>
  <si>
    <t xml:space="preserve">SJ_REDISENO_4X3_R1|N-2-A-3|COLUMNA|Nivel 4-Nivel 5</t>
  </si>
  <si>
    <t xml:space="preserve">196935</t>
  </si>
  <si>
    <t xml:space="preserve">SJ_REDISENO_4X3_R1|N-3-A-2|COLUMNA|Nivel 4-Nivel 5</t>
  </si>
  <si>
    <t xml:space="preserve">198927</t>
  </si>
  <si>
    <t xml:space="preserve">SJ_COLUMNAS_ZAPATAS_ESCALERA_R1|ESQUINA_A2|COLUMNA|Nivel 4-Nivel 5</t>
  </si>
  <si>
    <t xml:space="preserve">198931</t>
  </si>
  <si>
    <t xml:space="preserve">SJ_COLUMNAS_ZAPATAS_ESCALERA_R1|ESQUINA_A3|COLUMNA|Nivel 4-Nivel 5</t>
  </si>
  <si>
    <t xml:space="preserve">212951</t>
  </si>
  <si>
    <t xml:space="preserve">SJ_REDISENO_4X3_R1|N-1-A-4|COLUMNA|Nivel 4-Nivel 5</t>
  </si>
  <si>
    <t xml:space="preserve">212956</t>
  </si>
  <si>
    <t xml:space="preserve">SJ_REDISENO_4X3_R1|N-2-A-4|COLUMNA|Nivel 4-Nivel 5</t>
  </si>
  <si>
    <t xml:space="preserve">212961</t>
  </si>
  <si>
    <t xml:space="preserve">SJ_REDISENO_4X3_R1|N-3-A-4|COLUMNA|Nivel 4-Nivel 5</t>
  </si>
  <si>
    <t xml:space="preserve">218119</t>
  </si>
  <si>
    <t xml:space="preserve">SJ_REDISENO_4X3_R1|N-1-A-1|COLUMNA_L|Nivel 4-Nivel 5</t>
  </si>
  <si>
    <t xml:space="preserve">218124</t>
  </si>
  <si>
    <t xml:space="preserve">SJ_REDISENO_4X3_R1|N-1-A-3|COLUMNA_L|Nivel 4-Nivel 5</t>
  </si>
  <si>
    <t xml:space="preserve">218129</t>
  </si>
  <si>
    <t xml:space="preserve">SJ_REDISENO_4X3_R1|N-3-A-1|COLUMNA_L|Nivel 4-Nivel 5</t>
  </si>
  <si>
    <t xml:space="preserve">218134</t>
  </si>
  <si>
    <t xml:space="preserve">SJ_REDISENO_4X3_R1|N-3-A-3|COLUMNA_L|Nivel 4-Nivel 5</t>
  </si>
  <si>
    <t xml:space="preserve">231271</t>
  </si>
  <si>
    <t xml:space="preserve">SJ_ESCALERA_CONCRETO_4X3_R1|N4-N5|LOSA_T1</t>
  </si>
  <si>
    <t xml:space="preserve">231281</t>
  </si>
  <si>
    <t xml:space="preserve">SJ_ESCALERA_CONCRETO_4X3_R1|N4-N5|LOSA_T2</t>
  </si>
  <si>
    <t xml:space="preserve">231291</t>
  </si>
  <si>
    <t xml:space="preserve">SJ_ESCALERA_CONCRETO_4X3_R1|N4-N5|DESCANSO_J2</t>
  </si>
  <si>
    <t xml:space="preserve">231300</t>
  </si>
  <si>
    <t xml:space="preserve">SJ_ESCALERA_CONCRETO_4X3_R1|N4-N5|EXTENSION_PLATAFORMA_J1</t>
  </si>
  <si>
    <t xml:space="preserve">231307</t>
  </si>
  <si>
    <t xml:space="preserve">SJ_ESCALERA_CONCRETO_4X3_R1|N4-N5|PELDANOS_T1</t>
  </si>
  <si>
    <t xml:space="preserve">231308</t>
  </si>
  <si>
    <t xml:space="preserve">SJ_ESCALERA_CONCRETO_4X3_R1|N4-N5|PELDANOS_T2</t>
  </si>
  <si>
    <t xml:space="preserve">231309</t>
  </si>
  <si>
    <t xml:space="preserve">SJ_ESCALERA_CONCRETO_4X3_R1|N4-N5|NUDO_PRISMATICO_J2</t>
  </si>
  <si>
    <t xml:space="preserve">231310</t>
  </si>
  <si>
    <t xml:space="preserve">SJ_ESCALERA_CONCRETO_4X3_R1|N4-N5|NUDO_PRISMATICO_J2B</t>
  </si>
  <si>
    <t xml:space="preserve">231311</t>
  </si>
  <si>
    <t xml:space="preserve">SJ_ESCALERA_CONCRETO_4X3_R1|N4-N5|NUDO_PRISMATICO_J1</t>
  </si>
  <si>
    <t xml:space="preserve">220863</t>
  </si>
  <si>
    <t xml:space="preserve">SJ_RECONSTRUIR_LOSA_INTEGRAL_4X3_R1|Nivel 5|LOSA_INTEGRAL</t>
  </si>
  <si>
    <t xml:space="preserve">224837</t>
  </si>
  <si>
    <t xml:space="preserve">SJ_VIGAS_ENTREPISO_4X3_R1|Nivel 5|N-1-A-1-N-1-A-4</t>
  </si>
  <si>
    <t xml:space="preserve">224839</t>
  </si>
  <si>
    <t xml:space="preserve">SJ_VIGAS_ENTREPISO_4X3_R1|Nivel 5|N-1-A-4-N-1-A-2</t>
  </si>
  <si>
    <t xml:space="preserve">224841</t>
  </si>
  <si>
    <t xml:space="preserve">SJ_VIGAS_ENTREPISO_4X3_R1|Nivel 5|N-1-A-2-N-1-A-3</t>
  </si>
  <si>
    <t xml:space="preserve">224843</t>
  </si>
  <si>
    <t xml:space="preserve">SJ_VIGAS_ENTREPISO_4X3_R1|Nivel 5|N-2-A-1-N-2-A-4</t>
  </si>
  <si>
    <t xml:space="preserve">224845</t>
  </si>
  <si>
    <t xml:space="preserve">SJ_VIGAS_ENTREPISO_4X3_R1|Nivel 5|N-2-A-4-N-2-A-2</t>
  </si>
  <si>
    <t xml:space="preserve">224847</t>
  </si>
  <si>
    <t xml:space="preserve">SJ_VIGAS_ENTREPISO_4X3_R1|Nivel 5|N-2-A-2-N-2-A-3</t>
  </si>
  <si>
    <t xml:space="preserve">224849</t>
  </si>
  <si>
    <t xml:space="preserve">SJ_VIGAS_ENTREPISO_4X3_R1|Nivel 5|N-3-A-1-N-3-A-4</t>
  </si>
  <si>
    <t xml:space="preserve">224851</t>
  </si>
  <si>
    <t xml:space="preserve">SJ_VIGAS_ENTREPISO_4X3_R1|Nivel 5|N-3-A-4-N-3-A-2</t>
  </si>
  <si>
    <t xml:space="preserve">224853</t>
  </si>
  <si>
    <t xml:space="preserve">SJ_VIGAS_ENTREPISO_4X3_R1|Nivel 5|N-3-A-2-N-3-A-3</t>
  </si>
  <si>
    <t xml:space="preserve">224855</t>
  </si>
  <si>
    <t xml:space="preserve">SJ_VIGAS_ENTREPISO_4X3_R1|Nivel 5|N-1-A-1-N-2-A-1</t>
  </si>
  <si>
    <t xml:space="preserve">224857</t>
  </si>
  <si>
    <t xml:space="preserve">SJ_VIGAS_ENTREPISO_4X3_R1|Nivel 5|N-2-A-1-N-3-A-1|VOLADO-1.50</t>
  </si>
  <si>
    <t xml:space="preserve">224859</t>
  </si>
  <si>
    <t xml:space="preserve">SJ_VIGAS_ENTREPISO_4X3_R1|Nivel 5|N-1-A-4-N-2-A-4</t>
  </si>
  <si>
    <t xml:space="preserve">224861</t>
  </si>
  <si>
    <t xml:space="preserve">SJ_VIGAS_ENTREPISO_4X3_R1|Nivel 5|N-2-A-4-N-3-A-4|VOLADO-1.50</t>
  </si>
  <si>
    <t xml:space="preserve">224863</t>
  </si>
  <si>
    <t xml:space="preserve">SJ_VIGAS_ENTREPISO_4X3_R1|Nivel 5|N-1-A-2-N-2-A-2</t>
  </si>
  <si>
    <t xml:space="preserve">224865</t>
  </si>
  <si>
    <t xml:space="preserve">SJ_VIGAS_ENTREPISO_4X3_R1|Nivel 5|N-2-A-2-N-3-A-2</t>
  </si>
  <si>
    <t xml:space="preserve">224867</t>
  </si>
  <si>
    <t xml:space="preserve">SJ_VIGAS_ENTREPISO_4X3_R1|Nivel 5|N-1-A-3-N-2-A-3</t>
  </si>
  <si>
    <t xml:space="preserve">224869</t>
  </si>
  <si>
    <t xml:space="preserve">SJ_VIGAS_ENTREPISO_4X3_R1|Nivel 5|N-2-A-3-N-3-A-3</t>
  </si>
  <si>
    <t xml:space="preserve">224871</t>
  </si>
  <si>
    <t xml:space="preserve">SJ_VIGAS_ENTREPISO_4X3_R1|Nivel 5|N-3-A-2-N-4-A-2</t>
  </si>
  <si>
    <t xml:space="preserve">224873</t>
  </si>
  <si>
    <t xml:space="preserve">SJ_VIGAS_ENTREPISO_4X3_R1|Nivel 5|N-3-A-3-N-4-A-3</t>
  </si>
  <si>
    <t xml:space="preserve">224875</t>
  </si>
  <si>
    <t xml:space="preserve">SJ_COLUMNAS_ZAPATAS_ESCALERA_R1|COLLARIN_N4|Nivel 5|VIGA_COLLARIN</t>
  </si>
  <si>
    <t xml:space="preserve">ACERO DEL MODELO por nivel, elemento y diámetro (longitud real de cada barra: incluye ganchos y dobleces)</t>
  </si>
  <si>
    <t xml:space="preserve">N° barras</t>
  </si>
  <si>
    <t xml:space="preserve">Longitud total (m)</t>
  </si>
  <si>
    <t xml:space="preserve">ÁREAS PARA SOLADO (huella en planta, m²)</t>
  </si>
  <si>
    <t xml:space="preserve">Bajo zapatas</t>
  </si>
  <si>
    <t xml:space="preserve">Bajo vigas de conexión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</si>
</sst>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dd/mm/yyyy"/>
    <numFmt numFmtId="166" formatCode="0.0%;\(0.0%\);\-"/>
    <numFmt numFmtId="167" formatCode="#,##0;\(#,##0\);\-"/>
    <numFmt numFmtId="168" formatCode="0.000"/>
    <numFmt numFmtId="169" formatCode="#,##0.00;\(#,##0.00\);\-"/>
    <numFmt numFmtId="170" formatCode="0.0000"/>
    <numFmt numFmtId="171" formatCode="&quot;S/ &quot;#,##0.00;&quot;(S/ &quot;#,##0.00\);\-"/>
    <numFmt numFmtId="172" formatCode="#,##0.0;\(#,##0.0\);\-"/>
    <numFmt numFmtId="173" formatCode="dd/mm"/>
    <numFmt numFmtId="174" formatCode="0%;;&quot;&quot;"/>
    <numFmt numFmtId="175" formatCode="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2F5597"/>
        <bgColor rgb="FF1F3864"/>
      </patternFill>
    </fill>
    <fill>
      <patternFill patternType="solid">
        <fgColor rgb="FFB4C6E7"/>
        <bgColor rgb="FF9BC2E6"/>
      </patternFill>
    </fill>
    <fill>
      <patternFill patternType="solid">
        <fgColor rgb="FFD9E1F2"/>
        <bgColor rgb="FFD9D9D9"/>
      </patternFill>
    </fill>
    <fill>
      <patternFill patternType="solid">
        <fgColor rgb="FFF2F2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>
          <bgColor rgb="FFE2EFDA"/>
        </patternFill>
      </fill>
    </dxf>
    <dxf>
      <fill>
        <patternFill>
          <bgColor rgb="FFFFC7CE"/>
        </patternFill>
      </fill>
    </dxf>
    <dxf>
      <fill>
        <patternFill>
          <bgColor rgb="FF9BC2E6"/>
        </patternFill>
      </fill>
    </dxf>
    <dxf>
      <fill>
        <patternFill>
          <bgColor rgb="FFD9E1F2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5700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2F2F2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2F2F2"/>
      <rgbColor rgb="FFE2EFDA"/>
      <rgbColor rgb="FF660066"/>
      <rgbColor rgb="FFFF8080"/>
      <rgbColor rgb="FF0066CC"/>
      <rgbColor rgb="FFB4C6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6EFCE"/>
      <rgbColor rgb="FFFFEB9C"/>
      <rgbColor rgb="FF9BC2E6"/>
      <rgbColor rgb="FFFF99CC"/>
      <rgbColor rgb="FFD9D9D9"/>
      <rgbColor rgb="FFFFC7CE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6100"/>
      <rgbColor rgb="FF333300"/>
      <rgbColor rgb="FF9C57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Curva S: programado vs ejecutado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DASHBOARD!C29</c:f>
              <c:strCache>
                <c:ptCount val="1"/>
                <c:pt idx="0">
                  <c:v>% programado</c:v>
                </c:pt>
              </c:strCache>
            </c:strRef>
          </c:tx>
          <c:spPr>
            <a:solidFill>
              <a:srgbClr val="1f3864"/>
            </a:solidFill>
            <a:ln w="28440">
              <a:solidFill>
                <a:srgbClr val="1f386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DASHBOARD!$A$30:$A$55</c:f>
              <c:strCache>
                <c:ptCount val="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</c:strCache>
            </c:strRef>
          </c:cat>
          <c:val>
            <c:numRef>
              <c:f>DASHBOARD!$C$30:$C$55</c:f>
              <c:numCache>
                <c:formatCode>0.0%;\(0.0%\);\-</c:formatCode>
                <c:ptCount val="26"/>
                <c:pt idx="0">
                  <c:v>0.0590895413182299</c:v>
                </c:pt>
                <c:pt idx="1">
                  <c:v>0.167560279142469</c:v>
                </c:pt>
                <c:pt idx="2">
                  <c:v>0.238581530828275</c:v>
                </c:pt>
                <c:pt idx="3">
                  <c:v>0.322937447116942</c:v>
                </c:pt>
                <c:pt idx="4">
                  <c:v>0.430952971370792</c:v>
                </c:pt>
                <c:pt idx="5">
                  <c:v>0.50605034262351</c:v>
                </c:pt>
                <c:pt idx="6">
                  <c:v>0.585519270429415</c:v>
                </c:pt>
                <c:pt idx="7">
                  <c:v>0.680938652540136</c:v>
                </c:pt>
                <c:pt idx="8">
                  <c:v>0.746321215445428</c:v>
                </c:pt>
                <c:pt idx="9">
                  <c:v>0.850498908572976</c:v>
                </c:pt>
                <c:pt idx="10">
                  <c:v>0.917367733500632</c:v>
                </c:pt>
                <c:pt idx="11">
                  <c:v>0.997993859102405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DASHBOARD!D29</c:f>
              <c:strCache>
                <c:ptCount val="1"/>
                <c:pt idx="0">
                  <c:v>% ejecutado</c:v>
                </c:pt>
              </c:strCache>
            </c:strRef>
          </c:tx>
          <c:spPr>
            <a:solidFill>
              <a:srgbClr val="c00000"/>
            </a:solidFill>
            <a:ln w="2844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DASHBOARD!$A$30:$A$55</c:f>
              <c:strCache>
                <c:ptCount val="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</c:strCache>
            </c:strRef>
          </c:cat>
          <c:val>
            <c:numRef>
              <c:f>DASHBOARD!$D$30:$D$55</c:f>
              <c:numCache>
                <c:formatCode>0.0%;\(0.0%\);\-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8350285"/>
        <c:axId val="28285233"/>
      </c:lineChart>
      <c:catAx>
        <c:axId val="3835028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Semana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285233"/>
        <c:crosses val="autoZero"/>
        <c:auto val="1"/>
        <c:lblAlgn val="ctr"/>
        <c:lblOffset val="100"/>
        <c:noMultiLvlLbl val="0"/>
      </c:catAx>
      <c:valAx>
        <c:axId val="28285233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acumulado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35028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% de avance por nivel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DASHBOARD!C13</c:f>
              <c:strCache>
                <c:ptCount val="1"/>
                <c:pt idx="0">
                  <c:v>% programado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DASHBOARD!$A$14:$A$19</c:f>
              <c:strCache>
                <c:ptCount val="6"/>
                <c:pt idx="0">
                  <c:v>CIMENTACIÓN</c:v>
                </c:pt>
                <c:pt idx="1">
                  <c:v>NIVEL 1</c:v>
                </c:pt>
                <c:pt idx="2">
                  <c:v>NIVEL 2</c:v>
                </c:pt>
                <c:pt idx="3">
                  <c:v>NIVEL 3</c:v>
                </c:pt>
                <c:pt idx="4">
                  <c:v>NIVEL 4</c:v>
                </c:pt>
                <c:pt idx="5">
                  <c:v>NIVEL 5</c:v>
                </c:pt>
              </c:strCache>
            </c:strRef>
          </c:cat>
          <c:val>
            <c:numRef>
              <c:f>DASHBOARD!$C$14:$C$19</c:f>
              <c:numCache>
                <c:formatCode>0.0%;\(0.0%\);\-</c:formatCode>
                <c:ptCount val="6"/>
                <c:pt idx="0">
                  <c:v>0.058461551946068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DASHBOARD!D13</c:f>
              <c:strCache>
                <c:ptCount val="1"/>
                <c:pt idx="0">
                  <c:v>% ejecutado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DASHBOARD!$A$14:$A$19</c:f>
              <c:strCache>
                <c:ptCount val="6"/>
                <c:pt idx="0">
                  <c:v>CIMENTACIÓN</c:v>
                </c:pt>
                <c:pt idx="1">
                  <c:v>NIVEL 1</c:v>
                </c:pt>
                <c:pt idx="2">
                  <c:v>NIVEL 2</c:v>
                </c:pt>
                <c:pt idx="3">
                  <c:v>NIVEL 3</c:v>
                </c:pt>
                <c:pt idx="4">
                  <c:v>NIVEL 4</c:v>
                </c:pt>
                <c:pt idx="5">
                  <c:v>NIVEL 5</c:v>
                </c:pt>
              </c:strCache>
            </c:strRef>
          </c:cat>
          <c:val>
            <c:numRef>
              <c:f>DASHBOARD!$D$14:$D$19</c:f>
              <c:numCache>
                <c:formatCode>0.0%;\(0.0%\);\-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gapWidth val="150"/>
        <c:overlap val="0"/>
        <c:axId val="78134464"/>
        <c:axId val="71264051"/>
      </c:barChart>
      <c:catAx>
        <c:axId val="78134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264051"/>
        <c:crosses val="autoZero"/>
        <c:auto val="1"/>
        <c:lblAlgn val="ctr"/>
        <c:lblOffset val="100"/>
        <c:noMultiLvlLbl val="0"/>
      </c:catAx>
      <c:valAx>
        <c:axId val="71264051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13446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Materiales: % comprado y % consumido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DASHBOARD!G58</c:f>
              <c:strCache>
                <c:ptCount val="1"/>
                <c:pt idx="0">
                  <c:v>% comprado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DASHBOARD!$A$59:$A$78</c:f>
              <c:strCache>
                <c:ptCount val="20"/>
                <c:pt idx="0">
                  <c:v>Cemento Portland IP 42.5 kg</c:v>
                </c:pt>
                <c:pt idx="1">
                  <c:v>Arena gruesa</c:v>
                </c:pt>
                <c:pt idx="2">
                  <c:v>Piedra chancada 1/2"</c:v>
                </c:pt>
                <c:pt idx="3">
                  <c:v>Agua</c:v>
                </c:pt>
                <c:pt idx="4">
                  <c:v>Casetón EPS 1.20x0.30x0.15</c:v>
                </c:pt>
                <c:pt idx="5">
                  <c:v>Varilla Ø1/4" x 9 m</c:v>
                </c:pt>
                <c:pt idx="6">
                  <c:v>Varilla Ø3/8" x 9 m</c:v>
                </c:pt>
                <c:pt idx="7">
                  <c:v>Varilla Ø1/2" x 9 m</c:v>
                </c:pt>
                <c:pt idx="8">
                  <c:v>Varilla Ø5/8" x 9 m</c:v>
                </c:pt>
                <c:pt idx="9">
                  <c:v>Varilla Ø3/4" x 9 m</c:v>
                </c:pt>
                <c:pt idx="10">
                  <c:v>Alambre negro N°16</c:v>
                </c:pt>
                <c:pt idx="11">
                  <c:v>Disco de corte 7"</c:v>
                </c:pt>
                <c:pt idx="12">
                  <c:v>Dados de concreto</c:v>
                </c:pt>
                <c:pt idx="13">
                  <c:v>Madera tornillo</c:v>
                </c:pt>
                <c:pt idx="14">
                  <c:v>Triplay 18 mm 1.22x2.44</c:v>
                </c:pt>
                <c:pt idx="15">
                  <c:v>Puntal eucalipto 3"-4" x 3 m</c:v>
                </c:pt>
                <c:pt idx="16">
                  <c:v>Clavos 3"</c:v>
                </c:pt>
                <c:pt idx="17">
                  <c:v>Alambre negro N°8</c:v>
                </c:pt>
                <c:pt idx="18">
                  <c:v>Desmoldante</c:v>
                </c:pt>
                <c:pt idx="19">
                  <c:v>Curador químico (membrana)</c:v>
                </c:pt>
              </c:strCache>
            </c:strRef>
          </c:cat>
          <c:val>
            <c:numRef>
              <c:f>DASHBOARD!$G$59:$G$78</c:f>
              <c:numCache>
                <c:formatCode>0.0%;\(0.0%\);\-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ser>
          <c:idx val="1"/>
          <c:order val="1"/>
          <c:tx>
            <c:strRef>
              <c:f>DASHBOARD!H58</c:f>
              <c:strCache>
                <c:ptCount val="1"/>
                <c:pt idx="0">
                  <c:v>% consumido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DASHBOARD!$A$59:$A$78</c:f>
              <c:strCache>
                <c:ptCount val="20"/>
                <c:pt idx="0">
                  <c:v>Cemento Portland IP 42.5 kg</c:v>
                </c:pt>
                <c:pt idx="1">
                  <c:v>Arena gruesa</c:v>
                </c:pt>
                <c:pt idx="2">
                  <c:v>Piedra chancada 1/2"</c:v>
                </c:pt>
                <c:pt idx="3">
                  <c:v>Agua</c:v>
                </c:pt>
                <c:pt idx="4">
                  <c:v>Casetón EPS 1.20x0.30x0.15</c:v>
                </c:pt>
                <c:pt idx="5">
                  <c:v>Varilla Ø1/4" x 9 m</c:v>
                </c:pt>
                <c:pt idx="6">
                  <c:v>Varilla Ø3/8" x 9 m</c:v>
                </c:pt>
                <c:pt idx="7">
                  <c:v>Varilla Ø1/2" x 9 m</c:v>
                </c:pt>
                <c:pt idx="8">
                  <c:v>Varilla Ø5/8" x 9 m</c:v>
                </c:pt>
                <c:pt idx="9">
                  <c:v>Varilla Ø3/4" x 9 m</c:v>
                </c:pt>
                <c:pt idx="10">
                  <c:v>Alambre negro N°16</c:v>
                </c:pt>
                <c:pt idx="11">
                  <c:v>Disco de corte 7"</c:v>
                </c:pt>
                <c:pt idx="12">
                  <c:v>Dados de concreto</c:v>
                </c:pt>
                <c:pt idx="13">
                  <c:v>Madera tornillo</c:v>
                </c:pt>
                <c:pt idx="14">
                  <c:v>Triplay 18 mm 1.22x2.44</c:v>
                </c:pt>
                <c:pt idx="15">
                  <c:v>Puntal eucalipto 3"-4" x 3 m</c:v>
                </c:pt>
                <c:pt idx="16">
                  <c:v>Clavos 3"</c:v>
                </c:pt>
                <c:pt idx="17">
                  <c:v>Alambre negro N°8</c:v>
                </c:pt>
                <c:pt idx="18">
                  <c:v>Desmoldante</c:v>
                </c:pt>
                <c:pt idx="19">
                  <c:v>Curador químico (membrana)</c:v>
                </c:pt>
              </c:strCache>
            </c:strRef>
          </c:cat>
          <c:val>
            <c:numRef>
              <c:f>DASHBOARD!$H$59:$H$78</c:f>
              <c:numCache>
                <c:formatCode>0.0%;\(0.0%\);\-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gapWidth val="150"/>
        <c:overlap val="0"/>
        <c:axId val="39134008"/>
        <c:axId val="68379756"/>
      </c:barChart>
      <c:catAx>
        <c:axId val="39134008"/>
        <c:scaling>
          <c:orientation val="minMax"/>
        </c:scaling>
        <c:delete val="0"/>
        <c:axPos val="b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379756"/>
        <c:crosses val="autoZero"/>
        <c:auto val="1"/>
        <c:lblAlgn val="ctr"/>
        <c:lblOffset val="100"/>
        <c:noMultiLvlLbl val="0"/>
      </c:catAx>
      <c:valAx>
        <c:axId val="683797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;\(0.0%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13400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160920</xdr:rowOff>
    </xdr:from>
    <xdr:to>
      <xdr:col>14</xdr:col>
      <xdr:colOff>102960</xdr:colOff>
      <xdr:row>17</xdr:row>
      <xdr:rowOff>172440</xdr:rowOff>
    </xdr:to>
    <xdr:graphicFrame>
      <xdr:nvGraphicFramePr>
        <xdr:cNvPr id="0" name="Chart 1"/>
        <xdr:cNvGraphicFramePr/>
      </xdr:nvGraphicFramePr>
      <xdr:xfrm>
        <a:off x="9690120" y="57168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20</xdr:row>
      <xdr:rowOff>160920</xdr:rowOff>
    </xdr:from>
    <xdr:to>
      <xdr:col>14</xdr:col>
      <xdr:colOff>102960</xdr:colOff>
      <xdr:row>33</xdr:row>
      <xdr:rowOff>2880</xdr:rowOff>
    </xdr:to>
    <xdr:graphicFrame>
      <xdr:nvGraphicFramePr>
        <xdr:cNvPr id="1" name="Chart 2"/>
        <xdr:cNvGraphicFramePr/>
      </xdr:nvGraphicFramePr>
      <xdr:xfrm>
        <a:off x="9690120" y="4191120"/>
        <a:ext cx="61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0</xdr:colOff>
      <xdr:row>56</xdr:row>
      <xdr:rowOff>160560</xdr:rowOff>
    </xdr:from>
    <xdr:to>
      <xdr:col>18</xdr:col>
      <xdr:colOff>48960</xdr:colOff>
      <xdr:row>76</xdr:row>
      <xdr:rowOff>43560</xdr:rowOff>
    </xdr:to>
    <xdr:graphicFrame>
      <xdr:nvGraphicFramePr>
        <xdr:cNvPr id="2" name="Chart 3"/>
        <xdr:cNvGraphicFramePr/>
      </xdr:nvGraphicFramePr>
      <xdr:xfrm>
        <a:off x="12671280" y="11430000"/>
        <a:ext cx="611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44"/>
    <col collapsed="false" customWidth="true" hidden="false" outlineLevel="0" max="6" min="6" style="0" width="18"/>
    <col collapsed="false" customWidth="true" hidden="false" outlineLevel="0" max="7" min="7" style="0" width="44"/>
    <col collapsed="false" customWidth="true" hidden="false" outlineLevel="0" max="8" min="8" style="0" width="4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30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</row>
    <row r="6" customFormat="false" ht="15" hidden="false" customHeight="false" outlineLevel="0" collapsed="false">
      <c r="A6" s="5" t="s">
        <v>7</v>
      </c>
      <c r="B6" s="6" t="n">
        <v>46300</v>
      </c>
      <c r="C6" s="5" t="s">
        <v>8</v>
      </c>
      <c r="D6" s="7" t="s">
        <v>9</v>
      </c>
    </row>
    <row r="7" customFormat="false" ht="15" hidden="false" customHeight="false" outlineLevel="0" collapsed="false">
      <c r="A7" s="5" t="s">
        <v>10</v>
      </c>
      <c r="B7" s="6" t="n">
        <v>46300</v>
      </c>
      <c r="C7" s="5" t="s">
        <v>8</v>
      </c>
      <c r="D7" s="7" t="s">
        <v>11</v>
      </c>
    </row>
    <row r="8" customFormat="false" ht="15" hidden="false" customHeight="false" outlineLevel="0" collapsed="false">
      <c r="A8" s="5" t="s">
        <v>12</v>
      </c>
      <c r="B8" s="8" t="n">
        <v>0.05</v>
      </c>
      <c r="C8" s="5" t="s">
        <v>13</v>
      </c>
      <c r="D8" s="7" t="s">
        <v>14</v>
      </c>
    </row>
    <row r="9" customFormat="false" ht="15" hidden="false" customHeight="false" outlineLevel="0" collapsed="false">
      <c r="A9" s="5" t="s">
        <v>15</v>
      </c>
      <c r="B9" s="8" t="n">
        <v>0.03</v>
      </c>
      <c r="C9" s="5" t="s">
        <v>13</v>
      </c>
      <c r="D9" s="7" t="s">
        <v>16</v>
      </c>
    </row>
    <row r="10" customFormat="false" ht="15" hidden="false" customHeight="false" outlineLevel="0" collapsed="false">
      <c r="A10" s="5" t="s">
        <v>17</v>
      </c>
      <c r="B10" s="9" t="n">
        <v>4</v>
      </c>
      <c r="C10" s="5" t="s">
        <v>18</v>
      </c>
      <c r="D10" s="7" t="s">
        <v>19</v>
      </c>
    </row>
    <row r="11" customFormat="false" ht="15" hidden="false" customHeight="false" outlineLevel="0" collapsed="false">
      <c r="A11" s="5" t="s">
        <v>20</v>
      </c>
      <c r="B11" s="9" t="n">
        <v>5</v>
      </c>
      <c r="C11" s="5" t="s">
        <v>18</v>
      </c>
      <c r="D11" s="7" t="s">
        <v>21</v>
      </c>
    </row>
    <row r="12" customFormat="false" ht="15" hidden="false" customHeight="false" outlineLevel="0" collapsed="false">
      <c r="A12" s="5" t="s">
        <v>22</v>
      </c>
      <c r="B12" s="9" t="n">
        <v>8</v>
      </c>
      <c r="C12" s="5" t="s">
        <v>18</v>
      </c>
      <c r="D12" s="7" t="s">
        <v>23</v>
      </c>
    </row>
    <row r="13" customFormat="false" ht="15" hidden="false" customHeight="false" outlineLevel="0" collapsed="false">
      <c r="A13" s="5" t="s">
        <v>24</v>
      </c>
      <c r="B13" s="10" t="n">
        <v>0.03</v>
      </c>
      <c r="C13" s="5" t="s">
        <v>25</v>
      </c>
      <c r="D13" s="7" t="s">
        <v>26</v>
      </c>
    </row>
    <row r="14" customFormat="false" ht="15" hidden="false" customHeight="false" outlineLevel="0" collapsed="false">
      <c r="A14" s="5" t="s">
        <v>27</v>
      </c>
      <c r="B14" s="9" t="n">
        <v>9</v>
      </c>
      <c r="C14" s="5" t="s">
        <v>28</v>
      </c>
      <c r="D14" s="7" t="s">
        <v>29</v>
      </c>
    </row>
    <row r="15" customFormat="false" ht="15" hidden="false" customHeight="false" outlineLevel="0" collapsed="false">
      <c r="A15" s="5" t="s">
        <v>30</v>
      </c>
      <c r="B15" s="9" t="n">
        <v>150</v>
      </c>
      <c r="C15" s="5" t="s">
        <v>31</v>
      </c>
      <c r="D15" s="7" t="s">
        <v>32</v>
      </c>
    </row>
    <row r="16" customFormat="false" ht="15" hidden="false" customHeight="false" outlineLevel="0" collapsed="false">
      <c r="A16" s="5" t="s">
        <v>33</v>
      </c>
      <c r="B16" s="11" t="n">
        <v>0.2</v>
      </c>
      <c r="C16" s="5" t="s">
        <v>34</v>
      </c>
      <c r="D16" s="7" t="s">
        <v>35</v>
      </c>
    </row>
    <row r="17" customFormat="false" ht="15" hidden="false" customHeight="false" outlineLevel="0" collapsed="false">
      <c r="A17" s="5" t="s">
        <v>36</v>
      </c>
      <c r="B17" s="11" t="n">
        <v>0.08</v>
      </c>
      <c r="C17" s="5" t="s">
        <v>34</v>
      </c>
      <c r="D17" s="7" t="s">
        <v>37</v>
      </c>
    </row>
    <row r="18" customFormat="false" ht="15" hidden="false" customHeight="false" outlineLevel="0" collapsed="false">
      <c r="A18" s="5" t="s">
        <v>38</v>
      </c>
      <c r="B18" s="9" t="n">
        <v>1</v>
      </c>
      <c r="C18" s="5" t="s">
        <v>39</v>
      </c>
      <c r="D18" s="7" t="s">
        <v>40</v>
      </c>
    </row>
    <row r="19" customFormat="false" ht="15" hidden="false" customHeight="false" outlineLevel="0" collapsed="false">
      <c r="A19" s="5" t="s">
        <v>41</v>
      </c>
      <c r="B19" s="11" t="n">
        <v>0.1</v>
      </c>
      <c r="C19" s="5" t="s">
        <v>42</v>
      </c>
      <c r="D19" s="7" t="s">
        <v>43</v>
      </c>
    </row>
    <row r="20" customFormat="false" ht="15" hidden="false" customHeight="false" outlineLevel="0" collapsed="false">
      <c r="A20" s="5" t="s">
        <v>44</v>
      </c>
      <c r="B20" s="8" t="n">
        <v>0.15</v>
      </c>
      <c r="C20" s="5" t="s">
        <v>45</v>
      </c>
      <c r="D20" s="7" t="s">
        <v>46</v>
      </c>
    </row>
    <row r="21" customFormat="false" ht="15" hidden="false" customHeight="false" outlineLevel="0" collapsed="false">
      <c r="A21" s="5" t="s">
        <v>47</v>
      </c>
      <c r="B21" s="9" t="n">
        <v>2</v>
      </c>
      <c r="C21" s="5" t="s">
        <v>48</v>
      </c>
      <c r="D21" s="7" t="s">
        <v>49</v>
      </c>
    </row>
    <row r="22" customFormat="false" ht="15" hidden="false" customHeight="false" outlineLevel="0" collapsed="false">
      <c r="A22" s="5" t="s">
        <v>50</v>
      </c>
      <c r="B22" s="11" t="n">
        <v>1.15</v>
      </c>
      <c r="C22" s="5" t="s">
        <v>42</v>
      </c>
      <c r="D22" s="7" t="s">
        <v>51</v>
      </c>
    </row>
    <row r="24" customFormat="false" ht="15" hidden="false" customHeight="false" outlineLevel="0" collapsed="false">
      <c r="A24" s="3" t="s">
        <v>52</v>
      </c>
    </row>
    <row r="25" customFormat="false" ht="30" hidden="false" customHeight="true" outlineLevel="0" collapsed="false">
      <c r="A25" s="4" t="s">
        <v>3</v>
      </c>
      <c r="B25" s="4" t="s">
        <v>4</v>
      </c>
      <c r="C25" s="4" t="s">
        <v>5</v>
      </c>
      <c r="D25" s="4" t="s">
        <v>6</v>
      </c>
    </row>
    <row r="26" customFormat="false" ht="15" hidden="false" customHeight="false" outlineLevel="0" collapsed="false">
      <c r="A26" s="5" t="s">
        <v>53</v>
      </c>
      <c r="B26" s="11" t="n">
        <v>0.2</v>
      </c>
      <c r="C26" s="5" t="s">
        <v>42</v>
      </c>
      <c r="D26" s="7" t="s">
        <v>54</v>
      </c>
    </row>
    <row r="27" customFormat="false" ht="15" hidden="false" customHeight="false" outlineLevel="0" collapsed="false">
      <c r="A27" s="5" t="s">
        <v>55</v>
      </c>
      <c r="B27" s="11" t="n">
        <v>0.05</v>
      </c>
      <c r="C27" s="5" t="s">
        <v>42</v>
      </c>
      <c r="D27" s="7" t="s">
        <v>54</v>
      </c>
    </row>
    <row r="28" customFormat="false" ht="15" hidden="false" customHeight="false" outlineLevel="0" collapsed="false">
      <c r="A28" s="5" t="s">
        <v>56</v>
      </c>
      <c r="B28" s="11" t="n">
        <v>0.1</v>
      </c>
      <c r="C28" s="5" t="s">
        <v>42</v>
      </c>
      <c r="D28" s="7" t="s">
        <v>54</v>
      </c>
    </row>
    <row r="29" customFormat="false" ht="15" hidden="false" customHeight="false" outlineLevel="0" collapsed="false">
      <c r="A29" s="5" t="s">
        <v>57</v>
      </c>
      <c r="B29" s="11" t="n">
        <v>0.3</v>
      </c>
      <c r="C29" s="5" t="s">
        <v>42</v>
      </c>
      <c r="D29" s="7" t="s">
        <v>58</v>
      </c>
    </row>
    <row r="30" customFormat="false" ht="15" hidden="false" customHeight="false" outlineLevel="0" collapsed="false">
      <c r="A30" s="5" t="s">
        <v>59</v>
      </c>
      <c r="B30" s="11" t="n">
        <v>0.15</v>
      </c>
      <c r="C30" s="5" t="s">
        <v>42</v>
      </c>
      <c r="D30" s="7" t="s">
        <v>58</v>
      </c>
    </row>
    <row r="31" customFormat="false" ht="15" hidden="false" customHeight="false" outlineLevel="0" collapsed="false">
      <c r="A31" s="5" t="s">
        <v>60</v>
      </c>
      <c r="B31" s="11" t="n">
        <v>1.2</v>
      </c>
      <c r="C31" s="5" t="s">
        <v>42</v>
      </c>
      <c r="D31" s="7" t="s">
        <v>58</v>
      </c>
    </row>
    <row r="32" customFormat="false" ht="15" hidden="false" customHeight="false" outlineLevel="0" collapsed="false">
      <c r="A32" s="12" t="s">
        <v>61</v>
      </c>
      <c r="B32" s="13" t="n">
        <f aca="false">PARÁMETROS!$B$27+PARÁMETROS!$B$28*PARÁMETROS!$B$30/(PARÁMETROS!$B$28+PARÁMETROS!$B$29)</f>
        <v>0.0875</v>
      </c>
      <c r="C32" s="5" t="s">
        <v>62</v>
      </c>
      <c r="D32" s="7" t="s">
        <v>63</v>
      </c>
    </row>
    <row r="33" customFormat="false" ht="15" hidden="false" customHeight="false" outlineLevel="0" collapsed="false">
      <c r="A33" s="12" t="s">
        <v>64</v>
      </c>
      <c r="B33" s="14" t="n">
        <f aca="false">1/((PARÁMETROS!$B$28+PARÁMETROS!$B$29)*PARÁMETROS!$B$31)</f>
        <v>2.08333333333333</v>
      </c>
      <c r="C33" s="5" t="s">
        <v>65</v>
      </c>
      <c r="D33" s="7" t="s">
        <v>66</v>
      </c>
    </row>
    <row r="35" customFormat="false" ht="15" hidden="false" customHeight="false" outlineLevel="0" collapsed="false">
      <c r="A35" s="3" t="s">
        <v>67</v>
      </c>
    </row>
    <row r="36" customFormat="false" ht="30" hidden="false" customHeight="true" outlineLevel="0" collapsed="false">
      <c r="A36" s="4" t="s">
        <v>68</v>
      </c>
      <c r="B36" s="4" t="s">
        <v>69</v>
      </c>
      <c r="C36" s="4"/>
      <c r="D36" s="4" t="s">
        <v>6</v>
      </c>
    </row>
    <row r="37" customFormat="false" ht="15" hidden="false" customHeight="false" outlineLevel="0" collapsed="false">
      <c r="A37" s="5" t="s">
        <v>70</v>
      </c>
      <c r="B37" s="9" t="n">
        <v>210</v>
      </c>
      <c r="C37" s="5"/>
      <c r="D37" s="7" t="s">
        <v>71</v>
      </c>
    </row>
    <row r="38" customFormat="false" ht="15" hidden="false" customHeight="false" outlineLevel="0" collapsed="false">
      <c r="A38" s="5" t="s">
        <v>72</v>
      </c>
      <c r="B38" s="9" t="n">
        <v>210</v>
      </c>
      <c r="C38" s="5"/>
      <c r="D38" s="7" t="s">
        <v>71</v>
      </c>
    </row>
    <row r="39" customFormat="false" ht="15" hidden="false" customHeight="false" outlineLevel="0" collapsed="false">
      <c r="A39" s="5" t="s">
        <v>73</v>
      </c>
      <c r="B39" s="9" t="n">
        <v>210</v>
      </c>
      <c r="C39" s="5"/>
      <c r="D39" s="7" t="s">
        <v>71</v>
      </c>
    </row>
    <row r="40" customFormat="false" ht="15" hidden="false" customHeight="false" outlineLevel="0" collapsed="false">
      <c r="A40" s="5" t="s">
        <v>74</v>
      </c>
      <c r="B40" s="9" t="n">
        <v>210</v>
      </c>
      <c r="C40" s="5"/>
      <c r="D40" s="7" t="s">
        <v>71</v>
      </c>
    </row>
    <row r="41" customFormat="false" ht="15" hidden="false" customHeight="false" outlineLevel="0" collapsed="false">
      <c r="A41" s="5" t="s">
        <v>75</v>
      </c>
      <c r="B41" s="9" t="n">
        <v>210</v>
      </c>
      <c r="C41" s="5"/>
      <c r="D41" s="7" t="s">
        <v>71</v>
      </c>
    </row>
    <row r="42" customFormat="false" ht="15" hidden="false" customHeight="false" outlineLevel="0" collapsed="false">
      <c r="A42" s="5" t="s">
        <v>76</v>
      </c>
      <c r="B42" s="9" t="n">
        <v>210</v>
      </c>
      <c r="C42" s="5"/>
      <c r="D42" s="7" t="s">
        <v>71</v>
      </c>
    </row>
    <row r="43" customFormat="false" ht="15" hidden="false" customHeight="false" outlineLevel="0" collapsed="false">
      <c r="A43" s="5" t="s">
        <v>77</v>
      </c>
      <c r="B43" s="9" t="n">
        <v>210</v>
      </c>
      <c r="C43" s="5"/>
      <c r="D43" s="7" t="s">
        <v>71</v>
      </c>
    </row>
    <row r="44" customFormat="false" ht="15" hidden="false" customHeight="false" outlineLevel="0" collapsed="false">
      <c r="A44" s="5" t="s">
        <v>78</v>
      </c>
      <c r="B44" s="9" t="n">
        <v>175</v>
      </c>
      <c r="C44" s="5"/>
      <c r="D44" s="7" t="s">
        <v>71</v>
      </c>
    </row>
    <row r="45" customFormat="false" ht="15" hidden="false" customHeight="false" outlineLevel="0" collapsed="false">
      <c r="A45" s="5" t="s">
        <v>79</v>
      </c>
      <c r="B45" s="9" t="n">
        <v>100</v>
      </c>
      <c r="C45" s="5"/>
      <c r="D45" s="7" t="s">
        <v>71</v>
      </c>
    </row>
    <row r="47" customFormat="false" ht="15" hidden="false" customHeight="false" outlineLevel="0" collapsed="false">
      <c r="A47" s="3" t="s">
        <v>80</v>
      </c>
    </row>
    <row r="48" customFormat="false" ht="30" hidden="false" customHeight="true" outlineLevel="0" collapsed="false">
      <c r="A48" s="4" t="s">
        <v>69</v>
      </c>
      <c r="B48" s="4" t="s">
        <v>81</v>
      </c>
      <c r="C48" s="4" t="s">
        <v>82</v>
      </c>
      <c r="D48" s="4" t="s">
        <v>83</v>
      </c>
      <c r="E48" s="4" t="s">
        <v>84</v>
      </c>
      <c r="F48" s="4" t="s">
        <v>85</v>
      </c>
    </row>
    <row r="49" customFormat="false" ht="15" hidden="false" customHeight="false" outlineLevel="0" collapsed="false">
      <c r="A49" s="15" t="n">
        <v>100</v>
      </c>
      <c r="B49" s="11" t="n">
        <v>5.2</v>
      </c>
      <c r="C49" s="11" t="n">
        <v>0.56</v>
      </c>
      <c r="D49" s="11" t="n">
        <v>0.68</v>
      </c>
      <c r="E49" s="11" t="n">
        <v>182</v>
      </c>
      <c r="F49" s="7" t="s">
        <v>86</v>
      </c>
    </row>
    <row r="50" customFormat="false" ht="15" hidden="false" customHeight="false" outlineLevel="0" collapsed="false">
      <c r="A50" s="15" t="n">
        <v>140</v>
      </c>
      <c r="B50" s="11" t="n">
        <v>7.01</v>
      </c>
      <c r="C50" s="11" t="n">
        <v>0.51</v>
      </c>
      <c r="D50" s="11" t="n">
        <v>0.64</v>
      </c>
      <c r="E50" s="11" t="n">
        <v>184</v>
      </c>
      <c r="F50" s="7" t="s">
        <v>87</v>
      </c>
    </row>
    <row r="51" customFormat="false" ht="15" hidden="false" customHeight="false" outlineLevel="0" collapsed="false">
      <c r="A51" s="15" t="n">
        <v>175</v>
      </c>
      <c r="B51" s="11" t="n">
        <v>8.43</v>
      </c>
      <c r="C51" s="11" t="n">
        <v>0.54</v>
      </c>
      <c r="D51" s="11" t="n">
        <v>0.55</v>
      </c>
      <c r="E51" s="11" t="n">
        <v>185</v>
      </c>
      <c r="F51" s="7" t="s">
        <v>88</v>
      </c>
    </row>
    <row r="52" customFormat="false" ht="15" hidden="false" customHeight="false" outlineLevel="0" collapsed="false">
      <c r="A52" s="15" t="n">
        <v>210</v>
      </c>
      <c r="B52" s="11" t="n">
        <v>9.73</v>
      </c>
      <c r="C52" s="11" t="n">
        <v>0.52</v>
      </c>
      <c r="D52" s="11" t="n">
        <v>0.53</v>
      </c>
      <c r="E52" s="11" t="n">
        <v>186</v>
      </c>
      <c r="F52" s="7" t="s">
        <v>88</v>
      </c>
    </row>
    <row r="53" customFormat="false" ht="15" hidden="false" customHeight="false" outlineLevel="0" collapsed="false">
      <c r="A53" s="15" t="n">
        <v>245</v>
      </c>
      <c r="B53" s="11" t="n">
        <v>11.5</v>
      </c>
      <c r="C53" s="11" t="n">
        <v>0.5</v>
      </c>
      <c r="D53" s="11" t="n">
        <v>0.51</v>
      </c>
      <c r="E53" s="11" t="n">
        <v>187</v>
      </c>
      <c r="F53" s="7" t="s">
        <v>88</v>
      </c>
    </row>
    <row r="54" customFormat="false" ht="15" hidden="false" customHeight="false" outlineLevel="0" collapsed="false">
      <c r="A54" s="15" t="n">
        <v>280</v>
      </c>
      <c r="B54" s="11" t="n">
        <v>13.34</v>
      </c>
      <c r="C54" s="11" t="n">
        <v>0.45</v>
      </c>
      <c r="D54" s="11" t="n">
        <v>0.51</v>
      </c>
      <c r="E54" s="11" t="n">
        <v>189</v>
      </c>
      <c r="F54" s="7" t="s">
        <v>88</v>
      </c>
    </row>
    <row r="56" customFormat="false" ht="15" hidden="false" customHeight="false" outlineLevel="0" collapsed="false">
      <c r="A56" s="3" t="s">
        <v>89</v>
      </c>
    </row>
    <row r="57" customFormat="false" ht="30" hidden="false" customHeight="true" outlineLevel="0" collapsed="false">
      <c r="A57" s="4" t="s">
        <v>90</v>
      </c>
      <c r="B57" s="4" t="s">
        <v>91</v>
      </c>
      <c r="C57" s="4" t="s">
        <v>92</v>
      </c>
      <c r="D57" s="4" t="s">
        <v>93</v>
      </c>
      <c r="E57" s="4" t="s">
        <v>94</v>
      </c>
      <c r="F57" s="4" t="s">
        <v>95</v>
      </c>
      <c r="G57" s="4" t="s">
        <v>96</v>
      </c>
      <c r="H57" s="4" t="s">
        <v>85</v>
      </c>
    </row>
    <row r="58" customFormat="false" ht="15" hidden="false" customHeight="false" outlineLevel="0" collapsed="false">
      <c r="A58" s="5" t="s">
        <v>97</v>
      </c>
      <c r="B58" s="11" t="n">
        <v>3.5</v>
      </c>
      <c r="C58" s="11" t="n">
        <v>0</v>
      </c>
      <c r="D58" s="11" t="n">
        <v>0.15</v>
      </c>
      <c r="E58" s="11" t="n">
        <v>0.2</v>
      </c>
      <c r="F58" s="11" t="n">
        <v>0</v>
      </c>
      <c r="G58" s="11" t="n">
        <v>2</v>
      </c>
      <c r="H58" s="7" t="s">
        <v>98</v>
      </c>
    </row>
    <row r="59" customFormat="false" ht="15" hidden="false" customHeight="false" outlineLevel="0" collapsed="false">
      <c r="A59" s="5" t="s">
        <v>99</v>
      </c>
      <c r="B59" s="11" t="n">
        <v>3.5</v>
      </c>
      <c r="C59" s="11" t="n">
        <v>0</v>
      </c>
      <c r="D59" s="11" t="n">
        <v>0.15</v>
      </c>
      <c r="E59" s="11" t="n">
        <v>0.2</v>
      </c>
      <c r="F59" s="11" t="n">
        <v>0</v>
      </c>
      <c r="G59" s="11" t="n">
        <v>2</v>
      </c>
      <c r="H59" s="7" t="s">
        <v>98</v>
      </c>
    </row>
    <row r="60" customFormat="false" ht="15" hidden="false" customHeight="false" outlineLevel="0" collapsed="false">
      <c r="A60" s="5" t="s">
        <v>74</v>
      </c>
      <c r="B60" s="11" t="n">
        <v>3</v>
      </c>
      <c r="C60" s="11" t="n">
        <v>1.05</v>
      </c>
      <c r="D60" s="11" t="n">
        <v>0.15</v>
      </c>
      <c r="E60" s="11" t="n">
        <v>0.25</v>
      </c>
      <c r="F60" s="11" t="n">
        <v>0</v>
      </c>
      <c r="G60" s="11" t="n">
        <v>2</v>
      </c>
      <c r="H60" s="7" t="s">
        <v>98</v>
      </c>
    </row>
    <row r="61" customFormat="false" ht="15" hidden="false" customHeight="false" outlineLevel="0" collapsed="false">
      <c r="A61" s="5" t="s">
        <v>100</v>
      </c>
      <c r="B61" s="11" t="n">
        <v>3</v>
      </c>
      <c r="C61" s="11" t="n">
        <v>1.05</v>
      </c>
      <c r="D61" s="11" t="n">
        <v>0.18</v>
      </c>
      <c r="E61" s="11" t="n">
        <v>0.25</v>
      </c>
      <c r="F61" s="11" t="n">
        <v>0</v>
      </c>
      <c r="G61" s="11" t="n">
        <v>2</v>
      </c>
      <c r="H61" s="7" t="s">
        <v>98</v>
      </c>
    </row>
    <row r="62" customFormat="false" ht="15" hidden="false" customHeight="false" outlineLevel="0" collapsed="false">
      <c r="A62" s="5" t="s">
        <v>101</v>
      </c>
      <c r="B62" s="11" t="n">
        <v>4</v>
      </c>
      <c r="C62" s="11" t="n">
        <v>1.05</v>
      </c>
      <c r="D62" s="11" t="n">
        <v>0.18</v>
      </c>
      <c r="E62" s="11" t="n">
        <v>0.25</v>
      </c>
      <c r="F62" s="11" t="n">
        <v>3.5</v>
      </c>
      <c r="G62" s="11" t="n">
        <v>4</v>
      </c>
      <c r="H62" s="7" t="s">
        <v>98</v>
      </c>
    </row>
    <row r="63" customFormat="false" ht="15" hidden="false" customHeight="false" outlineLevel="0" collapsed="false">
      <c r="A63" s="5" t="s">
        <v>102</v>
      </c>
      <c r="B63" s="11" t="n">
        <v>2.5</v>
      </c>
      <c r="C63" s="11" t="n">
        <v>1.05</v>
      </c>
      <c r="D63" s="11" t="n">
        <v>0.12</v>
      </c>
      <c r="E63" s="11" t="n">
        <v>0.15</v>
      </c>
      <c r="F63" s="11" t="n">
        <v>1</v>
      </c>
      <c r="G63" s="11" t="n">
        <v>2.5</v>
      </c>
      <c r="H63" s="7" t="s">
        <v>98</v>
      </c>
    </row>
    <row r="64" customFormat="false" ht="15" hidden="false" customHeight="false" outlineLevel="0" collapsed="false">
      <c r="A64" s="5" t="s">
        <v>103</v>
      </c>
      <c r="B64" s="11" t="n">
        <v>3</v>
      </c>
      <c r="C64" s="11" t="n">
        <v>0</v>
      </c>
      <c r="D64" s="11" t="n">
        <v>0.15</v>
      </c>
      <c r="E64" s="11" t="n">
        <v>0.2</v>
      </c>
      <c r="F64" s="11" t="n">
        <v>0</v>
      </c>
      <c r="G64" s="11" t="n">
        <v>0</v>
      </c>
      <c r="H64" s="7" t="s">
        <v>98</v>
      </c>
    </row>
    <row r="65" customFormat="false" ht="15" hidden="false" customHeight="false" outlineLevel="0" collapsed="false">
      <c r="A65" s="5" t="s">
        <v>104</v>
      </c>
      <c r="B65" s="11" t="n">
        <v>4</v>
      </c>
      <c r="C65" s="11" t="n">
        <v>1.05</v>
      </c>
      <c r="D65" s="11" t="n">
        <v>0.2</v>
      </c>
      <c r="E65" s="11" t="n">
        <v>0.2</v>
      </c>
      <c r="F65" s="11" t="n">
        <v>1.2</v>
      </c>
      <c r="G65" s="11" t="n">
        <v>2.5</v>
      </c>
      <c r="H65" s="7" t="s">
        <v>98</v>
      </c>
    </row>
    <row r="66" customFormat="false" ht="15" hidden="false" customHeight="false" outlineLevel="0" collapsed="false">
      <c r="A66" s="5" t="s">
        <v>105</v>
      </c>
      <c r="B66" s="11" t="n">
        <v>3.5</v>
      </c>
      <c r="C66" s="11" t="n">
        <v>0</v>
      </c>
      <c r="D66" s="11" t="n">
        <v>0.2</v>
      </c>
      <c r="E66" s="11" t="n">
        <v>0.2</v>
      </c>
      <c r="F66" s="11" t="n">
        <v>0</v>
      </c>
      <c r="G66" s="11" t="n">
        <v>0</v>
      </c>
      <c r="H66" s="7" t="s">
        <v>98</v>
      </c>
    </row>
    <row r="68" customFormat="false" ht="15" hidden="false" customHeight="false" outlineLevel="0" collapsed="false">
      <c r="A68" s="3" t="s">
        <v>106</v>
      </c>
    </row>
    <row r="69" customFormat="false" ht="30" hidden="false" customHeight="true" outlineLevel="0" collapsed="false">
      <c r="A69" s="4" t="s">
        <v>107</v>
      </c>
      <c r="B69" s="4" t="s">
        <v>108</v>
      </c>
      <c r="C69" s="4" t="s">
        <v>109</v>
      </c>
      <c r="D69" s="4" t="s">
        <v>110</v>
      </c>
      <c r="E69" s="4" t="s">
        <v>111</v>
      </c>
      <c r="F69" s="4" t="s">
        <v>112</v>
      </c>
      <c r="G69" s="4" t="s">
        <v>113</v>
      </c>
    </row>
    <row r="70" customFormat="false" ht="15" hidden="false" customHeight="false" outlineLevel="0" collapsed="false">
      <c r="A70" s="5" t="s">
        <v>114</v>
      </c>
      <c r="B70" s="5" t="s">
        <v>115</v>
      </c>
      <c r="C70" s="16" t="n">
        <v>27</v>
      </c>
      <c r="D70" s="6" t="n">
        <v>46293</v>
      </c>
      <c r="E70" s="17" t="s">
        <v>116</v>
      </c>
      <c r="F70" s="5" t="s">
        <v>117</v>
      </c>
      <c r="G70" s="7" t="s">
        <v>118</v>
      </c>
    </row>
    <row r="71" customFormat="false" ht="15" hidden="false" customHeight="false" outlineLevel="0" collapsed="false">
      <c r="A71" s="5" t="s">
        <v>119</v>
      </c>
      <c r="B71" s="5" t="s">
        <v>120</v>
      </c>
      <c r="C71" s="16" t="n">
        <v>70</v>
      </c>
      <c r="D71" s="6" t="n">
        <v>46293</v>
      </c>
      <c r="E71" s="17" t="s">
        <v>121</v>
      </c>
      <c r="F71" s="5" t="s">
        <v>117</v>
      </c>
      <c r="G71" s="7" t="s">
        <v>122</v>
      </c>
    </row>
    <row r="72" customFormat="false" ht="15" hidden="false" customHeight="false" outlineLevel="0" collapsed="false">
      <c r="A72" s="5" t="s">
        <v>123</v>
      </c>
      <c r="B72" s="5" t="s">
        <v>120</v>
      </c>
      <c r="C72" s="16" t="n">
        <v>80</v>
      </c>
      <c r="D72" s="6" t="n">
        <v>46293</v>
      </c>
      <c r="E72" s="17" t="s">
        <v>124</v>
      </c>
      <c r="F72" s="5" t="s">
        <v>117</v>
      </c>
      <c r="G72" s="7" t="s">
        <v>122</v>
      </c>
    </row>
    <row r="73" customFormat="false" ht="15" hidden="false" customHeight="false" outlineLevel="0" collapsed="false">
      <c r="A73" s="5" t="s">
        <v>125</v>
      </c>
      <c r="B73" s="5" t="s">
        <v>120</v>
      </c>
      <c r="C73" s="16" t="n">
        <v>7</v>
      </c>
      <c r="D73" s="6" t="n">
        <v>46293</v>
      </c>
      <c r="E73" s="17" t="s">
        <v>126</v>
      </c>
      <c r="F73" s="5" t="s">
        <v>117</v>
      </c>
      <c r="G73" s="7" t="s">
        <v>127</v>
      </c>
    </row>
    <row r="74" customFormat="false" ht="15" hidden="false" customHeight="false" outlineLevel="0" collapsed="false">
      <c r="A74" s="5" t="s">
        <v>128</v>
      </c>
      <c r="B74" s="5" t="s">
        <v>129</v>
      </c>
      <c r="C74" s="16" t="n">
        <v>12.9</v>
      </c>
      <c r="D74" s="6" t="n">
        <v>46293</v>
      </c>
      <c r="E74" s="17" t="s">
        <v>130</v>
      </c>
      <c r="F74" s="5" t="s">
        <v>117</v>
      </c>
      <c r="G74" s="7" t="s">
        <v>131</v>
      </c>
    </row>
    <row r="75" customFormat="false" ht="15" hidden="false" customHeight="false" outlineLevel="0" collapsed="false">
      <c r="A75" s="5" t="s">
        <v>132</v>
      </c>
      <c r="B75" s="5" t="s">
        <v>129</v>
      </c>
      <c r="C75" s="16" t="n">
        <v>9.5</v>
      </c>
      <c r="D75" s="6" t="n">
        <v>46293</v>
      </c>
      <c r="E75" s="17" t="s">
        <v>133</v>
      </c>
      <c r="F75" s="5" t="s">
        <v>134</v>
      </c>
      <c r="G75" s="7" t="s">
        <v>135</v>
      </c>
    </row>
    <row r="76" customFormat="false" ht="15" hidden="false" customHeight="false" outlineLevel="0" collapsed="false">
      <c r="A76" s="5" t="s">
        <v>136</v>
      </c>
      <c r="B76" s="5" t="s">
        <v>129</v>
      </c>
      <c r="C76" s="16" t="n">
        <v>20.13</v>
      </c>
      <c r="D76" s="6" t="n">
        <v>46293</v>
      </c>
      <c r="E76" s="17" t="s">
        <v>137</v>
      </c>
      <c r="F76" s="5" t="s">
        <v>134</v>
      </c>
      <c r="G76" s="7"/>
    </row>
    <row r="77" customFormat="false" ht="15" hidden="false" customHeight="false" outlineLevel="0" collapsed="false">
      <c r="A77" s="5" t="s">
        <v>138</v>
      </c>
      <c r="B77" s="5" t="s">
        <v>129</v>
      </c>
      <c r="C77" s="16" t="n">
        <v>36.09</v>
      </c>
      <c r="D77" s="6" t="n">
        <v>46293</v>
      </c>
      <c r="E77" s="17" t="s">
        <v>137</v>
      </c>
      <c r="F77" s="5" t="s">
        <v>134</v>
      </c>
      <c r="G77" s="7"/>
    </row>
    <row r="78" customFormat="false" ht="15" hidden="false" customHeight="false" outlineLevel="0" collapsed="false">
      <c r="A78" s="5" t="s">
        <v>139</v>
      </c>
      <c r="B78" s="5" t="s">
        <v>129</v>
      </c>
      <c r="C78" s="16" t="n">
        <v>55.82</v>
      </c>
      <c r="D78" s="6" t="n">
        <v>46293</v>
      </c>
      <c r="E78" s="17" t="s">
        <v>137</v>
      </c>
      <c r="F78" s="5" t="s">
        <v>134</v>
      </c>
      <c r="G78" s="7"/>
    </row>
    <row r="79" customFormat="false" ht="15" hidden="false" customHeight="false" outlineLevel="0" collapsed="false">
      <c r="A79" s="5" t="s">
        <v>140</v>
      </c>
      <c r="B79" s="5" t="s">
        <v>129</v>
      </c>
      <c r="C79" s="16" t="n">
        <v>82.09</v>
      </c>
      <c r="D79" s="6" t="n">
        <v>46293</v>
      </c>
      <c r="E79" s="17" t="s">
        <v>137</v>
      </c>
      <c r="F79" s="5" t="s">
        <v>134</v>
      </c>
      <c r="G79" s="7"/>
    </row>
    <row r="80" customFormat="false" ht="15" hidden="false" customHeight="false" outlineLevel="0" collapsed="false">
      <c r="A80" s="5" t="s">
        <v>141</v>
      </c>
      <c r="B80" s="5" t="s">
        <v>142</v>
      </c>
      <c r="C80" s="16" t="n">
        <v>3.65</v>
      </c>
      <c r="D80" s="6" t="n">
        <v>46293</v>
      </c>
      <c r="E80" s="17" t="s">
        <v>143</v>
      </c>
      <c r="F80" s="5" t="s">
        <v>134</v>
      </c>
      <c r="G80" s="7"/>
    </row>
    <row r="81" customFormat="false" ht="15" hidden="false" customHeight="false" outlineLevel="0" collapsed="false">
      <c r="A81" s="5" t="s">
        <v>144</v>
      </c>
      <c r="B81" s="5" t="s">
        <v>129</v>
      </c>
      <c r="C81" s="16" t="n">
        <v>12</v>
      </c>
      <c r="D81" s="6" t="n">
        <v>46293</v>
      </c>
      <c r="E81" s="17" t="s">
        <v>145</v>
      </c>
      <c r="F81" s="5" t="s">
        <v>134</v>
      </c>
      <c r="G81" s="7" t="s">
        <v>122</v>
      </c>
    </row>
    <row r="82" customFormat="false" ht="15" hidden="false" customHeight="false" outlineLevel="0" collapsed="false">
      <c r="A82" s="5" t="s">
        <v>146</v>
      </c>
      <c r="B82" s="5" t="s">
        <v>129</v>
      </c>
      <c r="C82" s="16" t="n">
        <v>0.5</v>
      </c>
      <c r="D82" s="6" t="n">
        <v>46293</v>
      </c>
      <c r="E82" s="17" t="s">
        <v>147</v>
      </c>
      <c r="F82" s="5" t="s">
        <v>134</v>
      </c>
      <c r="G82" s="7" t="s">
        <v>145</v>
      </c>
    </row>
    <row r="83" customFormat="false" ht="15" hidden="false" customHeight="false" outlineLevel="0" collapsed="false">
      <c r="A83" s="5" t="s">
        <v>148</v>
      </c>
      <c r="B83" s="5" t="s">
        <v>149</v>
      </c>
      <c r="C83" s="16" t="n">
        <v>5.5</v>
      </c>
      <c r="D83" s="6" t="n">
        <v>46293</v>
      </c>
      <c r="E83" s="17" t="s">
        <v>150</v>
      </c>
      <c r="F83" s="5" t="s">
        <v>151</v>
      </c>
      <c r="G83" s="7" t="s">
        <v>152</v>
      </c>
    </row>
    <row r="84" customFormat="false" ht="15" hidden="false" customHeight="false" outlineLevel="0" collapsed="false">
      <c r="A84" s="5" t="s">
        <v>153</v>
      </c>
      <c r="B84" s="5" t="s">
        <v>154</v>
      </c>
      <c r="C84" s="16" t="n">
        <v>115</v>
      </c>
      <c r="D84" s="6" t="n">
        <v>46293</v>
      </c>
      <c r="E84" s="17" t="s">
        <v>145</v>
      </c>
      <c r="F84" s="5" t="s">
        <v>151</v>
      </c>
      <c r="G84" s="7" t="s">
        <v>122</v>
      </c>
    </row>
    <row r="85" customFormat="false" ht="15" hidden="false" customHeight="false" outlineLevel="0" collapsed="false">
      <c r="A85" s="5" t="s">
        <v>155</v>
      </c>
      <c r="B85" s="5" t="s">
        <v>129</v>
      </c>
      <c r="C85" s="16" t="n">
        <v>18</v>
      </c>
      <c r="D85" s="6" t="n">
        <v>46293</v>
      </c>
      <c r="E85" s="17" t="s">
        <v>156</v>
      </c>
      <c r="F85" s="5" t="s">
        <v>151</v>
      </c>
      <c r="G85" s="7" t="s">
        <v>122</v>
      </c>
    </row>
    <row r="86" customFormat="false" ht="15" hidden="false" customHeight="false" outlineLevel="0" collapsed="false">
      <c r="A86" s="5" t="s">
        <v>157</v>
      </c>
      <c r="B86" s="5" t="s">
        <v>142</v>
      </c>
      <c r="C86" s="16" t="n">
        <v>6.5</v>
      </c>
      <c r="D86" s="6" t="n">
        <v>46293</v>
      </c>
      <c r="E86" s="17" t="s">
        <v>145</v>
      </c>
      <c r="F86" s="5" t="s">
        <v>151</v>
      </c>
      <c r="G86" s="7" t="s">
        <v>122</v>
      </c>
    </row>
    <row r="87" customFormat="false" ht="15" hidden="false" customHeight="false" outlineLevel="0" collapsed="false">
      <c r="A87" s="5" t="s">
        <v>158</v>
      </c>
      <c r="B87" s="5" t="s">
        <v>142</v>
      </c>
      <c r="C87" s="16" t="n">
        <v>5.9</v>
      </c>
      <c r="D87" s="6" t="n">
        <v>46293</v>
      </c>
      <c r="E87" s="17" t="s">
        <v>159</v>
      </c>
      <c r="F87" s="5" t="s">
        <v>151</v>
      </c>
      <c r="G87" s="7"/>
    </row>
    <row r="88" customFormat="false" ht="15" hidden="false" customHeight="false" outlineLevel="0" collapsed="false">
      <c r="A88" s="5" t="s">
        <v>160</v>
      </c>
      <c r="B88" s="5" t="s">
        <v>161</v>
      </c>
      <c r="C88" s="16" t="n">
        <v>45</v>
      </c>
      <c r="D88" s="6" t="n">
        <v>46293</v>
      </c>
      <c r="E88" s="17" t="s">
        <v>145</v>
      </c>
      <c r="F88" s="5" t="s">
        <v>151</v>
      </c>
      <c r="G88" s="7" t="s">
        <v>122</v>
      </c>
    </row>
    <row r="89" customFormat="false" ht="15" hidden="false" customHeight="false" outlineLevel="0" collapsed="false">
      <c r="A89" s="5" t="s">
        <v>162</v>
      </c>
      <c r="B89" s="5" t="s">
        <v>161</v>
      </c>
      <c r="C89" s="16" t="n">
        <v>40</v>
      </c>
      <c r="D89" s="6" t="n">
        <v>46293</v>
      </c>
      <c r="E89" s="17" t="s">
        <v>145</v>
      </c>
      <c r="F89" s="5" t="s">
        <v>163</v>
      </c>
      <c r="G89" s="7" t="s">
        <v>122</v>
      </c>
    </row>
    <row r="91" customFormat="false" ht="15" hidden="false" customHeight="false" outlineLevel="0" collapsed="false">
      <c r="A91" s="3" t="s">
        <v>164</v>
      </c>
    </row>
    <row r="92" customFormat="false" ht="30" hidden="false" customHeight="true" outlineLevel="0" collapsed="false">
      <c r="A92" s="4" t="s">
        <v>165</v>
      </c>
      <c r="B92" s="4" t="s">
        <v>166</v>
      </c>
      <c r="C92" s="4" t="s">
        <v>167</v>
      </c>
      <c r="D92" s="4"/>
    </row>
    <row r="93" customFormat="false" ht="15" hidden="false" customHeight="false" outlineLevel="0" collapsed="false">
      <c r="A93" s="12" t="s">
        <v>168</v>
      </c>
      <c r="B93" s="10" t="n">
        <v>0.25</v>
      </c>
      <c r="C93" s="5" t="s">
        <v>132</v>
      </c>
    </row>
    <row r="94" customFormat="false" ht="15" hidden="false" customHeight="false" outlineLevel="0" collapsed="false">
      <c r="A94" s="12" t="s">
        <v>169</v>
      </c>
      <c r="B94" s="10" t="n">
        <v>0.56</v>
      </c>
      <c r="C94" s="5" t="s">
        <v>136</v>
      </c>
    </row>
    <row r="95" customFormat="false" ht="15" hidden="false" customHeight="false" outlineLevel="0" collapsed="false">
      <c r="A95" s="12" t="s">
        <v>170</v>
      </c>
      <c r="B95" s="10" t="n">
        <v>0.994</v>
      </c>
      <c r="C95" s="5" t="s">
        <v>138</v>
      </c>
    </row>
    <row r="96" customFormat="false" ht="15" hidden="false" customHeight="false" outlineLevel="0" collapsed="false">
      <c r="A96" s="12" t="s">
        <v>171</v>
      </c>
      <c r="B96" s="10" t="n">
        <v>1.552</v>
      </c>
      <c r="C96" s="5" t="s">
        <v>139</v>
      </c>
    </row>
    <row r="97" customFormat="false" ht="15" hidden="false" customHeight="false" outlineLevel="0" collapsed="false">
      <c r="A97" s="12" t="s">
        <v>172</v>
      </c>
      <c r="B97" s="10" t="n">
        <v>2.235</v>
      </c>
      <c r="C97" s="5" t="s">
        <v>140</v>
      </c>
    </row>
    <row r="99" customFormat="false" ht="15" hidden="false" customHeight="false" outlineLevel="0" collapsed="false">
      <c r="A99" s="2" t="s">
        <v>173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7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1"/>
    <col collapsed="false" customWidth="true" hidden="false" outlineLevel="0" max="8" min="8" style="0" width="13"/>
    <col collapsed="false" customWidth="true" hidden="false" outlineLevel="0" max="23" min="9" style="0" width="10"/>
    <col collapsed="false" customWidth="true" hidden="false" outlineLevel="0" max="24" min="24" style="0" width="44"/>
  </cols>
  <sheetData>
    <row r="1" customFormat="false" ht="17.35" hidden="false" customHeight="false" outlineLevel="0" collapsed="false">
      <c r="A1" s="1" t="s">
        <v>174</v>
      </c>
    </row>
    <row r="2" customFormat="false" ht="15" hidden="false" customHeight="false" outlineLevel="0" collapsed="false">
      <c r="A2" s="2" t="s">
        <v>175</v>
      </c>
    </row>
    <row r="4" customFormat="false" ht="15" hidden="false" customHeight="false" outlineLevel="0" collapsed="false">
      <c r="A4" s="18" t="s">
        <v>176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</row>
    <row r="5" customFormat="false" ht="42" hidden="false" customHeight="true" outlineLevel="0" collapsed="false">
      <c r="A5" s="4" t="s">
        <v>177</v>
      </c>
      <c r="B5" s="4" t="s">
        <v>178</v>
      </c>
      <c r="C5" s="4" t="s">
        <v>68</v>
      </c>
      <c r="D5" s="4" t="s">
        <v>5</v>
      </c>
      <c r="E5" s="4" t="s">
        <v>179</v>
      </c>
      <c r="F5" s="4" t="s">
        <v>180</v>
      </c>
      <c r="G5" s="4" t="s">
        <v>181</v>
      </c>
      <c r="H5" s="4" t="s">
        <v>182</v>
      </c>
      <c r="I5" s="4" t="s">
        <v>183</v>
      </c>
      <c r="J5" s="4" t="s">
        <v>184</v>
      </c>
      <c r="K5" s="4" t="s">
        <v>185</v>
      </c>
      <c r="L5" s="4" t="s">
        <v>186</v>
      </c>
      <c r="M5" s="4" t="s">
        <v>187</v>
      </c>
      <c r="N5" s="4" t="s">
        <v>188</v>
      </c>
      <c r="O5" s="4" t="s">
        <v>189</v>
      </c>
      <c r="P5" s="4" t="s">
        <v>190</v>
      </c>
      <c r="Q5" s="4" t="s">
        <v>191</v>
      </c>
      <c r="R5" s="4" t="s">
        <v>192</v>
      </c>
      <c r="S5" s="4" t="s">
        <v>193</v>
      </c>
      <c r="T5" s="4" t="s">
        <v>194</v>
      </c>
      <c r="U5" s="4" t="s">
        <v>195</v>
      </c>
      <c r="V5" s="4" t="s">
        <v>196</v>
      </c>
      <c r="W5" s="4" t="s">
        <v>197</v>
      </c>
      <c r="X5" s="4" t="s">
        <v>198</v>
      </c>
    </row>
    <row r="6" customFormat="false" ht="15" hidden="false" customHeight="false" outlineLevel="0" collapsed="false">
      <c r="A6" s="5" t="s">
        <v>176</v>
      </c>
      <c r="B6" s="5" t="s">
        <v>117</v>
      </c>
      <c r="C6" s="5" t="s">
        <v>70</v>
      </c>
      <c r="D6" s="5" t="s">
        <v>120</v>
      </c>
      <c r="E6" s="20" t="n">
        <f aca="false">SUMIFS('DATOS MODELO'!$F$5:$F$227,'DATOS MODELO'!$B$5:$B$227,"CIMENTACIÓN",'DATOS MODELO'!$C$5:$C$227,"Zapatas")</f>
        <v>23.7919933251146</v>
      </c>
      <c r="F6" s="21" t="n">
        <f aca="false">PARÁMETROS!$B$8</f>
        <v>0.05</v>
      </c>
      <c r="G6" s="20" t="n">
        <f aca="false">E6*(1+F6)</f>
        <v>24.9815929913703</v>
      </c>
      <c r="H6" s="22" t="n">
        <f aca="false">INDEX(PARÁMETROS!$B$37:$B$45,MATCH(C6,PARÁMETROS!$A$37:$A$45,0))</f>
        <v>210</v>
      </c>
      <c r="I6" s="20" t="n">
        <f aca="false">G6*INDEX(PARÁMETROS!$B$49:$B$54,MATCH(H6,PARÁMETROS!$A$49:$A$54,0))</f>
        <v>243.070899806033</v>
      </c>
      <c r="J6" s="20" t="n">
        <f aca="false">G6*INDEX(PARÁMETROS!$C$49:$C$54,MATCH(H6,PARÁMETROS!$A$49:$A$54,0))</f>
        <v>12.9904283555126</v>
      </c>
      <c r="K6" s="20" t="n">
        <f aca="false">G6*INDEX(PARÁMETROS!$D$49:$D$54,MATCH(H6,PARÁMETROS!$A$49:$A$54,0))</f>
        <v>13.2402442854263</v>
      </c>
      <c r="L6" s="20" t="n">
        <f aca="false">G6*INDEX(PARÁMETROS!$E$49:$E$54,MATCH(H6,PARÁMETROS!$A$49:$A$54,0))/1000</f>
        <v>4.64657629639488</v>
      </c>
      <c r="X6" s="7" t="s">
        <v>199</v>
      </c>
    </row>
    <row r="7" customFormat="false" ht="15" hidden="false" customHeight="false" outlineLevel="0" collapsed="false">
      <c r="A7" s="5" t="s">
        <v>176</v>
      </c>
      <c r="B7" s="5" t="s">
        <v>117</v>
      </c>
      <c r="C7" s="5" t="s">
        <v>72</v>
      </c>
      <c r="D7" s="5" t="s">
        <v>120</v>
      </c>
      <c r="E7" s="20" t="n">
        <f aca="false">SUMIFS('DATOS MODELO'!$F$5:$F$227,'DATOS MODELO'!$B$5:$B$227,"CIMENTACIÓN",'DATOS MODELO'!$C$5:$C$227,"Vigas de conexión")</f>
        <v>5.34500147879128</v>
      </c>
      <c r="F7" s="21" t="n">
        <f aca="false">PARÁMETROS!$B$8</f>
        <v>0.05</v>
      </c>
      <c r="G7" s="20" t="n">
        <f aca="false">E7*(1+F7)</f>
        <v>5.61225155273084</v>
      </c>
      <c r="H7" s="22" t="n">
        <f aca="false">INDEX(PARÁMETROS!$B$37:$B$45,MATCH(C7,PARÁMETROS!$A$37:$A$45,0))</f>
        <v>210</v>
      </c>
      <c r="I7" s="20" t="n">
        <f aca="false">G7*INDEX(PARÁMETROS!$B$49:$B$54,MATCH(H7,PARÁMETROS!$A$49:$A$54,0))</f>
        <v>54.6072076080711</v>
      </c>
      <c r="J7" s="20" t="n">
        <f aca="false">G7*INDEX(PARÁMETROS!$C$49:$C$54,MATCH(H7,PARÁMETROS!$A$49:$A$54,0))</f>
        <v>2.91837080742004</v>
      </c>
      <c r="K7" s="20" t="n">
        <f aca="false">G7*INDEX(PARÁMETROS!$D$49:$D$54,MATCH(H7,PARÁMETROS!$A$49:$A$54,0))</f>
        <v>2.97449332294735</v>
      </c>
      <c r="L7" s="20" t="n">
        <f aca="false">G7*INDEX(PARÁMETROS!$E$49:$E$54,MATCH(H7,PARÁMETROS!$A$49:$A$54,0))/1000</f>
        <v>1.04387878880794</v>
      </c>
      <c r="X7" s="7"/>
    </row>
    <row r="8" customFormat="false" ht="15" hidden="false" customHeight="false" outlineLevel="0" collapsed="false">
      <c r="A8" s="5" t="s">
        <v>176</v>
      </c>
      <c r="B8" s="5" t="s">
        <v>117</v>
      </c>
      <c r="C8" s="5" t="s">
        <v>73</v>
      </c>
      <c r="D8" s="5" t="s">
        <v>120</v>
      </c>
      <c r="E8" s="20" t="n">
        <f aca="false">SUMIFS('DATOS MODELO'!$F$5:$F$227,'DATOS MODELO'!$B$5:$B$227,"CIMENTACIÓN",'DATOS MODELO'!$C$5:$C$227,"Cimiento de escalera")</f>
        <v>0.624999977648258</v>
      </c>
      <c r="F8" s="21" t="n">
        <f aca="false">PARÁMETROS!$B$8</f>
        <v>0.05</v>
      </c>
      <c r="G8" s="20" t="n">
        <f aca="false">E8*(1+F8)</f>
        <v>0.656249976530671</v>
      </c>
      <c r="H8" s="22" t="n">
        <f aca="false">INDEX(PARÁMETROS!$B$37:$B$45,MATCH(C8,PARÁMETROS!$A$37:$A$45,0))</f>
        <v>210</v>
      </c>
      <c r="I8" s="20" t="n">
        <f aca="false">G8*INDEX(PARÁMETROS!$B$49:$B$54,MATCH(H8,PARÁMETROS!$A$49:$A$54,0))</f>
        <v>6.38531227164343</v>
      </c>
      <c r="J8" s="20" t="n">
        <f aca="false">G8*INDEX(PARÁMETROS!$C$49:$C$54,MATCH(H8,PARÁMETROS!$A$49:$A$54,0))</f>
        <v>0.341249987795949</v>
      </c>
      <c r="K8" s="20" t="n">
        <f aca="false">G8*INDEX(PARÁMETROS!$D$49:$D$54,MATCH(H8,PARÁMETROS!$A$49:$A$54,0))</f>
        <v>0.347812487561256</v>
      </c>
      <c r="L8" s="20" t="n">
        <f aca="false">G8*INDEX(PARÁMETROS!$E$49:$E$54,MATCH(H8,PARÁMETROS!$A$49:$A$54,0))/1000</f>
        <v>0.122062495634705</v>
      </c>
      <c r="X8" s="7"/>
    </row>
    <row r="9" customFormat="false" ht="15" hidden="false" customHeight="false" outlineLevel="0" collapsed="false">
      <c r="A9" s="5" t="s">
        <v>176</v>
      </c>
      <c r="B9" s="5" t="s">
        <v>117</v>
      </c>
      <c r="C9" s="5" t="s">
        <v>79</v>
      </c>
      <c r="D9" s="5" t="s">
        <v>120</v>
      </c>
      <c r="E9" s="20" t="n">
        <f aca="false">('DATOS MODELO'!$B$283+'DATOS MODELO'!$B$284)*PARÁMETROS!$B$19*PARÁMETROS!$B$18</f>
        <v>5.7507</v>
      </c>
      <c r="F9" s="21" t="n">
        <f aca="false">PARÁMETROS!$B$8</f>
        <v>0.05</v>
      </c>
      <c r="G9" s="20" t="n">
        <f aca="false">E9*(1+F9)</f>
        <v>6.038235</v>
      </c>
      <c r="H9" s="22" t="n">
        <f aca="false">INDEX(PARÁMETROS!$B$37:$B$45,MATCH(C9,PARÁMETROS!$A$37:$A$45,0))</f>
        <v>100</v>
      </c>
      <c r="I9" s="20" t="n">
        <f aca="false">G9*INDEX(PARÁMETROS!$B$49:$B$54,MATCH(H9,PARÁMETROS!$A$49:$A$54,0))</f>
        <v>31.398822</v>
      </c>
      <c r="J9" s="20" t="n">
        <f aca="false">G9*INDEX(PARÁMETROS!$C$49:$C$54,MATCH(H9,PARÁMETROS!$A$49:$A$54,0))</f>
        <v>3.3814116</v>
      </c>
      <c r="K9" s="20" t="n">
        <f aca="false">G9*INDEX(PARÁMETROS!$D$49:$D$54,MATCH(H9,PARÁMETROS!$A$49:$A$54,0))</f>
        <v>4.1059998</v>
      </c>
      <c r="L9" s="20" t="n">
        <f aca="false">G9*INDEX(PARÁMETROS!$E$49:$E$54,MATCH(H9,PARÁMETROS!$A$49:$A$54,0))/1000</f>
        <v>1.09895877</v>
      </c>
      <c r="X9" s="7" t="s">
        <v>200</v>
      </c>
    </row>
    <row r="10" customFormat="false" ht="15" hidden="false" customHeight="false" outlineLevel="0" collapsed="false">
      <c r="A10" s="5" t="s">
        <v>176</v>
      </c>
      <c r="B10" s="5" t="s">
        <v>151</v>
      </c>
      <c r="C10" s="5" t="s">
        <v>72</v>
      </c>
      <c r="D10" s="5" t="s">
        <v>201</v>
      </c>
      <c r="E10" s="20" t="n">
        <f aca="false">SUMIFS('DATOS MODELO'!$G$5:$G$227,'DATOS MODELO'!$B$5:$B$227,"CIMENTACIÓN",'DATOS MODELO'!$C$5:$C$227,"Vigas de conexión")</f>
        <v>40.0606361027065</v>
      </c>
      <c r="F10" s="23" t="n">
        <v>0</v>
      </c>
      <c r="G10" s="20" t="n">
        <f aca="false">E10*(1+F10)</f>
        <v>40.0606361027065</v>
      </c>
      <c r="H10" s="5" t="s">
        <v>97</v>
      </c>
      <c r="O10" s="24" t="n">
        <f aca="false">G10*INDEX(PARÁMETROS!$B$58:$B$66,MATCH(H10,PARÁMETROS!$A$58:$A$66,0))/PARÁMETROS!$B$10</f>
        <v>35.0530565898682</v>
      </c>
      <c r="P10" s="20" t="n">
        <f aca="false">G10*INDEX(PARÁMETROS!$C$58:$C$66,MATCH(H10,PARÁMETROS!$A$58:$A$66,0))/PARÁMETROS!$B$11</f>
        <v>0</v>
      </c>
      <c r="Q10" s="20" t="n">
        <f aca="false">G10*INDEX(PARÁMETROS!$D$58:$D$66,MATCH(H10,PARÁMETROS!$A$58:$A$66,0))</f>
        <v>6.00909541540597</v>
      </c>
      <c r="R10" s="20" t="n">
        <f aca="false">G10*INDEX(PARÁMETROS!$E$58:$E$66,MATCH(H10,PARÁMETROS!$A$58:$A$66,0))</f>
        <v>8.01212722054129</v>
      </c>
      <c r="S10" s="24" t="n">
        <f aca="false">G10*INDEX(PARÁMETROS!$F$58:$F$66,MATCH(H10,PARÁMETROS!$A$58:$A$66,0))/PARÁMETROS!$B$12</f>
        <v>0</v>
      </c>
      <c r="T10" s="20" t="n">
        <f aca="false">G10*PARÁMETROS!$B$17/3.785</f>
        <v>0.846724144839238</v>
      </c>
      <c r="V10" s="25" t="n">
        <f aca="false">G10*INDEX(PARÁMETROS!$G$58:$G$66,MATCH(H10,PARÁMETROS!$A$58:$A$66,0))</f>
        <v>80.1212722054129</v>
      </c>
      <c r="X10" s="7" t="s">
        <v>202</v>
      </c>
    </row>
    <row r="11" customFormat="false" ht="15" hidden="false" customHeight="false" outlineLevel="0" collapsed="false">
      <c r="A11" s="5" t="s">
        <v>176</v>
      </c>
      <c r="B11" s="5" t="s">
        <v>151</v>
      </c>
      <c r="C11" s="5" t="s">
        <v>73</v>
      </c>
      <c r="D11" s="5" t="s">
        <v>201</v>
      </c>
      <c r="E11" s="20" t="n">
        <f aca="false">SUMIFS('DATOS MODELO'!$G$5:$G$227,'DATOS MODELO'!$B$5:$B$227,"CIMENTACIÓN",'DATOS MODELO'!$C$5:$C$227,"Cimiento de escalera")</f>
        <v>2.93554679048248</v>
      </c>
      <c r="F11" s="23" t="n">
        <v>0</v>
      </c>
      <c r="G11" s="20" t="n">
        <f aca="false">E11*(1+F11)</f>
        <v>2.93554679048248</v>
      </c>
      <c r="H11" s="5" t="s">
        <v>99</v>
      </c>
      <c r="O11" s="24" t="n">
        <f aca="false">G11*INDEX(PARÁMETROS!$B$58:$B$66,MATCH(H11,PARÁMETROS!$A$58:$A$66,0))/PARÁMETROS!$B$10</f>
        <v>2.56860344167217</v>
      </c>
      <c r="P11" s="20" t="n">
        <f aca="false">G11*INDEX(PARÁMETROS!$C$58:$C$66,MATCH(H11,PARÁMETROS!$A$58:$A$66,0))/PARÁMETROS!$B$11</f>
        <v>0</v>
      </c>
      <c r="Q11" s="20" t="n">
        <f aca="false">G11*INDEX(PARÁMETROS!$D$58:$D$66,MATCH(H11,PARÁMETROS!$A$58:$A$66,0))</f>
        <v>0.440332018572371</v>
      </c>
      <c r="R11" s="20" t="n">
        <f aca="false">G11*INDEX(PARÁMETROS!$E$58:$E$66,MATCH(H11,PARÁMETROS!$A$58:$A$66,0))</f>
        <v>0.587109358096495</v>
      </c>
      <c r="S11" s="24" t="n">
        <f aca="false">G11*INDEX(PARÁMETROS!$F$58:$F$66,MATCH(H11,PARÁMETROS!$A$58:$A$66,0))/PARÁMETROS!$B$12</f>
        <v>0</v>
      </c>
      <c r="T11" s="20" t="n">
        <f aca="false">G11*PARÁMETROS!$B$17/3.785</f>
        <v>0.0620459031013469</v>
      </c>
      <c r="V11" s="25" t="n">
        <f aca="false">G11*INDEX(PARÁMETROS!$G$58:$G$66,MATCH(H11,PARÁMETROS!$A$58:$A$66,0))</f>
        <v>5.87109358096495</v>
      </c>
      <c r="X11" s="7"/>
    </row>
    <row r="12" customFormat="false" ht="15" hidden="false" customHeight="false" outlineLevel="0" collapsed="false">
      <c r="A12" s="5" t="s">
        <v>176</v>
      </c>
      <c r="B12" s="5" t="s">
        <v>134</v>
      </c>
      <c r="C12" s="5" t="s">
        <v>70</v>
      </c>
      <c r="D12" s="5" t="s">
        <v>142</v>
      </c>
      <c r="E12" s="24" t="n">
        <f aca="false">SUMIFS('DATOS MODELO'!$E$232:$E$279,'DATOS MODELO'!$A$232:$A$279,"CIMENTACIÓN",'DATOS MODELO'!$B$232:$B$279,"Zapatas",'DATOS MODELO'!$C$232:$C$279,"1/4")*INDEX(PARÁMETROS!$B$93:$B$97,MATCH("1/4",PARÁMETROS!$A$93:$A$97,0))+SUMIFS('DATOS MODELO'!$E$232:$E$279,'DATOS MODELO'!$A$232:$A$279,"CIMENTACIÓN",'DATOS MODELO'!$B$232:$B$279,"Zapatas",'DATOS MODELO'!$C$232:$C$279,"3/8")*INDEX(PARÁMETROS!$B$93:$B$97,MATCH("3/8",PARÁMETROS!$A$93:$A$97,0))+SUMIFS('DATOS MODELO'!$E$232:$E$279,'DATOS MODELO'!$A$232:$A$279,"CIMENTACIÓN",'DATOS MODELO'!$B$232:$B$279,"Zapatas",'DATOS MODELO'!$C$232:$C$279,"1/2")*INDEX(PARÁMETROS!$B$93:$B$97,MATCH("1/2",PARÁMETROS!$A$93:$A$97,0))+SUMIFS('DATOS MODELO'!$E$232:$E$279,'DATOS MODELO'!$A$232:$A$279,"CIMENTACIÓN",'DATOS MODELO'!$B$232:$B$279,"Zapatas",'DATOS MODELO'!$C$232:$C$279,"5/8")*INDEX(PARÁMETROS!$B$93:$B$97,MATCH("5/8",PARÁMETROS!$A$93:$A$97,0))+SUMIFS('DATOS MODELO'!$E$232:$E$279,'DATOS MODELO'!$A$232:$A$279,"CIMENTACIÓN",'DATOS MODELO'!$B$232:$B$279,"Zapatas",'DATOS MODELO'!$C$232:$C$279,"3/4")*INDEX(PARÁMETROS!$B$93:$B$97,MATCH("3/4",PARÁMETROS!$A$93:$A$97,0))</f>
        <v>851.99289</v>
      </c>
      <c r="F12" s="23" t="n">
        <v>0</v>
      </c>
      <c r="G12" s="24" t="n">
        <f aca="false">E12*(1+F12)</f>
        <v>851.99289</v>
      </c>
      <c r="H12" s="5" t="s">
        <v>203</v>
      </c>
      <c r="N12" s="24" t="n">
        <f aca="false">G12*PARÁMETROS!$B$13</f>
        <v>25.5597867</v>
      </c>
      <c r="V12" s="25" t="n">
        <f aca="false">COUNTIFS('DATOS MODELO'!$B$5:$B$227,"CIMENTACIÓN",'DATOS MODELO'!$C$5:$C$227,"Zapatas")*PARÁMETROS!$B$14</f>
        <v>126</v>
      </c>
      <c r="W12" s="20" t="n">
        <f aca="false">SUMIFS('DATOS MODELO'!$D$232:$D$279,'DATOS MODELO'!$A$232:$A$279,"CIMENTACIÓN",'DATOS MODELO'!$B$232:$B$279,"Zapatas")/PARÁMETROS!$B$15</f>
        <v>1.84</v>
      </c>
      <c r="X12" s="7" t="s">
        <v>204</v>
      </c>
    </row>
    <row r="13" customFormat="false" ht="15" hidden="false" customHeight="false" outlineLevel="0" collapsed="false">
      <c r="A13" s="5" t="s">
        <v>176</v>
      </c>
      <c r="B13" s="5" t="s">
        <v>134</v>
      </c>
      <c r="C13" s="5" t="s">
        <v>72</v>
      </c>
      <c r="D13" s="5" t="s">
        <v>142</v>
      </c>
      <c r="E13" s="24" t="n">
        <f aca="false">SUMIFS('DATOS MODELO'!$E$232:$E$279,'DATOS MODELO'!$A$232:$A$279,"CIMENTACIÓN",'DATOS MODELO'!$B$232:$B$279,"Vigas de conexión",'DATOS MODELO'!$C$232:$C$279,"1/4")*INDEX(PARÁMETROS!$B$93:$B$97,MATCH("1/4",PARÁMETROS!$A$93:$A$97,0))+SUMIFS('DATOS MODELO'!$E$232:$E$279,'DATOS MODELO'!$A$232:$A$279,"CIMENTACIÓN",'DATOS MODELO'!$B$232:$B$279,"Vigas de conexión",'DATOS MODELO'!$C$232:$C$279,"3/8")*INDEX(PARÁMETROS!$B$93:$B$97,MATCH("3/8",PARÁMETROS!$A$93:$A$97,0))+SUMIFS('DATOS MODELO'!$E$232:$E$279,'DATOS MODELO'!$A$232:$A$279,"CIMENTACIÓN",'DATOS MODELO'!$B$232:$B$279,"Vigas de conexión",'DATOS MODELO'!$C$232:$C$279,"1/2")*INDEX(PARÁMETROS!$B$93:$B$97,MATCH("1/2",PARÁMETROS!$A$93:$A$97,0))+SUMIFS('DATOS MODELO'!$E$232:$E$279,'DATOS MODELO'!$A$232:$A$279,"CIMENTACIÓN",'DATOS MODELO'!$B$232:$B$279,"Vigas de conexión",'DATOS MODELO'!$C$232:$C$279,"5/8")*INDEX(PARÁMETROS!$B$93:$B$97,MATCH("5/8",PARÁMETROS!$A$93:$A$97,0))+SUMIFS('DATOS MODELO'!$E$232:$E$279,'DATOS MODELO'!$A$232:$A$279,"CIMENTACIÓN",'DATOS MODELO'!$B$232:$B$279,"Vigas de conexión",'DATOS MODELO'!$C$232:$C$279,"3/4")*INDEX(PARÁMETROS!$B$93:$B$97,MATCH("3/4",PARÁMETROS!$A$93:$A$97,0))</f>
        <v>1534.9779</v>
      </c>
      <c r="F13" s="23" t="n">
        <v>0</v>
      </c>
      <c r="G13" s="24" t="n">
        <f aca="false">E13*(1+F13)</f>
        <v>1534.9779</v>
      </c>
      <c r="H13" s="5" t="s">
        <v>203</v>
      </c>
      <c r="N13" s="24" t="n">
        <f aca="false">G13*PARÁMETROS!$B$13</f>
        <v>46.049337</v>
      </c>
      <c r="W13" s="20" t="n">
        <f aca="false">SUMIFS('DATOS MODELO'!$D$232:$D$279,'DATOS MODELO'!$A$232:$A$279,"CIMENTACIÓN",'DATOS MODELO'!$B$232:$B$279,"Vigas de conexión")/PARÁMETROS!$B$15</f>
        <v>3.14666666666667</v>
      </c>
      <c r="X13" s="7" t="s">
        <v>204</v>
      </c>
    </row>
    <row r="14" customFormat="false" ht="15" hidden="false" customHeight="false" outlineLevel="0" collapsed="false">
      <c r="A14" s="5" t="s">
        <v>176</v>
      </c>
      <c r="B14" s="5" t="s">
        <v>134</v>
      </c>
      <c r="C14" s="5" t="s">
        <v>73</v>
      </c>
      <c r="D14" s="5" t="s">
        <v>142</v>
      </c>
      <c r="E14" s="24" t="n">
        <f aca="false">SUMIFS('DATOS MODELO'!$E$232:$E$279,'DATOS MODELO'!$A$232:$A$279,"CIMENTACIÓN",'DATOS MODELO'!$B$232:$B$279,"Cimiento de escalera",'DATOS MODELO'!$C$232:$C$279,"1/4")*INDEX(PARÁMETROS!$B$93:$B$97,MATCH("1/4",PARÁMETROS!$A$93:$A$97,0))+SUMIFS('DATOS MODELO'!$E$232:$E$279,'DATOS MODELO'!$A$232:$A$279,"CIMENTACIÓN",'DATOS MODELO'!$B$232:$B$279,"Cimiento de escalera",'DATOS MODELO'!$C$232:$C$279,"3/8")*INDEX(PARÁMETROS!$B$93:$B$97,MATCH("3/8",PARÁMETROS!$A$93:$A$97,0))+SUMIFS('DATOS MODELO'!$E$232:$E$279,'DATOS MODELO'!$A$232:$A$279,"CIMENTACIÓN",'DATOS MODELO'!$B$232:$B$279,"Cimiento de escalera",'DATOS MODELO'!$C$232:$C$279,"1/2")*INDEX(PARÁMETROS!$B$93:$B$97,MATCH("1/2",PARÁMETROS!$A$93:$A$97,0))+SUMIFS('DATOS MODELO'!$E$232:$E$279,'DATOS MODELO'!$A$232:$A$279,"CIMENTACIÓN",'DATOS MODELO'!$B$232:$B$279,"Cimiento de escalera",'DATOS MODELO'!$C$232:$C$279,"5/8")*INDEX(PARÁMETROS!$B$93:$B$97,MATCH("5/8",PARÁMETROS!$A$93:$A$97,0))+SUMIFS('DATOS MODELO'!$E$232:$E$279,'DATOS MODELO'!$A$232:$A$279,"CIMENTACIÓN",'DATOS MODELO'!$B$232:$B$279,"Cimiento de escalera",'DATOS MODELO'!$C$232:$C$279,"3/4")*INDEX(PARÁMETROS!$B$93:$B$97,MATCH("3/4",PARÁMETROS!$A$93:$A$97,0))</f>
        <v>3.6568</v>
      </c>
      <c r="F14" s="23" t="n">
        <v>0</v>
      </c>
      <c r="G14" s="24" t="n">
        <f aca="false">E14*(1+F14)</f>
        <v>3.6568</v>
      </c>
      <c r="H14" s="5" t="s">
        <v>203</v>
      </c>
      <c r="N14" s="24" t="n">
        <f aca="false">G14*PARÁMETROS!$B$13</f>
        <v>0.109704</v>
      </c>
      <c r="W14" s="20" t="n">
        <f aca="false">SUMIFS('DATOS MODELO'!$D$232:$D$279,'DATOS MODELO'!$A$232:$A$279,"CIMENTACIÓN",'DATOS MODELO'!$B$232:$B$279,"Cimiento de escalera")/PARÁMETROS!$B$15</f>
        <v>0.0333333333333333</v>
      </c>
      <c r="X14" s="7" t="s">
        <v>204</v>
      </c>
    </row>
    <row r="15" customFormat="false" ht="15" hidden="false" customHeight="false" outlineLevel="0" collapsed="false">
      <c r="A15" s="5" t="s">
        <v>176</v>
      </c>
      <c r="B15" s="5" t="s">
        <v>163</v>
      </c>
      <c r="C15" s="5" t="s">
        <v>70</v>
      </c>
      <c r="D15" s="5" t="s">
        <v>201</v>
      </c>
      <c r="E15" s="20" t="n">
        <f aca="false">SUMIFS('DATOS MODELO'!$I$5:$I$227,'DATOS MODELO'!$B$5:$B$227,"CIMENTACIÓN",'DATOS MODELO'!$C$5:$C$227,"Zapatas")</f>
        <v>32.8205404586717</v>
      </c>
      <c r="F15" s="23" t="n">
        <v>0</v>
      </c>
      <c r="G15" s="20" t="n">
        <f aca="false">E15*(1+F15)</f>
        <v>32.8205404586717</v>
      </c>
      <c r="H15" s="5" t="s">
        <v>205</v>
      </c>
      <c r="U15" s="20" t="n">
        <f aca="false">G15*PARÁMETROS!$B$16/3.785</f>
        <v>1.73424256056389</v>
      </c>
      <c r="X15" s="7" t="s">
        <v>206</v>
      </c>
    </row>
    <row r="16" customFormat="false" ht="15" hidden="false" customHeight="false" outlineLevel="0" collapsed="false">
      <c r="A16" s="5" t="s">
        <v>176</v>
      </c>
      <c r="B16" s="5" t="s">
        <v>163</v>
      </c>
      <c r="C16" s="5" t="s">
        <v>72</v>
      </c>
      <c r="D16" s="5" t="s">
        <v>201</v>
      </c>
      <c r="E16" s="20" t="n">
        <f aca="false">SUMIFS('DATOS MODELO'!$I$5:$I$227,'DATOS MODELO'!$B$5:$B$227,"CIMENTACIÓN",'DATOS MODELO'!$C$5:$C$227,"Vigas de conexión")+SUMIFS('DATOS MODELO'!$J$5:$J$227,'DATOS MODELO'!$B$5:$B$227,"CIMENTACIÓN",'DATOS MODELO'!$C$5:$C$227,"Vigas de conexión")</f>
        <v>52.5852459630594</v>
      </c>
      <c r="F16" s="23" t="n">
        <v>0</v>
      </c>
      <c r="G16" s="20" t="n">
        <f aca="false">E16*(1+F16)</f>
        <v>52.5852459630594</v>
      </c>
      <c r="H16" s="5" t="s">
        <v>205</v>
      </c>
      <c r="U16" s="20" t="n">
        <f aca="false">G16*PARÁMETROS!$B$16/3.785</f>
        <v>2.77861273252625</v>
      </c>
      <c r="X16" s="7"/>
    </row>
    <row r="17" customFormat="false" ht="15" hidden="false" customHeight="false" outlineLevel="0" collapsed="false">
      <c r="A17" s="5" t="s">
        <v>176</v>
      </c>
      <c r="B17" s="5" t="s">
        <v>163</v>
      </c>
      <c r="C17" s="5" t="s">
        <v>73</v>
      </c>
      <c r="D17" s="5" t="s">
        <v>201</v>
      </c>
      <c r="E17" s="20" t="n">
        <f aca="false">SUMIFS('DATOS MODELO'!$I$5:$I$227,'DATOS MODELO'!$B$5:$B$227,"CIMENTACIÓN",'DATOS MODELO'!$C$5:$C$227,"Cimiento de escalera")+SUMIFS('DATOS MODELO'!$J$5:$J$227,'DATOS MODELO'!$B$5:$B$227,"CIMENTACIÓN",'DATOS MODELO'!$C$5:$C$227,"Cimiento de escalera")</f>
        <v>3.24865713084728</v>
      </c>
      <c r="F17" s="23" t="n">
        <v>0</v>
      </c>
      <c r="G17" s="20" t="n">
        <f aca="false">E17*(1+F17)</f>
        <v>3.24865713084728</v>
      </c>
      <c r="H17" s="5" t="s">
        <v>205</v>
      </c>
      <c r="U17" s="20" t="n">
        <f aca="false">G17*PARÁMETROS!$B$16/3.785</f>
        <v>0.171659557772643</v>
      </c>
      <c r="X17" s="7"/>
    </row>
    <row r="18" customFormat="false" ht="15" hidden="false" customHeight="false" outlineLevel="0" collapsed="false">
      <c r="A18" s="26" t="s">
        <v>207</v>
      </c>
      <c r="B18" s="27"/>
      <c r="C18" s="27"/>
      <c r="D18" s="27"/>
      <c r="E18" s="27"/>
      <c r="F18" s="27"/>
      <c r="G18" s="27"/>
      <c r="H18" s="27"/>
      <c r="I18" s="28" t="n">
        <f aca="false">SUM(I6:I17)</f>
        <v>335.462241685748</v>
      </c>
      <c r="J18" s="28" t="n">
        <f aca="false">SUM(J6:J17)</f>
        <v>19.6314607507286</v>
      </c>
      <c r="K18" s="28" t="n">
        <f aca="false">SUM(K6:K17)</f>
        <v>20.6685498959349</v>
      </c>
      <c r="L18" s="28" t="n">
        <f aca="false">SUM(L6:L17)</f>
        <v>6.91147635083752</v>
      </c>
      <c r="M18" s="28" t="n">
        <f aca="false">SUM(M6:M17)</f>
        <v>0</v>
      </c>
      <c r="N18" s="28" t="n">
        <f aca="false">SUM(N6:N17)</f>
        <v>71.7188277</v>
      </c>
      <c r="O18" s="28" t="n">
        <f aca="false">SUM(O6:O17)</f>
        <v>37.6216600315403</v>
      </c>
      <c r="P18" s="28" t="n">
        <f aca="false">SUM(P6:P17)</f>
        <v>0</v>
      </c>
      <c r="Q18" s="28" t="n">
        <f aca="false">SUM(Q6:Q17)</f>
        <v>6.44942743397834</v>
      </c>
      <c r="R18" s="28" t="n">
        <f aca="false">SUM(R6:R17)</f>
        <v>8.59923657863779</v>
      </c>
      <c r="S18" s="28" t="n">
        <f aca="false">SUM(S6:S17)</f>
        <v>0</v>
      </c>
      <c r="T18" s="28" t="n">
        <f aca="false">SUM(T6:T17)</f>
        <v>0.908770047940585</v>
      </c>
      <c r="U18" s="28" t="n">
        <f aca="false">SUM(U6:U17)</f>
        <v>4.68451485086279</v>
      </c>
      <c r="V18" s="28" t="n">
        <f aca="false">SUM(V6:V17)</f>
        <v>211.992365786378</v>
      </c>
      <c r="W18" s="28" t="n">
        <f aca="false">SUM(W6:W17)</f>
        <v>5.02</v>
      </c>
      <c r="X18" s="27"/>
    </row>
    <row r="19" customFormat="false" ht="15" hidden="false" customHeight="false" outlineLevel="0" collapsed="false">
      <c r="B19" s="29" t="s">
        <v>208</v>
      </c>
      <c r="D19" s="30" t="s">
        <v>120</v>
      </c>
      <c r="G19" s="31" t="n">
        <f aca="false">SUMIFS(G6:G17,B6:B17,"Concreto")</f>
        <v>37.2883295206318</v>
      </c>
    </row>
    <row r="20" customFormat="false" ht="15" hidden="false" customHeight="false" outlineLevel="0" collapsed="false">
      <c r="B20" s="29" t="s">
        <v>209</v>
      </c>
      <c r="D20" s="30" t="s">
        <v>201</v>
      </c>
      <c r="G20" s="31" t="n">
        <f aca="false">SUMIFS(G6:G17,B6:B17,"Encofrado")</f>
        <v>42.9961828931889</v>
      </c>
    </row>
    <row r="21" customFormat="false" ht="15" hidden="false" customHeight="false" outlineLevel="0" collapsed="false">
      <c r="B21" s="29" t="s">
        <v>210</v>
      </c>
      <c r="D21" s="30" t="s">
        <v>142</v>
      </c>
      <c r="G21" s="31" t="n">
        <f aca="false">SUMIFS(G6:G17,B6:B17,"Acero")</f>
        <v>2390.62759</v>
      </c>
    </row>
    <row r="22" customFormat="false" ht="15" hidden="false" customHeight="false" outlineLevel="0" collapsed="false">
      <c r="B22" s="29" t="s">
        <v>211</v>
      </c>
      <c r="D22" s="30" t="s">
        <v>201</v>
      </c>
      <c r="G22" s="31" t="n">
        <f aca="false">SUMIFS(G6:G17,B6:B17,"Curado")</f>
        <v>88.6544435525783</v>
      </c>
    </row>
    <row r="24" customFormat="false" ht="15" hidden="false" customHeight="false" outlineLevel="0" collapsed="false">
      <c r="A24" s="18" t="s">
        <v>212</v>
      </c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</row>
    <row r="25" customFormat="false" ht="42" hidden="false" customHeight="true" outlineLevel="0" collapsed="false">
      <c r="A25" s="4" t="s">
        <v>177</v>
      </c>
      <c r="B25" s="4" t="s">
        <v>178</v>
      </c>
      <c r="C25" s="4" t="s">
        <v>68</v>
      </c>
      <c r="D25" s="4" t="s">
        <v>5</v>
      </c>
      <c r="E25" s="4" t="s">
        <v>179</v>
      </c>
      <c r="F25" s="4" t="s">
        <v>180</v>
      </c>
      <c r="G25" s="4" t="s">
        <v>181</v>
      </c>
      <c r="H25" s="4" t="s">
        <v>182</v>
      </c>
      <c r="I25" s="4" t="s">
        <v>183</v>
      </c>
      <c r="J25" s="4" t="s">
        <v>184</v>
      </c>
      <c r="K25" s="4" t="s">
        <v>185</v>
      </c>
      <c r="L25" s="4" t="s">
        <v>186</v>
      </c>
      <c r="M25" s="4" t="s">
        <v>187</v>
      </c>
      <c r="N25" s="4" t="s">
        <v>188</v>
      </c>
      <c r="O25" s="4" t="s">
        <v>189</v>
      </c>
      <c r="P25" s="4" t="s">
        <v>190</v>
      </c>
      <c r="Q25" s="4" t="s">
        <v>191</v>
      </c>
      <c r="R25" s="4" t="s">
        <v>192</v>
      </c>
      <c r="S25" s="4" t="s">
        <v>193</v>
      </c>
      <c r="T25" s="4" t="s">
        <v>194</v>
      </c>
      <c r="U25" s="4" t="s">
        <v>195</v>
      </c>
      <c r="V25" s="4" t="s">
        <v>196</v>
      </c>
      <c r="W25" s="4" t="s">
        <v>197</v>
      </c>
      <c r="X25" s="4" t="s">
        <v>198</v>
      </c>
    </row>
    <row r="26" customFormat="false" ht="15" hidden="false" customHeight="false" outlineLevel="0" collapsed="false">
      <c r="A26" s="5" t="s">
        <v>212</v>
      </c>
      <c r="B26" s="5" t="s">
        <v>117</v>
      </c>
      <c r="C26" s="5" t="s">
        <v>74</v>
      </c>
      <c r="D26" s="5" t="s">
        <v>120</v>
      </c>
      <c r="E26" s="20" t="n">
        <f aca="false">SUMIFS('DATOS MODELO'!$F$5:$F$227,'DATOS MODELO'!$B$5:$B$227,"NIVEL 1",'DATOS MODELO'!$C$5:$C$227,"Columnas")</f>
        <v>4.1939951006777</v>
      </c>
      <c r="F26" s="21" t="n">
        <f aca="false">PARÁMETROS!$B$8</f>
        <v>0.05</v>
      </c>
      <c r="G26" s="20" t="n">
        <f aca="false">E26*(1+F26)</f>
        <v>4.40369485571158</v>
      </c>
      <c r="H26" s="22" t="n">
        <f aca="false">INDEX(PARÁMETROS!$B$37:$B$45,MATCH(C26,PARÁMETROS!$A$37:$A$45,0))</f>
        <v>210</v>
      </c>
      <c r="I26" s="20" t="n">
        <f aca="false">G26*INDEX(PARÁMETROS!$B$49:$B$54,MATCH(H26,PARÁMETROS!$A$49:$A$54,0))</f>
        <v>42.8479509460737</v>
      </c>
      <c r="J26" s="20" t="n">
        <f aca="false">G26*INDEX(PARÁMETROS!$C$49:$C$54,MATCH(H26,PARÁMETROS!$A$49:$A$54,0))</f>
        <v>2.28992132497002</v>
      </c>
      <c r="K26" s="20" t="n">
        <f aca="false">G26*INDEX(PARÁMETROS!$D$49:$D$54,MATCH(H26,PARÁMETROS!$A$49:$A$54,0))</f>
        <v>2.33395827352714</v>
      </c>
      <c r="L26" s="20" t="n">
        <f aca="false">G26*INDEX(PARÁMETROS!$E$49:$E$54,MATCH(H26,PARÁMETROS!$A$49:$A$54,0))/1000</f>
        <v>0.819087243162354</v>
      </c>
      <c r="X26" s="7" t="s">
        <v>213</v>
      </c>
    </row>
    <row r="27" customFormat="false" ht="15" hidden="false" customHeight="false" outlineLevel="0" collapsed="false">
      <c r="A27" s="5" t="s">
        <v>212</v>
      </c>
      <c r="B27" s="5" t="s">
        <v>117</v>
      </c>
      <c r="C27" s="5" t="s">
        <v>78</v>
      </c>
      <c r="D27" s="5" t="s">
        <v>120</v>
      </c>
      <c r="E27" s="20" t="n">
        <f aca="false">SUMIFS('DATOS MODELO'!$F$5:$F$227,'DATOS MODELO'!$B$5:$B$227,"NIVEL 1",'DATOS MODELO'!$C$5:$C$227,"Falso piso")</f>
        <v>9.05257446956299</v>
      </c>
      <c r="F27" s="21" t="n">
        <f aca="false">PARÁMETROS!$B$8</f>
        <v>0.05</v>
      </c>
      <c r="G27" s="20" t="n">
        <f aca="false">E27*(1+F27)</f>
        <v>9.50520319304114</v>
      </c>
      <c r="H27" s="22" t="n">
        <f aca="false">INDEX(PARÁMETROS!$B$37:$B$45,MATCH(C27,PARÁMETROS!$A$37:$A$45,0))</f>
        <v>175</v>
      </c>
      <c r="I27" s="20" t="n">
        <f aca="false">G27*INDEX(PARÁMETROS!$B$49:$B$54,MATCH(H27,PARÁMETROS!$A$49:$A$54,0))</f>
        <v>80.1288629173368</v>
      </c>
      <c r="J27" s="20" t="n">
        <f aca="false">G27*INDEX(PARÁMETROS!$C$49:$C$54,MATCH(H27,PARÁMETROS!$A$49:$A$54,0))</f>
        <v>5.13280972424222</v>
      </c>
      <c r="K27" s="20" t="n">
        <f aca="false">G27*INDEX(PARÁMETROS!$D$49:$D$54,MATCH(H27,PARÁMETROS!$A$49:$A$54,0))</f>
        <v>5.22786175617263</v>
      </c>
      <c r="L27" s="20" t="n">
        <f aca="false">G27*INDEX(PARÁMETROS!$E$49:$E$54,MATCH(H27,PARÁMETROS!$A$49:$A$54,0))/1000</f>
        <v>1.75846259071261</v>
      </c>
      <c r="X27" s="7" t="s">
        <v>214</v>
      </c>
    </row>
    <row r="28" customFormat="false" ht="15" hidden="false" customHeight="false" outlineLevel="0" collapsed="false">
      <c r="A28" s="5" t="s">
        <v>212</v>
      </c>
      <c r="B28" s="5" t="s">
        <v>151</v>
      </c>
      <c r="C28" s="5" t="s">
        <v>74</v>
      </c>
      <c r="D28" s="5" t="s">
        <v>201</v>
      </c>
      <c r="E28" s="20" t="n">
        <f aca="false">SUMIFS('DATOS MODELO'!$G$5:$G$227,'DATOS MODELO'!$B$5:$B$227,"NIVEL 1",'DATOS MODELO'!$C$5:$C$227,"Columnas")</f>
        <v>34.6920846236074</v>
      </c>
      <c r="F28" s="23" t="n">
        <v>0</v>
      </c>
      <c r="G28" s="20" t="n">
        <f aca="false">E28*(1+F28)</f>
        <v>34.6920846236074</v>
      </c>
      <c r="H28" s="5" t="s">
        <v>74</v>
      </c>
      <c r="O28" s="24" t="n">
        <f aca="false">G28*INDEX(PARÁMETROS!$B$58:$B$66,MATCH(H28,PARÁMETROS!$A$58:$A$66,0))/PARÁMETROS!$B$10</f>
        <v>26.0190634677055</v>
      </c>
      <c r="P28" s="20" t="n">
        <f aca="false">G28*INDEX(PARÁMETROS!$C$58:$C$66,MATCH(H28,PARÁMETROS!$A$58:$A$66,0))/PARÁMETROS!$B$11</f>
        <v>7.28533777095754</v>
      </c>
      <c r="Q28" s="20" t="n">
        <f aca="false">G28*INDEX(PARÁMETROS!$D$58:$D$66,MATCH(H28,PARÁMETROS!$A$58:$A$66,0))</f>
        <v>5.2038126935411</v>
      </c>
      <c r="R28" s="20" t="n">
        <f aca="false">G28*INDEX(PARÁMETROS!$E$58:$E$66,MATCH(H28,PARÁMETROS!$A$58:$A$66,0))</f>
        <v>8.67302115590184</v>
      </c>
      <c r="S28" s="24" t="n">
        <f aca="false">G28*INDEX(PARÁMETROS!$F$58:$F$66,MATCH(H28,PARÁMETROS!$A$58:$A$66,0))/PARÁMETROS!$B$12</f>
        <v>0</v>
      </c>
      <c r="T28" s="20" t="n">
        <f aca="false">G28*PARÁMETROS!$B$17/3.785</f>
        <v>0.733254100366866</v>
      </c>
      <c r="V28" s="25" t="n">
        <f aca="false">G28*INDEX(PARÁMETROS!$G$58:$G$66,MATCH(H28,PARÁMETROS!$A$58:$A$66,0))</f>
        <v>69.3841692472147</v>
      </c>
      <c r="X28" s="7"/>
    </row>
    <row r="29" customFormat="false" ht="15" hidden="false" customHeight="false" outlineLevel="0" collapsed="false">
      <c r="A29" s="5" t="s">
        <v>212</v>
      </c>
      <c r="B29" s="5" t="s">
        <v>134</v>
      </c>
      <c r="C29" s="5" t="s">
        <v>74</v>
      </c>
      <c r="D29" s="5" t="s">
        <v>142</v>
      </c>
      <c r="E29" s="24" t="n">
        <f aca="false">SUMIFS('DATOS MODELO'!$E$232:$E$279,'DATOS MODELO'!$A$232:$A$279,"NIVEL 1",'DATOS MODELO'!$B$232:$B$279,"Columnas",'DATOS MODELO'!$C$232:$C$279,"1/4")*INDEX(PARÁMETROS!$B$93:$B$97,MATCH("1/4",PARÁMETROS!$A$93:$A$97,0))+SUMIFS('DATOS MODELO'!$E$232:$E$279,'DATOS MODELO'!$A$232:$A$279,"NIVEL 1",'DATOS MODELO'!$B$232:$B$279,"Columnas",'DATOS MODELO'!$C$232:$C$279,"3/8")*INDEX(PARÁMETROS!$B$93:$B$97,MATCH("3/8",PARÁMETROS!$A$93:$A$97,0))+SUMIFS('DATOS MODELO'!$E$232:$E$279,'DATOS MODELO'!$A$232:$A$279,"NIVEL 1",'DATOS MODELO'!$B$232:$B$279,"Columnas",'DATOS MODELO'!$C$232:$C$279,"1/2")*INDEX(PARÁMETROS!$B$93:$B$97,MATCH("1/2",PARÁMETROS!$A$93:$A$97,0))+SUMIFS('DATOS MODELO'!$E$232:$E$279,'DATOS MODELO'!$A$232:$A$279,"NIVEL 1",'DATOS MODELO'!$B$232:$B$279,"Columnas",'DATOS MODELO'!$C$232:$C$279,"5/8")*INDEX(PARÁMETROS!$B$93:$B$97,MATCH("5/8",PARÁMETROS!$A$93:$A$97,0))+SUMIFS('DATOS MODELO'!$E$232:$E$279,'DATOS MODELO'!$A$232:$A$279,"NIVEL 1",'DATOS MODELO'!$B$232:$B$279,"Columnas",'DATOS MODELO'!$C$232:$C$279,"3/4")*INDEX(PARÁMETROS!$B$93:$B$97,MATCH("3/4",PARÁMETROS!$A$93:$A$97,0))</f>
        <v>1285.498628</v>
      </c>
      <c r="F29" s="23" t="n">
        <v>0</v>
      </c>
      <c r="G29" s="24" t="n">
        <f aca="false">E29*(1+F29)</f>
        <v>1285.498628</v>
      </c>
      <c r="H29" s="5" t="s">
        <v>203</v>
      </c>
      <c r="N29" s="24" t="n">
        <f aca="false">G29*PARÁMETROS!$B$13</f>
        <v>38.56495884</v>
      </c>
      <c r="W29" s="20" t="n">
        <f aca="false">SUMIFS('DATOS MODELO'!$D$232:$D$279,'DATOS MODELO'!$A$232:$A$279,"NIVEL 1",'DATOS MODELO'!$B$232:$B$279,"Columnas")/PARÁMETROS!$B$15</f>
        <v>6.12</v>
      </c>
      <c r="X29" s="7" t="s">
        <v>204</v>
      </c>
    </row>
    <row r="30" customFormat="false" ht="15" hidden="false" customHeight="false" outlineLevel="0" collapsed="false">
      <c r="A30" s="5" t="s">
        <v>212</v>
      </c>
      <c r="B30" s="5" t="s">
        <v>163</v>
      </c>
      <c r="C30" s="5" t="s">
        <v>74</v>
      </c>
      <c r="D30" s="5" t="s">
        <v>201</v>
      </c>
      <c r="E30" s="20" t="n">
        <f aca="false">SUMIFS('DATOS MODELO'!$J$5:$J$227,'DATOS MODELO'!$B$5:$B$227,"NIVEL 1",'DATOS MODELO'!$C$5:$C$227,"Columnas")</f>
        <v>34.6920846236074</v>
      </c>
      <c r="F30" s="23" t="n">
        <v>0</v>
      </c>
      <c r="G30" s="20" t="n">
        <f aca="false">E30*(1+F30)</f>
        <v>34.6920846236074</v>
      </c>
      <c r="H30" s="5" t="s">
        <v>205</v>
      </c>
      <c r="U30" s="20" t="n">
        <f aca="false">G30*PARÁMETROS!$B$16/3.785</f>
        <v>1.83313525091717</v>
      </c>
      <c r="X30" s="7"/>
    </row>
    <row r="31" customFormat="false" ht="15" hidden="false" customHeight="false" outlineLevel="0" collapsed="false">
      <c r="A31" s="5" t="s">
        <v>212</v>
      </c>
      <c r="B31" s="5" t="s">
        <v>163</v>
      </c>
      <c r="C31" s="5" t="s">
        <v>78</v>
      </c>
      <c r="D31" s="5" t="s">
        <v>201</v>
      </c>
      <c r="E31" s="20" t="n">
        <f aca="false">SUMIFS('DATOS MODELO'!$I$5:$I$227,'DATOS MODELO'!$B$5:$B$227,"NIVEL 1",'DATOS MODELO'!$C$5:$C$227,"Falso piso")</f>
        <v>87.3208319500451</v>
      </c>
      <c r="F31" s="23" t="n">
        <v>0</v>
      </c>
      <c r="G31" s="20" t="n">
        <f aca="false">E31*(1+F31)</f>
        <v>87.3208319500451</v>
      </c>
      <c r="H31" s="5" t="s">
        <v>205</v>
      </c>
      <c r="U31" s="20" t="n">
        <f aca="false">G31*PARÁMETROS!$B$16/3.785</f>
        <v>4.61404660238019</v>
      </c>
      <c r="X31" s="7"/>
    </row>
    <row r="32" customFormat="false" ht="15" hidden="false" customHeight="false" outlineLevel="0" collapsed="false">
      <c r="A32" s="26" t="s">
        <v>215</v>
      </c>
      <c r="B32" s="27"/>
      <c r="C32" s="27"/>
      <c r="D32" s="27"/>
      <c r="E32" s="27"/>
      <c r="F32" s="27"/>
      <c r="G32" s="27"/>
      <c r="H32" s="27"/>
      <c r="I32" s="28" t="n">
        <f aca="false">SUM(I26:I31)</f>
        <v>122.976813863411</v>
      </c>
      <c r="J32" s="28" t="n">
        <f aca="false">SUM(J26:J31)</f>
        <v>7.42273104921224</v>
      </c>
      <c r="K32" s="28" t="n">
        <f aca="false">SUM(K26:K31)</f>
        <v>7.56182002969977</v>
      </c>
      <c r="L32" s="28" t="n">
        <f aca="false">SUM(L26:L31)</f>
        <v>2.57754983387497</v>
      </c>
      <c r="M32" s="28" t="n">
        <f aca="false">SUM(M26:M31)</f>
        <v>0</v>
      </c>
      <c r="N32" s="28" t="n">
        <f aca="false">SUM(N26:N31)</f>
        <v>38.56495884</v>
      </c>
      <c r="O32" s="28" t="n">
        <f aca="false">SUM(O26:O31)</f>
        <v>26.0190634677055</v>
      </c>
      <c r="P32" s="28" t="n">
        <f aca="false">SUM(P26:P31)</f>
        <v>7.28533777095754</v>
      </c>
      <c r="Q32" s="28" t="n">
        <f aca="false">SUM(Q26:Q31)</f>
        <v>5.2038126935411</v>
      </c>
      <c r="R32" s="28" t="n">
        <f aca="false">SUM(R26:R31)</f>
        <v>8.67302115590184</v>
      </c>
      <c r="S32" s="28" t="n">
        <f aca="false">SUM(S26:S31)</f>
        <v>0</v>
      </c>
      <c r="T32" s="28" t="n">
        <f aca="false">SUM(T26:T31)</f>
        <v>0.733254100366866</v>
      </c>
      <c r="U32" s="28" t="n">
        <f aca="false">SUM(U26:U31)</f>
        <v>6.44718185329735</v>
      </c>
      <c r="V32" s="28" t="n">
        <f aca="false">SUM(V26:V31)</f>
        <v>69.3841692472147</v>
      </c>
      <c r="W32" s="28" t="n">
        <f aca="false">SUM(W26:W31)</f>
        <v>6.12</v>
      </c>
      <c r="X32" s="27"/>
    </row>
    <row r="33" customFormat="false" ht="15" hidden="false" customHeight="false" outlineLevel="0" collapsed="false">
      <c r="B33" s="29" t="s">
        <v>208</v>
      </c>
      <c r="D33" s="30" t="s">
        <v>120</v>
      </c>
      <c r="G33" s="31" t="n">
        <f aca="false">SUMIFS(G26:G31,B26:B31,"Concreto")</f>
        <v>13.9088980487527</v>
      </c>
    </row>
    <row r="34" customFormat="false" ht="15" hidden="false" customHeight="false" outlineLevel="0" collapsed="false">
      <c r="B34" s="29" t="s">
        <v>209</v>
      </c>
      <c r="D34" s="30" t="s">
        <v>201</v>
      </c>
      <c r="G34" s="31" t="n">
        <f aca="false">SUMIFS(G26:G31,B26:B31,"Encofrado")</f>
        <v>34.6920846236074</v>
      </c>
    </row>
    <row r="35" customFormat="false" ht="15" hidden="false" customHeight="false" outlineLevel="0" collapsed="false">
      <c r="B35" s="29" t="s">
        <v>210</v>
      </c>
      <c r="D35" s="30" t="s">
        <v>142</v>
      </c>
      <c r="G35" s="31" t="n">
        <f aca="false">SUMIFS(G26:G31,B26:B31,"Acero")</f>
        <v>1285.498628</v>
      </c>
    </row>
    <row r="36" customFormat="false" ht="15" hidden="false" customHeight="false" outlineLevel="0" collapsed="false">
      <c r="B36" s="29" t="s">
        <v>211</v>
      </c>
      <c r="D36" s="30" t="s">
        <v>201</v>
      </c>
      <c r="G36" s="31" t="n">
        <f aca="false">SUMIFS(G26:G31,B26:B31,"Curado")</f>
        <v>122.012916573652</v>
      </c>
    </row>
    <row r="38" customFormat="false" ht="15" hidden="false" customHeight="false" outlineLevel="0" collapsed="false">
      <c r="A38" s="18" t="s">
        <v>216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</row>
    <row r="39" customFormat="false" ht="42" hidden="false" customHeight="true" outlineLevel="0" collapsed="false">
      <c r="A39" s="4" t="s">
        <v>177</v>
      </c>
      <c r="B39" s="4" t="s">
        <v>178</v>
      </c>
      <c r="C39" s="4" t="s">
        <v>68</v>
      </c>
      <c r="D39" s="4" t="s">
        <v>5</v>
      </c>
      <c r="E39" s="4" t="s">
        <v>179</v>
      </c>
      <c r="F39" s="4" t="s">
        <v>180</v>
      </c>
      <c r="G39" s="4" t="s">
        <v>181</v>
      </c>
      <c r="H39" s="4" t="s">
        <v>182</v>
      </c>
      <c r="I39" s="4" t="s">
        <v>183</v>
      </c>
      <c r="J39" s="4" t="s">
        <v>184</v>
      </c>
      <c r="K39" s="4" t="s">
        <v>185</v>
      </c>
      <c r="L39" s="4" t="s">
        <v>186</v>
      </c>
      <c r="M39" s="4" t="s">
        <v>187</v>
      </c>
      <c r="N39" s="4" t="s">
        <v>188</v>
      </c>
      <c r="O39" s="4" t="s">
        <v>189</v>
      </c>
      <c r="P39" s="4" t="s">
        <v>190</v>
      </c>
      <c r="Q39" s="4" t="s">
        <v>191</v>
      </c>
      <c r="R39" s="4" t="s">
        <v>192</v>
      </c>
      <c r="S39" s="4" t="s">
        <v>193</v>
      </c>
      <c r="T39" s="4" t="s">
        <v>194</v>
      </c>
      <c r="U39" s="4" t="s">
        <v>195</v>
      </c>
      <c r="V39" s="4" t="s">
        <v>196</v>
      </c>
      <c r="W39" s="4" t="s">
        <v>197</v>
      </c>
      <c r="X39" s="4" t="s">
        <v>198</v>
      </c>
    </row>
    <row r="40" customFormat="false" ht="15" hidden="false" customHeight="false" outlineLevel="0" collapsed="false">
      <c r="A40" s="5" t="s">
        <v>216</v>
      </c>
      <c r="B40" s="5" t="s">
        <v>117</v>
      </c>
      <c r="C40" s="5" t="s">
        <v>74</v>
      </c>
      <c r="D40" s="5" t="s">
        <v>120</v>
      </c>
      <c r="E40" s="20" t="n">
        <f aca="false">SUMIFS('DATOS MODELO'!$F$5:$F$227,'DATOS MODELO'!$B$5:$B$227,"NIVEL 2",'DATOS MODELO'!$C$5:$C$227,"Columnas")</f>
        <v>8.9459893398302</v>
      </c>
      <c r="F40" s="21" t="n">
        <f aca="false">PARÁMETROS!$B$8</f>
        <v>0.05</v>
      </c>
      <c r="G40" s="20" t="n">
        <f aca="false">E40*(1+F40)</f>
        <v>9.39328880682171</v>
      </c>
      <c r="H40" s="22" t="n">
        <f aca="false">INDEX(PARÁMETROS!$B$37:$B$45,MATCH(C40,PARÁMETROS!$A$37:$A$45,0))</f>
        <v>210</v>
      </c>
      <c r="I40" s="20" t="n">
        <f aca="false">G40*INDEX(PARÁMETROS!$B$49:$B$54,MATCH(H40,PARÁMETROS!$A$49:$A$54,0))</f>
        <v>91.3967000903753</v>
      </c>
      <c r="J40" s="20" t="n">
        <f aca="false">G40*INDEX(PARÁMETROS!$C$49:$C$54,MATCH(H40,PARÁMETROS!$A$49:$A$54,0))</f>
        <v>4.88451017954729</v>
      </c>
      <c r="K40" s="20" t="n">
        <f aca="false">G40*INDEX(PARÁMETROS!$D$49:$D$54,MATCH(H40,PARÁMETROS!$A$49:$A$54,0))</f>
        <v>4.97844306761551</v>
      </c>
      <c r="L40" s="20" t="n">
        <f aca="false">G40*INDEX(PARÁMETROS!$E$49:$E$54,MATCH(H40,PARÁMETROS!$A$49:$A$54,0))/1000</f>
        <v>1.74715171806884</v>
      </c>
      <c r="X40" s="7"/>
    </row>
    <row r="41" customFormat="false" ht="15" hidden="false" customHeight="false" outlineLevel="0" collapsed="false">
      <c r="A41" s="5" t="s">
        <v>216</v>
      </c>
      <c r="B41" s="5" t="s">
        <v>117</v>
      </c>
      <c r="C41" s="5" t="s">
        <v>75</v>
      </c>
      <c r="D41" s="5" t="s">
        <v>120</v>
      </c>
      <c r="E41" s="20" t="n">
        <f aca="false">SUMIFS('DATOS MODELO'!$F$5:$F$227,'DATOS MODELO'!$B$5:$B$227,"NIVEL 2",'DATOS MODELO'!$C$5:$C$227,"Vigas")</f>
        <v>6.18532091531783</v>
      </c>
      <c r="F41" s="21" t="n">
        <f aca="false">PARÁMETROS!$B$8</f>
        <v>0.05</v>
      </c>
      <c r="G41" s="20" t="n">
        <f aca="false">E41*(1+F41)</f>
        <v>6.49458696108372</v>
      </c>
      <c r="H41" s="22" t="n">
        <f aca="false">INDEX(PARÁMETROS!$B$37:$B$45,MATCH(C41,PARÁMETROS!$A$37:$A$45,0))</f>
        <v>210</v>
      </c>
      <c r="I41" s="20" t="n">
        <f aca="false">G41*INDEX(PARÁMETROS!$B$49:$B$54,MATCH(H41,PARÁMETROS!$A$49:$A$54,0))</f>
        <v>63.1923311313446</v>
      </c>
      <c r="J41" s="20" t="n">
        <f aca="false">G41*INDEX(PARÁMETROS!$C$49:$C$54,MATCH(H41,PARÁMETROS!$A$49:$A$54,0))</f>
        <v>3.37718521976354</v>
      </c>
      <c r="K41" s="20" t="n">
        <f aca="false">G41*INDEX(PARÁMETROS!$D$49:$D$54,MATCH(H41,PARÁMETROS!$A$49:$A$54,0))</f>
        <v>3.44213108937437</v>
      </c>
      <c r="L41" s="20" t="n">
        <f aca="false">G41*INDEX(PARÁMETROS!$E$49:$E$54,MATCH(H41,PARÁMETROS!$A$49:$A$54,0))/1000</f>
        <v>1.20799317476157</v>
      </c>
      <c r="X41" s="7" t="s">
        <v>217</v>
      </c>
    </row>
    <row r="42" customFormat="false" ht="15" hidden="false" customHeight="false" outlineLevel="0" collapsed="false">
      <c r="A42" s="5" t="s">
        <v>216</v>
      </c>
      <c r="B42" s="5" t="s">
        <v>117</v>
      </c>
      <c r="C42" s="5" t="s">
        <v>76</v>
      </c>
      <c r="D42" s="5" t="s">
        <v>120</v>
      </c>
      <c r="E42" s="20" t="n">
        <f aca="false">SUMIFS('DATOS MODELO'!$L$5:$L$227,'DATOS MODELO'!$B$5:$B$227,"NIVEL 2",'DATOS MODELO'!$C$5:$C$227,"Losa aligerada")*PARÁMETROS!$B$32+(SUMIFS('DATOS MODELO'!$K$5:$K$227,'DATOS MODELO'!$B$5:$B$227,"NIVEL 2",'DATOS MODELO'!$C$5:$C$227,"Losa aligerada")-SUMIFS('DATOS MODELO'!$L$5:$L$227,'DATOS MODELO'!$B$5:$B$227,"NIVEL 2",'DATOS MODELO'!$C$5:$C$227,"Losa aligerada"))*PARÁMETROS!$B$26</f>
        <v>10.65635</v>
      </c>
      <c r="F42" s="21" t="n">
        <f aca="false">PARÁMETROS!$B$8</f>
        <v>0.05</v>
      </c>
      <c r="G42" s="20" t="n">
        <f aca="false">E42*(1+F42)</f>
        <v>11.1891675</v>
      </c>
      <c r="H42" s="22" t="n">
        <f aca="false">INDEX(PARÁMETROS!$B$37:$B$45,MATCH(C42,PARÁMETROS!$A$37:$A$45,0))</f>
        <v>210</v>
      </c>
      <c r="I42" s="20" t="n">
        <f aca="false">G42*INDEX(PARÁMETROS!$B$49:$B$54,MATCH(H42,PARÁMETROS!$A$49:$A$54,0))</f>
        <v>108.870599775</v>
      </c>
      <c r="J42" s="20" t="n">
        <f aca="false">G42*INDEX(PARÁMETROS!$C$49:$C$54,MATCH(H42,PARÁMETROS!$A$49:$A$54,0))</f>
        <v>5.8183671</v>
      </c>
      <c r="K42" s="20" t="n">
        <f aca="false">G42*INDEX(PARÁMETROS!$D$49:$D$54,MATCH(H42,PARÁMETROS!$A$49:$A$54,0))</f>
        <v>5.930258775</v>
      </c>
      <c r="L42" s="20" t="n">
        <f aca="false">G42*INDEX(PARÁMETROS!$E$49:$E$54,MATCH(H42,PARÁMETROS!$A$49:$A$54,0))/1000</f>
        <v>2.081185155</v>
      </c>
      <c r="X42" s="7" t="s">
        <v>218</v>
      </c>
    </row>
    <row r="43" customFormat="false" ht="15" hidden="false" customHeight="false" outlineLevel="0" collapsed="false">
      <c r="A43" s="5" t="s">
        <v>216</v>
      </c>
      <c r="B43" s="5" t="s">
        <v>117</v>
      </c>
      <c r="C43" s="5" t="s">
        <v>77</v>
      </c>
      <c r="D43" s="5" t="s">
        <v>120</v>
      </c>
      <c r="E43" s="20" t="n">
        <f aca="false">SUMIFS('DATOS MODELO'!$F$5:$F$227,'DATOS MODELO'!$B$5:$B$227,"NIVEL 2",'DATOS MODELO'!$C$5:$C$227,"Escalera")</f>
        <v>2.42271454890467</v>
      </c>
      <c r="F43" s="21" t="n">
        <f aca="false">PARÁMETROS!$B$8</f>
        <v>0.05</v>
      </c>
      <c r="G43" s="20" t="n">
        <f aca="false">E43*(1+F43)</f>
        <v>2.5438502763499</v>
      </c>
      <c r="H43" s="22" t="n">
        <f aca="false">INDEX(PARÁMETROS!$B$37:$B$45,MATCH(C43,PARÁMETROS!$A$37:$A$45,0))</f>
        <v>210</v>
      </c>
      <c r="I43" s="20" t="n">
        <f aca="false">G43*INDEX(PARÁMETROS!$B$49:$B$54,MATCH(H43,PARÁMETROS!$A$49:$A$54,0))</f>
        <v>24.7516631888846</v>
      </c>
      <c r="J43" s="20" t="n">
        <f aca="false">G43*INDEX(PARÁMETROS!$C$49:$C$54,MATCH(H43,PARÁMETROS!$A$49:$A$54,0))</f>
        <v>1.32280214370195</v>
      </c>
      <c r="K43" s="20" t="n">
        <f aca="false">G43*INDEX(PARÁMETROS!$D$49:$D$54,MATCH(H43,PARÁMETROS!$A$49:$A$54,0))</f>
        <v>1.34824064646545</v>
      </c>
      <c r="L43" s="20" t="n">
        <f aca="false">G43*INDEX(PARÁMETROS!$E$49:$E$54,MATCH(H43,PARÁMETROS!$A$49:$A$54,0))/1000</f>
        <v>0.473156151401082</v>
      </c>
      <c r="X43" s="7" t="s">
        <v>219</v>
      </c>
    </row>
    <row r="44" customFormat="false" ht="15" hidden="false" customHeight="false" outlineLevel="0" collapsed="false">
      <c r="A44" s="5" t="s">
        <v>216</v>
      </c>
      <c r="B44" s="5" t="s">
        <v>220</v>
      </c>
      <c r="C44" s="5" t="s">
        <v>76</v>
      </c>
      <c r="D44" s="5" t="s">
        <v>129</v>
      </c>
      <c r="E44" s="24" t="n">
        <f aca="false">SUMIFS('DATOS MODELO'!$L$5:$L$227,'DATOS MODELO'!$B$5:$B$227,"NIVEL 2",'DATOS MODELO'!$C$5:$C$227,"Losa aligerada")*PARÁMETROS!$B$33</f>
        <v>144.741666666667</v>
      </c>
      <c r="F44" s="21" t="n">
        <f aca="false">PARÁMETROS!$B$9</f>
        <v>0.03</v>
      </c>
      <c r="G44" s="24" t="n">
        <f aca="false">E44*(1+F44)</f>
        <v>149.083916666667</v>
      </c>
      <c r="H44" s="5" t="s">
        <v>221</v>
      </c>
      <c r="M44" s="25" t="n">
        <f aca="false">G44</f>
        <v>149.083916666667</v>
      </c>
      <c r="X44" s="7" t="s">
        <v>222</v>
      </c>
    </row>
    <row r="45" customFormat="false" ht="15" hidden="false" customHeight="false" outlineLevel="0" collapsed="false">
      <c r="A45" s="5" t="s">
        <v>216</v>
      </c>
      <c r="B45" s="5" t="s">
        <v>151</v>
      </c>
      <c r="C45" s="5" t="s">
        <v>74</v>
      </c>
      <c r="D45" s="5" t="s">
        <v>201</v>
      </c>
      <c r="E45" s="20" t="n">
        <f aca="false">SUMIFS('DATOS MODELO'!$G$5:$G$227,'DATOS MODELO'!$B$5:$B$227,"NIVEL 2",'DATOS MODELO'!$C$5:$C$227,"Columnas")</f>
        <v>79.6852641297171</v>
      </c>
      <c r="F45" s="23" t="n">
        <v>0</v>
      </c>
      <c r="G45" s="20" t="n">
        <f aca="false">E45*(1+F45)</f>
        <v>79.6852641297171</v>
      </c>
      <c r="H45" s="5" t="s">
        <v>74</v>
      </c>
      <c r="O45" s="24" t="n">
        <f aca="false">G45*INDEX(PARÁMETROS!$B$58:$B$66,MATCH(H45,PARÁMETROS!$A$58:$A$66,0))/PARÁMETROS!$B$10</f>
        <v>59.7639480972878</v>
      </c>
      <c r="P45" s="20" t="n">
        <f aca="false">G45*INDEX(PARÁMETROS!$C$58:$C$66,MATCH(H45,PARÁMETROS!$A$58:$A$66,0))/PARÁMETROS!$B$11</f>
        <v>16.7339054672406</v>
      </c>
      <c r="Q45" s="20" t="n">
        <f aca="false">G45*INDEX(PARÁMETROS!$D$58:$D$66,MATCH(H45,PARÁMETROS!$A$58:$A$66,0))</f>
        <v>11.9527896194576</v>
      </c>
      <c r="R45" s="20" t="n">
        <f aca="false">G45*INDEX(PARÁMETROS!$E$58:$E$66,MATCH(H45,PARÁMETROS!$A$58:$A$66,0))</f>
        <v>19.9213160324293</v>
      </c>
      <c r="S45" s="24" t="n">
        <f aca="false">G45*INDEX(PARÁMETROS!$F$58:$F$66,MATCH(H45,PARÁMETROS!$A$58:$A$66,0))/PARÁMETROS!$B$12</f>
        <v>0</v>
      </c>
      <c r="T45" s="20" t="n">
        <f aca="false">G45*PARÁMETROS!$B$17/3.785</f>
        <v>1.68423279534409</v>
      </c>
      <c r="V45" s="25" t="n">
        <f aca="false">G45*INDEX(PARÁMETROS!$G$58:$G$66,MATCH(H45,PARÁMETROS!$A$58:$A$66,0))</f>
        <v>159.370528259434</v>
      </c>
      <c r="X45" s="7"/>
    </row>
    <row r="46" customFormat="false" ht="15" hidden="false" customHeight="false" outlineLevel="0" collapsed="false">
      <c r="A46" s="5" t="s">
        <v>216</v>
      </c>
      <c r="B46" s="5" t="s">
        <v>151</v>
      </c>
      <c r="C46" s="5" t="s">
        <v>75</v>
      </c>
      <c r="D46" s="5" t="s">
        <v>201</v>
      </c>
      <c r="E46" s="20" t="n">
        <f aca="false">SUMIFS('DATOS MODELO'!$G$5:$G$227,'DATOS MODELO'!$B$5:$B$227,"NIVEL 2",'DATOS MODELO'!$C$5:$C$227,"Vigas")</f>
        <v>40.7483167523403</v>
      </c>
      <c r="F46" s="23" t="n">
        <v>0</v>
      </c>
      <c r="G46" s="20" t="n">
        <f aca="false">E46*(1+F46)</f>
        <v>40.7483167523403</v>
      </c>
      <c r="H46" s="5" t="s">
        <v>100</v>
      </c>
      <c r="O46" s="24" t="n">
        <f aca="false">G46*INDEX(PARÁMETROS!$B$58:$B$66,MATCH(H46,PARÁMETROS!$A$58:$A$66,0))/PARÁMETROS!$B$10</f>
        <v>30.5612375642552</v>
      </c>
      <c r="P46" s="20" t="n">
        <f aca="false">G46*INDEX(PARÁMETROS!$C$58:$C$66,MATCH(H46,PARÁMETROS!$A$58:$A$66,0))/PARÁMETROS!$B$11</f>
        <v>8.55714651799147</v>
      </c>
      <c r="Q46" s="20" t="n">
        <f aca="false">G46*INDEX(PARÁMETROS!$D$58:$D$66,MATCH(H46,PARÁMETROS!$A$58:$A$66,0))</f>
        <v>7.33469701542126</v>
      </c>
      <c r="R46" s="20" t="n">
        <f aca="false">G46*INDEX(PARÁMETROS!$E$58:$E$66,MATCH(H46,PARÁMETROS!$A$58:$A$66,0))</f>
        <v>10.1870791880851</v>
      </c>
      <c r="S46" s="24" t="n">
        <f aca="false">G46*INDEX(PARÁMETROS!$F$58:$F$66,MATCH(H46,PARÁMETROS!$A$58:$A$66,0))/PARÁMETROS!$B$12</f>
        <v>0</v>
      </c>
      <c r="T46" s="20" t="n">
        <f aca="false">G46*PARÁMETROS!$B$17/3.785</f>
        <v>0.861259006654485</v>
      </c>
      <c r="V46" s="25" t="n">
        <f aca="false">G46*INDEX(PARÁMETROS!$G$58:$G$66,MATCH(H46,PARÁMETROS!$A$58:$A$66,0))</f>
        <v>81.4966335046806</v>
      </c>
      <c r="X46" s="7"/>
    </row>
    <row r="47" customFormat="false" ht="15" hidden="false" customHeight="false" outlineLevel="0" collapsed="false">
      <c r="A47" s="5" t="s">
        <v>216</v>
      </c>
      <c r="B47" s="5" t="s">
        <v>151</v>
      </c>
      <c r="C47" s="5" t="s">
        <v>75</v>
      </c>
      <c r="D47" s="5" t="s">
        <v>201</v>
      </c>
      <c r="E47" s="20" t="n">
        <f aca="false">SUMIFS('DATOS MODELO'!$H$5:$H$227,'DATOS MODELO'!$B$5:$B$227,"NIVEL 2",'DATOS MODELO'!$C$5:$C$227,"Vigas")</f>
        <v>18.0967282008973</v>
      </c>
      <c r="F47" s="23" t="n">
        <v>0</v>
      </c>
      <c r="G47" s="20" t="n">
        <f aca="false">E47*(1+F47)</f>
        <v>18.0967282008973</v>
      </c>
      <c r="H47" s="5" t="s">
        <v>101</v>
      </c>
      <c r="O47" s="24" t="n">
        <f aca="false">G47*INDEX(PARÁMETROS!$B$58:$B$66,MATCH(H47,PARÁMETROS!$A$58:$A$66,0))/PARÁMETROS!$B$10</f>
        <v>18.0967282008973</v>
      </c>
      <c r="P47" s="20" t="n">
        <f aca="false">G47*INDEX(PARÁMETROS!$C$58:$C$66,MATCH(H47,PARÁMETROS!$A$58:$A$66,0))/PARÁMETROS!$B$11</f>
        <v>3.80031292218844</v>
      </c>
      <c r="Q47" s="20" t="n">
        <f aca="false">G47*INDEX(PARÁMETROS!$D$58:$D$66,MATCH(H47,PARÁMETROS!$A$58:$A$66,0))</f>
        <v>3.25741107616152</v>
      </c>
      <c r="R47" s="20" t="n">
        <f aca="false">G47*INDEX(PARÁMETROS!$E$58:$E$66,MATCH(H47,PARÁMETROS!$A$58:$A$66,0))</f>
        <v>4.52418205022434</v>
      </c>
      <c r="S47" s="24" t="n">
        <f aca="false">G47*INDEX(PARÁMETROS!$F$58:$F$66,MATCH(H47,PARÁMETROS!$A$58:$A$66,0))/PARÁMETROS!$B$12</f>
        <v>7.91731858789259</v>
      </c>
      <c r="T47" s="20" t="n">
        <f aca="false">G47*PARÁMETROS!$B$17/3.785</f>
        <v>0.382493594734951</v>
      </c>
      <c r="V47" s="25" t="n">
        <f aca="false">G47*INDEX(PARÁMETROS!$G$58:$G$66,MATCH(H47,PARÁMETROS!$A$58:$A$66,0))</f>
        <v>72.3869128035894</v>
      </c>
      <c r="X47" s="7"/>
    </row>
    <row r="48" customFormat="false" ht="15" hidden="false" customHeight="false" outlineLevel="0" collapsed="false">
      <c r="A48" s="5" t="s">
        <v>216</v>
      </c>
      <c r="B48" s="5" t="s">
        <v>151</v>
      </c>
      <c r="C48" s="5" t="s">
        <v>76</v>
      </c>
      <c r="D48" s="5" t="s">
        <v>201</v>
      </c>
      <c r="E48" s="20" t="n">
        <f aca="false">SUMIFS('DATOS MODELO'!$H$5:$H$227,'DATOS MODELO'!$B$5:$B$227,"NIVEL 2",'DATOS MODELO'!$C$5:$C$227,"Losa aligerada")</f>
        <v>74.5240335650718</v>
      </c>
      <c r="F48" s="23" t="n">
        <v>0</v>
      </c>
      <c r="G48" s="20" t="n">
        <f aca="false">E48*(1+F48)</f>
        <v>74.5240335650718</v>
      </c>
      <c r="H48" s="5" t="s">
        <v>102</v>
      </c>
      <c r="O48" s="24" t="n">
        <f aca="false">G48*INDEX(PARÁMETROS!$B$58:$B$66,MATCH(H48,PARÁMETROS!$A$58:$A$66,0))/PARÁMETROS!$B$10</f>
        <v>46.5775209781699</v>
      </c>
      <c r="P48" s="20" t="n">
        <f aca="false">G48*INDEX(PARÁMETROS!$C$58:$C$66,MATCH(H48,PARÁMETROS!$A$58:$A$66,0))/PARÁMETROS!$B$11</f>
        <v>15.6500470486651</v>
      </c>
      <c r="Q48" s="20" t="n">
        <f aca="false">G48*INDEX(PARÁMETROS!$D$58:$D$66,MATCH(H48,PARÁMETROS!$A$58:$A$66,0))</f>
        <v>8.94288402780861</v>
      </c>
      <c r="R48" s="20" t="n">
        <f aca="false">G48*INDEX(PARÁMETROS!$E$58:$E$66,MATCH(H48,PARÁMETROS!$A$58:$A$66,0))</f>
        <v>11.1786050347608</v>
      </c>
      <c r="S48" s="24" t="n">
        <f aca="false">G48*INDEX(PARÁMETROS!$F$58:$F$66,MATCH(H48,PARÁMETROS!$A$58:$A$66,0))/PARÁMETROS!$B$12</f>
        <v>9.31550419563397</v>
      </c>
      <c r="T48" s="20" t="n">
        <f aca="false">G48*PARÁMETROS!$B$17/3.785</f>
        <v>1.57514469886545</v>
      </c>
      <c r="V48" s="25" t="n">
        <f aca="false">G48*INDEX(PARÁMETROS!$G$58:$G$66,MATCH(H48,PARÁMETROS!$A$58:$A$66,0))</f>
        <v>186.310083912679</v>
      </c>
      <c r="X48" s="7" t="s">
        <v>223</v>
      </c>
    </row>
    <row r="49" customFormat="false" ht="15" hidden="false" customHeight="false" outlineLevel="0" collapsed="false">
      <c r="A49" s="5" t="s">
        <v>216</v>
      </c>
      <c r="B49" s="5" t="s">
        <v>151</v>
      </c>
      <c r="C49" s="5" t="s">
        <v>76</v>
      </c>
      <c r="D49" s="5" t="s">
        <v>201</v>
      </c>
      <c r="E49" s="20" t="n">
        <f aca="false">SUMIFS('DATOS MODELO'!$G$5:$G$227,'DATOS MODELO'!$B$5:$B$227,"NIVEL 2",'DATOS MODELO'!$C$5:$C$227,"Losa aligerada")</f>
        <v>6.92002843247899</v>
      </c>
      <c r="F49" s="23" t="n">
        <v>0</v>
      </c>
      <c r="G49" s="20" t="n">
        <f aca="false">E49*(1+F49)</f>
        <v>6.92002843247899</v>
      </c>
      <c r="H49" s="5" t="s">
        <v>103</v>
      </c>
      <c r="O49" s="24" t="n">
        <f aca="false">G49*INDEX(PARÁMETROS!$B$58:$B$66,MATCH(H49,PARÁMETROS!$A$58:$A$66,0))/PARÁMETROS!$B$10</f>
        <v>5.19002132435924</v>
      </c>
      <c r="P49" s="20" t="n">
        <f aca="false">G49*INDEX(PARÁMETROS!$C$58:$C$66,MATCH(H49,PARÁMETROS!$A$58:$A$66,0))/PARÁMETROS!$B$11</f>
        <v>0</v>
      </c>
      <c r="Q49" s="20" t="n">
        <f aca="false">G49*INDEX(PARÁMETROS!$D$58:$D$66,MATCH(H49,PARÁMETROS!$A$58:$A$66,0))</f>
        <v>1.03800426487185</v>
      </c>
      <c r="R49" s="20" t="n">
        <f aca="false">G49*INDEX(PARÁMETROS!$E$58:$E$66,MATCH(H49,PARÁMETROS!$A$58:$A$66,0))</f>
        <v>1.3840056864958</v>
      </c>
      <c r="S49" s="24" t="n">
        <f aca="false">G49*INDEX(PARÁMETROS!$F$58:$F$66,MATCH(H49,PARÁMETROS!$A$58:$A$66,0))/PARÁMETROS!$B$12</f>
        <v>0</v>
      </c>
      <c r="T49" s="20" t="n">
        <f aca="false">G49*PARÁMETROS!$B$17/3.785</f>
        <v>0.146262159735355</v>
      </c>
      <c r="V49" s="25" t="n">
        <f aca="false">G49*INDEX(PARÁMETROS!$G$58:$G$66,MATCH(H49,PARÁMETROS!$A$58:$A$66,0))</f>
        <v>0</v>
      </c>
      <c r="X49" s="7"/>
    </row>
    <row r="50" customFormat="false" ht="15" hidden="false" customHeight="false" outlineLevel="0" collapsed="false">
      <c r="A50" s="5" t="s">
        <v>216</v>
      </c>
      <c r="B50" s="5" t="s">
        <v>151</v>
      </c>
      <c r="C50" s="5" t="s">
        <v>77</v>
      </c>
      <c r="D50" s="5" t="s">
        <v>201</v>
      </c>
      <c r="E50" s="20" t="n">
        <f aca="false">SUMIFS('DATOS MODELO'!$H$5:$H$227,'DATOS MODELO'!$B$5:$B$227,"NIVEL 2",'DATOS MODELO'!$C$5:$C$227,"Escalera")</f>
        <v>10.1275200869309</v>
      </c>
      <c r="F50" s="23" t="n">
        <v>0</v>
      </c>
      <c r="G50" s="20" t="n">
        <f aca="false">E50*(1+F50)</f>
        <v>10.1275200869309</v>
      </c>
      <c r="H50" s="5" t="s">
        <v>104</v>
      </c>
      <c r="O50" s="24" t="n">
        <f aca="false">G50*INDEX(PARÁMETROS!$B$58:$B$66,MATCH(H50,PARÁMETROS!$A$58:$A$66,0))/PARÁMETROS!$B$10</f>
        <v>10.1275200869309</v>
      </c>
      <c r="P50" s="20" t="n">
        <f aca="false">G50*INDEX(PARÁMETROS!$C$58:$C$66,MATCH(H50,PARÁMETROS!$A$58:$A$66,0))/PARÁMETROS!$B$11</f>
        <v>2.12677921825548</v>
      </c>
      <c r="Q50" s="20" t="n">
        <f aca="false">G50*INDEX(PARÁMETROS!$D$58:$D$66,MATCH(H50,PARÁMETROS!$A$58:$A$66,0))</f>
        <v>2.02550401738617</v>
      </c>
      <c r="R50" s="20" t="n">
        <f aca="false">G50*INDEX(PARÁMETROS!$E$58:$E$66,MATCH(H50,PARÁMETROS!$A$58:$A$66,0))</f>
        <v>2.02550401738617</v>
      </c>
      <c r="S50" s="24" t="n">
        <f aca="false">G50*INDEX(PARÁMETROS!$F$58:$F$66,MATCH(H50,PARÁMETROS!$A$58:$A$66,0))/PARÁMETROS!$B$12</f>
        <v>1.51912801303963</v>
      </c>
      <c r="T50" s="20" t="n">
        <f aca="false">G50*PARÁMETROS!$B$17/3.785</f>
        <v>0.214055906725091</v>
      </c>
      <c r="V50" s="25" t="n">
        <f aca="false">G50*INDEX(PARÁMETROS!$G$58:$G$66,MATCH(H50,PARÁMETROS!$A$58:$A$66,0))</f>
        <v>25.3188002173271</v>
      </c>
      <c r="X50" s="7"/>
    </row>
    <row r="51" customFormat="false" ht="15" hidden="false" customHeight="false" outlineLevel="0" collapsed="false">
      <c r="A51" s="5" t="s">
        <v>216</v>
      </c>
      <c r="B51" s="5" t="s">
        <v>151</v>
      </c>
      <c r="C51" s="5" t="s">
        <v>77</v>
      </c>
      <c r="D51" s="5" t="s">
        <v>201</v>
      </c>
      <c r="E51" s="20" t="n">
        <f aca="false">SUMIFS('DATOS MODELO'!$G$5:$G$227,'DATOS MODELO'!$B$5:$B$227,"NIVEL 2",'DATOS MODELO'!$C$5:$C$227,"Escalera")</f>
        <v>7.25321535957727</v>
      </c>
      <c r="F51" s="23" t="n">
        <v>0</v>
      </c>
      <c r="G51" s="20" t="n">
        <f aca="false">E51*(1+F51)</f>
        <v>7.25321535957727</v>
      </c>
      <c r="H51" s="5" t="s">
        <v>105</v>
      </c>
      <c r="O51" s="24" t="n">
        <f aca="false">G51*INDEX(PARÁMETROS!$B$58:$B$66,MATCH(H51,PARÁMETROS!$A$58:$A$66,0))/PARÁMETROS!$B$10</f>
        <v>6.34656343963011</v>
      </c>
      <c r="P51" s="20" t="n">
        <f aca="false">G51*INDEX(PARÁMETROS!$C$58:$C$66,MATCH(H51,PARÁMETROS!$A$58:$A$66,0))/PARÁMETROS!$B$11</f>
        <v>0</v>
      </c>
      <c r="Q51" s="20" t="n">
        <f aca="false">G51*INDEX(PARÁMETROS!$D$58:$D$66,MATCH(H51,PARÁMETROS!$A$58:$A$66,0))</f>
        <v>1.45064307191545</v>
      </c>
      <c r="R51" s="20" t="n">
        <f aca="false">G51*INDEX(PARÁMETROS!$E$58:$E$66,MATCH(H51,PARÁMETROS!$A$58:$A$66,0))</f>
        <v>1.45064307191545</v>
      </c>
      <c r="S51" s="24" t="n">
        <f aca="false">G51*INDEX(PARÁMETROS!$F$58:$F$66,MATCH(H51,PARÁMETROS!$A$58:$A$66,0))/PARÁMETROS!$B$12</f>
        <v>0</v>
      </c>
      <c r="T51" s="20" t="n">
        <f aca="false">G51*PARÁMETROS!$B$17/3.785</f>
        <v>0.153304419753284</v>
      </c>
      <c r="V51" s="25" t="n">
        <f aca="false">G51*INDEX(PARÁMETROS!$G$58:$G$66,MATCH(H51,PARÁMETROS!$A$58:$A$66,0))</f>
        <v>0</v>
      </c>
      <c r="X51" s="7" t="s">
        <v>224</v>
      </c>
    </row>
    <row r="52" customFormat="false" ht="15" hidden="false" customHeight="false" outlineLevel="0" collapsed="false">
      <c r="A52" s="5" t="s">
        <v>216</v>
      </c>
      <c r="B52" s="5" t="s">
        <v>134</v>
      </c>
      <c r="C52" s="5" t="s">
        <v>74</v>
      </c>
      <c r="D52" s="5" t="s">
        <v>142</v>
      </c>
      <c r="E52" s="24" t="n">
        <f aca="false">SUMIFS('DATOS MODELO'!$E$232:$E$279,'DATOS MODELO'!$A$232:$A$279,"NIVEL 2",'DATOS MODELO'!$B$232:$B$279,"Columnas",'DATOS MODELO'!$C$232:$C$279,"1/4")*INDEX(PARÁMETROS!$B$93:$B$97,MATCH("1/4",PARÁMETROS!$A$93:$A$97,0))+SUMIFS('DATOS MODELO'!$E$232:$E$279,'DATOS MODELO'!$A$232:$A$279,"NIVEL 2",'DATOS MODELO'!$B$232:$B$279,"Columnas",'DATOS MODELO'!$C$232:$C$279,"3/8")*INDEX(PARÁMETROS!$B$93:$B$97,MATCH("3/8",PARÁMETROS!$A$93:$A$97,0))+SUMIFS('DATOS MODELO'!$E$232:$E$279,'DATOS MODELO'!$A$232:$A$279,"NIVEL 2",'DATOS MODELO'!$B$232:$B$279,"Columnas",'DATOS MODELO'!$C$232:$C$279,"1/2")*INDEX(PARÁMETROS!$B$93:$B$97,MATCH("1/2",PARÁMETROS!$A$93:$A$97,0))+SUMIFS('DATOS MODELO'!$E$232:$E$279,'DATOS MODELO'!$A$232:$A$279,"NIVEL 2",'DATOS MODELO'!$B$232:$B$279,"Columnas",'DATOS MODELO'!$C$232:$C$279,"5/8")*INDEX(PARÁMETROS!$B$93:$B$97,MATCH("5/8",PARÁMETROS!$A$93:$A$97,0))+SUMIFS('DATOS MODELO'!$E$232:$E$279,'DATOS MODELO'!$A$232:$A$279,"NIVEL 2",'DATOS MODELO'!$B$232:$B$279,"Columnas",'DATOS MODELO'!$C$232:$C$279,"3/4")*INDEX(PARÁMETROS!$B$93:$B$97,MATCH("3/4",PARÁMETROS!$A$93:$A$97,0))</f>
        <v>1657.150848</v>
      </c>
      <c r="F52" s="23" t="n">
        <v>0</v>
      </c>
      <c r="G52" s="24" t="n">
        <f aca="false">E52*(1+F52)</f>
        <v>1657.150848</v>
      </c>
      <c r="H52" s="5" t="s">
        <v>203</v>
      </c>
      <c r="N52" s="24" t="n">
        <f aca="false">G52*PARÁMETROS!$B$13</f>
        <v>49.71452544</v>
      </c>
      <c r="W52" s="20" t="n">
        <f aca="false">SUMIFS('DATOS MODELO'!$D$232:$D$279,'DATOS MODELO'!$A$232:$A$279,"NIVEL 2",'DATOS MODELO'!$B$232:$B$279,"Columnas")/PARÁMETROS!$B$15</f>
        <v>11.12</v>
      </c>
      <c r="X52" s="7" t="s">
        <v>204</v>
      </c>
    </row>
    <row r="53" customFormat="false" ht="15" hidden="false" customHeight="false" outlineLevel="0" collapsed="false">
      <c r="A53" s="5" t="s">
        <v>216</v>
      </c>
      <c r="B53" s="5" t="s">
        <v>134</v>
      </c>
      <c r="C53" s="5" t="s">
        <v>75</v>
      </c>
      <c r="D53" s="5" t="s">
        <v>142</v>
      </c>
      <c r="E53" s="24" t="n">
        <f aca="false">SUMIFS('DATOS MODELO'!$E$232:$E$279,'DATOS MODELO'!$A$232:$A$279,"NIVEL 2",'DATOS MODELO'!$B$232:$B$279,"Vigas",'DATOS MODELO'!$C$232:$C$279,"1/4")*INDEX(PARÁMETROS!$B$93:$B$97,MATCH("1/4",PARÁMETROS!$A$93:$A$97,0))+SUMIFS('DATOS MODELO'!$E$232:$E$279,'DATOS MODELO'!$A$232:$A$279,"NIVEL 2",'DATOS MODELO'!$B$232:$B$279,"Vigas",'DATOS MODELO'!$C$232:$C$279,"3/8")*INDEX(PARÁMETROS!$B$93:$B$97,MATCH("3/8",PARÁMETROS!$A$93:$A$97,0))+SUMIFS('DATOS MODELO'!$E$232:$E$279,'DATOS MODELO'!$A$232:$A$279,"NIVEL 2",'DATOS MODELO'!$B$232:$B$279,"Vigas",'DATOS MODELO'!$C$232:$C$279,"1/2")*INDEX(PARÁMETROS!$B$93:$B$97,MATCH("1/2",PARÁMETROS!$A$93:$A$97,0))+SUMIFS('DATOS MODELO'!$E$232:$E$279,'DATOS MODELO'!$A$232:$A$279,"NIVEL 2",'DATOS MODELO'!$B$232:$B$279,"Vigas",'DATOS MODELO'!$C$232:$C$279,"5/8")*INDEX(PARÁMETROS!$B$93:$B$97,MATCH("5/8",PARÁMETROS!$A$93:$A$97,0))+SUMIFS('DATOS MODELO'!$E$232:$E$279,'DATOS MODELO'!$A$232:$A$279,"NIVEL 2",'DATOS MODELO'!$B$232:$B$279,"Vigas",'DATOS MODELO'!$C$232:$C$279,"3/4")*INDEX(PARÁMETROS!$B$93:$B$97,MATCH("3/4",PARÁMETROS!$A$93:$A$97,0))</f>
        <v>2014.483899</v>
      </c>
      <c r="F53" s="23" t="n">
        <v>0</v>
      </c>
      <c r="G53" s="24" t="n">
        <f aca="false">E53*(1+F53)</f>
        <v>2014.483899</v>
      </c>
      <c r="H53" s="5" t="s">
        <v>203</v>
      </c>
      <c r="N53" s="24" t="n">
        <f aca="false">G53*PARÁMETROS!$B$13</f>
        <v>60.43451697</v>
      </c>
      <c r="W53" s="20" t="n">
        <f aca="false">SUMIFS('DATOS MODELO'!$D$232:$D$279,'DATOS MODELO'!$A$232:$A$279,"NIVEL 2",'DATOS MODELO'!$B$232:$B$279,"Vigas")/PARÁMETROS!$B$15</f>
        <v>3.94666666666667</v>
      </c>
      <c r="X53" s="7" t="s">
        <v>204</v>
      </c>
    </row>
    <row r="54" customFormat="false" ht="15" hidden="false" customHeight="false" outlineLevel="0" collapsed="false">
      <c r="A54" s="5" t="s">
        <v>216</v>
      </c>
      <c r="B54" s="5" t="s">
        <v>134</v>
      </c>
      <c r="C54" s="5" t="s">
        <v>76</v>
      </c>
      <c r="D54" s="5" t="s">
        <v>142</v>
      </c>
      <c r="E54" s="24" t="n">
        <f aca="false">SUMIFS('DATOS MODELO'!$E$232:$E$279,'DATOS MODELO'!$A$232:$A$279,"NIVEL 2",'DATOS MODELO'!$B$232:$B$279,"Losa aligerada",'DATOS MODELO'!$C$232:$C$279,"1/4")*INDEX(PARÁMETROS!$B$93:$B$97,MATCH("1/4",PARÁMETROS!$A$93:$A$97,0))+SUMIFS('DATOS MODELO'!$E$232:$E$279,'DATOS MODELO'!$A$232:$A$279,"NIVEL 2",'DATOS MODELO'!$B$232:$B$279,"Losa aligerada",'DATOS MODELO'!$C$232:$C$279,"3/8")*INDEX(PARÁMETROS!$B$93:$B$97,MATCH("3/8",PARÁMETROS!$A$93:$A$97,0))+SUMIFS('DATOS MODELO'!$E$232:$E$279,'DATOS MODELO'!$A$232:$A$279,"NIVEL 2",'DATOS MODELO'!$B$232:$B$279,"Losa aligerada",'DATOS MODELO'!$C$232:$C$279,"1/2")*INDEX(PARÁMETROS!$B$93:$B$97,MATCH("1/2",PARÁMETROS!$A$93:$A$97,0))+SUMIFS('DATOS MODELO'!$E$232:$E$279,'DATOS MODELO'!$A$232:$A$279,"NIVEL 2",'DATOS MODELO'!$B$232:$B$279,"Losa aligerada",'DATOS MODELO'!$C$232:$C$279,"5/8")*INDEX(PARÁMETROS!$B$93:$B$97,MATCH("5/8",PARÁMETROS!$A$93:$A$97,0))+SUMIFS('DATOS MODELO'!$E$232:$E$279,'DATOS MODELO'!$A$232:$A$279,"NIVEL 2",'DATOS MODELO'!$B$232:$B$279,"Losa aligerada",'DATOS MODELO'!$C$232:$C$279,"3/4")*INDEX(PARÁMETROS!$B$93:$B$97,MATCH("3/4",PARÁMETROS!$A$93:$A$97,0))</f>
        <v>559.617972</v>
      </c>
      <c r="F54" s="23" t="n">
        <v>0</v>
      </c>
      <c r="G54" s="24" t="n">
        <f aca="false">E54*(1+F54)</f>
        <v>559.617972</v>
      </c>
      <c r="H54" s="5" t="s">
        <v>203</v>
      </c>
      <c r="N54" s="24" t="n">
        <f aca="false">G54*PARÁMETROS!$B$13</f>
        <v>16.78853916</v>
      </c>
      <c r="W54" s="20" t="n">
        <f aca="false">SUMIFS('DATOS MODELO'!$D$232:$D$279,'DATOS MODELO'!$A$232:$A$279,"NIVEL 2",'DATOS MODELO'!$B$232:$B$279,"Losa aligerada")/PARÁMETROS!$B$15</f>
        <v>2.46666666666667</v>
      </c>
      <c r="X54" s="7" t="s">
        <v>204</v>
      </c>
    </row>
    <row r="55" customFormat="false" ht="15" hidden="false" customHeight="false" outlineLevel="0" collapsed="false">
      <c r="A55" s="5" t="s">
        <v>216</v>
      </c>
      <c r="B55" s="5" t="s">
        <v>134</v>
      </c>
      <c r="C55" s="5" t="s">
        <v>77</v>
      </c>
      <c r="D55" s="5" t="s">
        <v>142</v>
      </c>
      <c r="E55" s="24" t="n">
        <f aca="false">SUMIFS('DATOS MODELO'!$E$232:$E$279,'DATOS MODELO'!$A$232:$A$279,"NIVEL 2",'DATOS MODELO'!$B$232:$B$279,"Escalera",'DATOS MODELO'!$C$232:$C$279,"1/4")*INDEX(PARÁMETROS!$B$93:$B$97,MATCH("1/4",PARÁMETROS!$A$93:$A$97,0))+SUMIFS('DATOS MODELO'!$E$232:$E$279,'DATOS MODELO'!$A$232:$A$279,"NIVEL 2",'DATOS MODELO'!$B$232:$B$279,"Escalera",'DATOS MODELO'!$C$232:$C$279,"3/8")*INDEX(PARÁMETROS!$B$93:$B$97,MATCH("3/8",PARÁMETROS!$A$93:$A$97,0))+SUMIFS('DATOS MODELO'!$E$232:$E$279,'DATOS MODELO'!$A$232:$A$279,"NIVEL 2",'DATOS MODELO'!$B$232:$B$279,"Escalera",'DATOS MODELO'!$C$232:$C$279,"1/2")*INDEX(PARÁMETROS!$B$93:$B$97,MATCH("1/2",PARÁMETROS!$A$93:$A$97,0))+SUMIFS('DATOS MODELO'!$E$232:$E$279,'DATOS MODELO'!$A$232:$A$279,"NIVEL 2",'DATOS MODELO'!$B$232:$B$279,"Escalera",'DATOS MODELO'!$C$232:$C$279,"5/8")*INDEX(PARÁMETROS!$B$93:$B$97,MATCH("5/8",PARÁMETROS!$A$93:$A$97,0))+SUMIFS('DATOS MODELO'!$E$232:$E$279,'DATOS MODELO'!$A$232:$A$279,"NIVEL 2",'DATOS MODELO'!$B$232:$B$279,"Escalera",'DATOS MODELO'!$C$232:$C$279,"3/4")*INDEX(PARÁMETROS!$B$93:$B$97,MATCH("3/4",PARÁMETROS!$A$93:$A$97,0))</f>
        <v>88.82552</v>
      </c>
      <c r="F55" s="23" t="n">
        <v>0</v>
      </c>
      <c r="G55" s="24" t="n">
        <f aca="false">E55*(1+F55)</f>
        <v>88.82552</v>
      </c>
      <c r="H55" s="5" t="s">
        <v>203</v>
      </c>
      <c r="N55" s="24" t="n">
        <f aca="false">G55*PARÁMETROS!$B$13</f>
        <v>2.6647656</v>
      </c>
      <c r="W55" s="20" t="n">
        <f aca="false">SUMIFS('DATOS MODELO'!$D$232:$D$279,'DATOS MODELO'!$A$232:$A$279,"NIVEL 2",'DATOS MODELO'!$B$232:$B$279,"Escalera")/PARÁMETROS!$B$15</f>
        <v>0.533333333333333</v>
      </c>
      <c r="X55" s="7" t="s">
        <v>204</v>
      </c>
    </row>
    <row r="56" customFormat="false" ht="15" hidden="false" customHeight="false" outlineLevel="0" collapsed="false">
      <c r="A56" s="5" t="s">
        <v>216</v>
      </c>
      <c r="B56" s="5" t="s">
        <v>163</v>
      </c>
      <c r="C56" s="5" t="s">
        <v>74</v>
      </c>
      <c r="D56" s="5" t="s">
        <v>201</v>
      </c>
      <c r="E56" s="20" t="n">
        <f aca="false">SUMIFS('DATOS MODELO'!$J$5:$J$227,'DATOS MODELO'!$B$5:$B$227,"NIVEL 2",'DATOS MODELO'!$C$5:$C$227,"Columnas")</f>
        <v>79.6852641297171</v>
      </c>
      <c r="F56" s="23" t="n">
        <v>0</v>
      </c>
      <c r="G56" s="20" t="n">
        <f aca="false">E56*(1+F56)</f>
        <v>79.6852641297171</v>
      </c>
      <c r="H56" s="5" t="s">
        <v>205</v>
      </c>
      <c r="U56" s="20" t="n">
        <f aca="false">G56*PARÁMETROS!$B$16/3.785</f>
        <v>4.21058198836022</v>
      </c>
      <c r="X56" s="7"/>
    </row>
    <row r="57" customFormat="false" ht="15" hidden="false" customHeight="false" outlineLevel="0" collapsed="false">
      <c r="A57" s="5" t="s">
        <v>216</v>
      </c>
      <c r="B57" s="5" t="s">
        <v>163</v>
      </c>
      <c r="C57" s="5" t="s">
        <v>75</v>
      </c>
      <c r="D57" s="5" t="s">
        <v>201</v>
      </c>
      <c r="E57" s="20" t="n">
        <f aca="false">SUMIFS('DATOS MODELO'!$J$5:$J$227,'DATOS MODELO'!$B$5:$B$227,"NIVEL 2",'DATOS MODELO'!$C$5:$C$227,"Vigas")</f>
        <v>40.7483167523403</v>
      </c>
      <c r="F57" s="23" t="n">
        <v>0</v>
      </c>
      <c r="G57" s="20" t="n">
        <f aca="false">E57*(1+F57)</f>
        <v>40.7483167523403</v>
      </c>
      <c r="H57" s="5" t="s">
        <v>205</v>
      </c>
      <c r="U57" s="20" t="n">
        <f aca="false">G57*PARÁMETROS!$B$16/3.785</f>
        <v>2.15314751663621</v>
      </c>
      <c r="X57" s="7" t="s">
        <v>225</v>
      </c>
    </row>
    <row r="58" customFormat="false" ht="15" hidden="false" customHeight="false" outlineLevel="0" collapsed="false">
      <c r="A58" s="5" t="s">
        <v>216</v>
      </c>
      <c r="B58" s="5" t="s">
        <v>163</v>
      </c>
      <c r="C58" s="5" t="s">
        <v>76</v>
      </c>
      <c r="D58" s="5" t="s">
        <v>201</v>
      </c>
      <c r="E58" s="20" t="n">
        <f aca="false">SUMIFS('DATOS MODELO'!$I$5:$I$227,'DATOS MODELO'!$B$5:$B$227,"NIVEL 2",'DATOS MODELO'!$C$5:$C$227,"Losa aligerada")+SUMIFS('DATOS MODELO'!$J$5:$J$227,'DATOS MODELO'!$B$5:$B$227,"NIVEL 2",'DATOS MODELO'!$C$5:$C$227,"Losa aligerada")</f>
        <v>96.9527404500716</v>
      </c>
      <c r="F58" s="23" t="n">
        <v>0</v>
      </c>
      <c r="G58" s="20" t="n">
        <f aca="false">E58*(1+F58)</f>
        <v>96.9527404500716</v>
      </c>
      <c r="H58" s="5" t="s">
        <v>205</v>
      </c>
      <c r="U58" s="20" t="n">
        <f aca="false">G58*PARÁMETROS!$B$16/3.785</f>
        <v>5.12299817437631</v>
      </c>
      <c r="X58" s="7"/>
    </row>
    <row r="59" customFormat="false" ht="15" hidden="false" customHeight="false" outlineLevel="0" collapsed="false">
      <c r="A59" s="5" t="s">
        <v>216</v>
      </c>
      <c r="B59" s="5" t="s">
        <v>163</v>
      </c>
      <c r="C59" s="5" t="s">
        <v>77</v>
      </c>
      <c r="D59" s="5" t="s">
        <v>201</v>
      </c>
      <c r="E59" s="20" t="n">
        <f aca="false">SUMIFS('DATOS MODELO'!$I$5:$I$227,'DATOS MODELO'!$B$5:$B$227,"NIVEL 2",'DATOS MODELO'!$C$5:$C$227,"Escalera")+SUMIFS('DATOS MODELO'!$J$5:$J$227,'DATOS MODELO'!$B$5:$B$227,"NIVEL 2",'DATOS MODELO'!$C$5:$C$227,"Escalera")</f>
        <v>18.8441089515053</v>
      </c>
      <c r="F59" s="23" t="n">
        <v>0</v>
      </c>
      <c r="G59" s="20" t="n">
        <f aca="false">E59*(1+F59)</f>
        <v>18.8441089515053</v>
      </c>
      <c r="H59" s="5" t="s">
        <v>205</v>
      </c>
      <c r="U59" s="20" t="n">
        <f aca="false">G59*PARÁMETROS!$B$16/3.785</f>
        <v>0.995725704174651</v>
      </c>
      <c r="X59" s="7"/>
    </row>
    <row r="60" customFormat="false" ht="15" hidden="false" customHeight="false" outlineLevel="0" collapsed="false">
      <c r="A60" s="26" t="s">
        <v>226</v>
      </c>
      <c r="B60" s="27"/>
      <c r="C60" s="27"/>
      <c r="D60" s="27"/>
      <c r="E60" s="27"/>
      <c r="F60" s="27"/>
      <c r="G60" s="27"/>
      <c r="H60" s="27"/>
      <c r="I60" s="28" t="n">
        <f aca="false">SUM(I40:I59)</f>
        <v>288.211294185604</v>
      </c>
      <c r="J60" s="28" t="n">
        <f aca="false">SUM(J40:J59)</f>
        <v>15.4028646430128</v>
      </c>
      <c r="K60" s="28" t="n">
        <f aca="false">SUM(K40:K59)</f>
        <v>15.6990735784553</v>
      </c>
      <c r="L60" s="28" t="n">
        <f aca="false">SUM(L40:L59)</f>
        <v>5.50948619923149</v>
      </c>
      <c r="M60" s="28" t="n">
        <f aca="false">SUM(M40:M59)</f>
        <v>149.083916666667</v>
      </c>
      <c r="N60" s="28" t="n">
        <f aca="false">SUM(N40:N59)</f>
        <v>129.60234717</v>
      </c>
      <c r="O60" s="28" t="n">
        <f aca="false">SUM(O40:O59)</f>
        <v>176.66353969153</v>
      </c>
      <c r="P60" s="28" t="n">
        <f aca="false">SUM(P40:P59)</f>
        <v>46.8681911743411</v>
      </c>
      <c r="Q60" s="28" t="n">
        <f aca="false">SUM(Q40:Q59)</f>
        <v>36.0019330930224</v>
      </c>
      <c r="R60" s="28" t="n">
        <f aca="false">SUM(R40:R59)</f>
        <v>50.6713350812969</v>
      </c>
      <c r="S60" s="28" t="n">
        <f aca="false">SUM(S40:S59)</f>
        <v>18.7519507965662</v>
      </c>
      <c r="T60" s="28" t="n">
        <f aca="false">SUM(T40:T59)</f>
        <v>5.01675258181271</v>
      </c>
      <c r="U60" s="28" t="n">
        <f aca="false">SUM(U40:U59)</f>
        <v>12.4824533835474</v>
      </c>
      <c r="V60" s="28" t="n">
        <f aca="false">SUM(V40:V59)</f>
        <v>524.882958697711</v>
      </c>
      <c r="W60" s="28" t="n">
        <f aca="false">SUM(W40:W59)</f>
        <v>18.0666666666667</v>
      </c>
      <c r="X60" s="27"/>
    </row>
    <row r="61" customFormat="false" ht="15" hidden="false" customHeight="false" outlineLevel="0" collapsed="false">
      <c r="B61" s="29" t="s">
        <v>208</v>
      </c>
      <c r="D61" s="30" t="s">
        <v>120</v>
      </c>
      <c r="G61" s="31" t="n">
        <f aca="false">SUMIFS(G40:G59,B40:B59,"Concreto")</f>
        <v>29.6208935442553</v>
      </c>
    </row>
    <row r="62" customFormat="false" ht="15" hidden="false" customHeight="false" outlineLevel="0" collapsed="false">
      <c r="B62" s="29" t="s">
        <v>209</v>
      </c>
      <c r="D62" s="30" t="s">
        <v>201</v>
      </c>
      <c r="G62" s="31" t="n">
        <f aca="false">SUMIFS(G40:G59,B40:B59,"Encofrado")</f>
        <v>237.355106527014</v>
      </c>
    </row>
    <row r="63" customFormat="false" ht="15" hidden="false" customHeight="false" outlineLevel="0" collapsed="false">
      <c r="B63" s="29" t="s">
        <v>210</v>
      </c>
      <c r="D63" s="30" t="s">
        <v>142</v>
      </c>
      <c r="G63" s="31" t="n">
        <f aca="false">SUMIFS(G40:G59,B40:B59,"Acero")</f>
        <v>4320.078239</v>
      </c>
    </row>
    <row r="64" customFormat="false" ht="15" hidden="false" customHeight="false" outlineLevel="0" collapsed="false">
      <c r="B64" s="29" t="s">
        <v>211</v>
      </c>
      <c r="D64" s="30" t="s">
        <v>201</v>
      </c>
      <c r="G64" s="31" t="n">
        <f aca="false">SUMIFS(G40:G59,B40:B59,"Curado")</f>
        <v>236.230430283634</v>
      </c>
    </row>
    <row r="66" customFormat="false" ht="15" hidden="false" customHeight="false" outlineLevel="0" collapsed="false">
      <c r="A66" s="18" t="s">
        <v>227</v>
      </c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</row>
    <row r="67" customFormat="false" ht="42" hidden="false" customHeight="true" outlineLevel="0" collapsed="false">
      <c r="A67" s="4" t="s">
        <v>177</v>
      </c>
      <c r="B67" s="4" t="s">
        <v>178</v>
      </c>
      <c r="C67" s="4" t="s">
        <v>68</v>
      </c>
      <c r="D67" s="4" t="s">
        <v>5</v>
      </c>
      <c r="E67" s="4" t="s">
        <v>179</v>
      </c>
      <c r="F67" s="4" t="s">
        <v>180</v>
      </c>
      <c r="G67" s="4" t="s">
        <v>181</v>
      </c>
      <c r="H67" s="4" t="s">
        <v>182</v>
      </c>
      <c r="I67" s="4" t="s">
        <v>183</v>
      </c>
      <c r="J67" s="4" t="s">
        <v>184</v>
      </c>
      <c r="K67" s="4" t="s">
        <v>185</v>
      </c>
      <c r="L67" s="4" t="s">
        <v>186</v>
      </c>
      <c r="M67" s="4" t="s">
        <v>187</v>
      </c>
      <c r="N67" s="4" t="s">
        <v>188</v>
      </c>
      <c r="O67" s="4" t="s">
        <v>189</v>
      </c>
      <c r="P67" s="4" t="s">
        <v>190</v>
      </c>
      <c r="Q67" s="4" t="s">
        <v>191</v>
      </c>
      <c r="R67" s="4" t="s">
        <v>192</v>
      </c>
      <c r="S67" s="4" t="s">
        <v>193</v>
      </c>
      <c r="T67" s="4" t="s">
        <v>194</v>
      </c>
      <c r="U67" s="4" t="s">
        <v>195</v>
      </c>
      <c r="V67" s="4" t="s">
        <v>196</v>
      </c>
      <c r="W67" s="4" t="s">
        <v>197</v>
      </c>
      <c r="X67" s="4" t="s">
        <v>198</v>
      </c>
    </row>
    <row r="68" customFormat="false" ht="15" hidden="false" customHeight="false" outlineLevel="0" collapsed="false">
      <c r="A68" s="5" t="s">
        <v>227</v>
      </c>
      <c r="B68" s="5" t="s">
        <v>117</v>
      </c>
      <c r="C68" s="5" t="s">
        <v>74</v>
      </c>
      <c r="D68" s="5" t="s">
        <v>120</v>
      </c>
      <c r="E68" s="20" t="n">
        <f aca="false">SUMIFS('DATOS MODELO'!$F$5:$F$227,'DATOS MODELO'!$B$5:$B$227,"NIVEL 3",'DATOS MODELO'!$C$5:$C$227,"Columnas")</f>
        <v>7.21799136543415</v>
      </c>
      <c r="F68" s="21" t="n">
        <f aca="false">PARÁMETROS!$B$8</f>
        <v>0.05</v>
      </c>
      <c r="G68" s="20" t="n">
        <f aca="false">E68*(1+F68)</f>
        <v>7.57889093370586</v>
      </c>
      <c r="H68" s="22" t="n">
        <f aca="false">INDEX(PARÁMETROS!$B$37:$B$45,MATCH(C68,PARÁMETROS!$A$37:$A$45,0))</f>
        <v>210</v>
      </c>
      <c r="I68" s="20" t="n">
        <f aca="false">G68*INDEX(PARÁMETROS!$B$49:$B$54,MATCH(H68,PARÁMETROS!$A$49:$A$54,0))</f>
        <v>73.742608784958</v>
      </c>
      <c r="J68" s="20" t="n">
        <f aca="false">G68*INDEX(PARÁMETROS!$C$49:$C$54,MATCH(H68,PARÁMETROS!$A$49:$A$54,0))</f>
        <v>3.94102328552705</v>
      </c>
      <c r="K68" s="20" t="n">
        <f aca="false">G68*INDEX(PARÁMETROS!$D$49:$D$54,MATCH(H68,PARÁMETROS!$A$49:$A$54,0))</f>
        <v>4.01681219486411</v>
      </c>
      <c r="L68" s="20" t="n">
        <f aca="false">G68*INDEX(PARÁMETROS!$E$49:$E$54,MATCH(H68,PARÁMETROS!$A$49:$A$54,0))/1000</f>
        <v>1.40967371366929</v>
      </c>
      <c r="X68" s="7"/>
    </row>
    <row r="69" customFormat="false" ht="15" hidden="false" customHeight="false" outlineLevel="0" collapsed="false">
      <c r="A69" s="5" t="s">
        <v>227</v>
      </c>
      <c r="B69" s="5" t="s">
        <v>117</v>
      </c>
      <c r="C69" s="5" t="s">
        <v>75</v>
      </c>
      <c r="D69" s="5" t="s">
        <v>120</v>
      </c>
      <c r="E69" s="20" t="n">
        <f aca="false">SUMIFS('DATOS MODELO'!$F$5:$F$227,'DATOS MODELO'!$B$5:$B$227,"NIVEL 3",'DATOS MODELO'!$C$5:$C$227,"Vigas")</f>
        <v>6.18531699393043</v>
      </c>
      <c r="F69" s="21" t="n">
        <f aca="false">PARÁMETROS!$B$8</f>
        <v>0.05</v>
      </c>
      <c r="G69" s="20" t="n">
        <f aca="false">E69*(1+F69)</f>
        <v>6.49458284362695</v>
      </c>
      <c r="H69" s="22" t="n">
        <f aca="false">INDEX(PARÁMETROS!$B$37:$B$45,MATCH(C69,PARÁMETROS!$A$37:$A$45,0))</f>
        <v>210</v>
      </c>
      <c r="I69" s="20" t="n">
        <f aca="false">G69*INDEX(PARÁMETROS!$B$49:$B$54,MATCH(H69,PARÁMETROS!$A$49:$A$54,0))</f>
        <v>63.1922910684902</v>
      </c>
      <c r="J69" s="20" t="n">
        <f aca="false">G69*INDEX(PARÁMETROS!$C$49:$C$54,MATCH(H69,PARÁMETROS!$A$49:$A$54,0))</f>
        <v>3.37718307868601</v>
      </c>
      <c r="K69" s="20" t="n">
        <f aca="false">G69*INDEX(PARÁMETROS!$D$49:$D$54,MATCH(H69,PARÁMETROS!$A$49:$A$54,0))</f>
        <v>3.44212890712228</v>
      </c>
      <c r="L69" s="20" t="n">
        <f aca="false">G69*INDEX(PARÁMETROS!$E$49:$E$54,MATCH(H69,PARÁMETROS!$A$49:$A$54,0))/1000</f>
        <v>1.20799240891461</v>
      </c>
      <c r="X69" s="7" t="s">
        <v>217</v>
      </c>
    </row>
    <row r="70" customFormat="false" ht="15" hidden="false" customHeight="false" outlineLevel="0" collapsed="false">
      <c r="A70" s="5" t="s">
        <v>227</v>
      </c>
      <c r="B70" s="5" t="s">
        <v>117</v>
      </c>
      <c r="C70" s="5" t="s">
        <v>76</v>
      </c>
      <c r="D70" s="5" t="s">
        <v>120</v>
      </c>
      <c r="E70" s="20" t="n">
        <f aca="false">SUMIFS('DATOS MODELO'!$L$5:$L$227,'DATOS MODELO'!$B$5:$B$227,"NIVEL 3",'DATOS MODELO'!$C$5:$C$227,"Losa aligerada")*PARÁMETROS!$B$32+(SUMIFS('DATOS MODELO'!$K$5:$K$227,'DATOS MODELO'!$B$5:$B$227,"NIVEL 3",'DATOS MODELO'!$C$5:$C$227,"Losa aligerada")-SUMIFS('DATOS MODELO'!$L$5:$L$227,'DATOS MODELO'!$B$5:$B$227,"NIVEL 3",'DATOS MODELO'!$C$5:$C$227,"Losa aligerada"))*PARÁMETROS!$B$26</f>
        <v>10.65635</v>
      </c>
      <c r="F70" s="21" t="n">
        <f aca="false">PARÁMETROS!$B$8</f>
        <v>0.05</v>
      </c>
      <c r="G70" s="20" t="n">
        <f aca="false">E70*(1+F70)</f>
        <v>11.1891675</v>
      </c>
      <c r="H70" s="22" t="n">
        <f aca="false">INDEX(PARÁMETROS!$B$37:$B$45,MATCH(C70,PARÁMETROS!$A$37:$A$45,0))</f>
        <v>210</v>
      </c>
      <c r="I70" s="20" t="n">
        <f aca="false">G70*INDEX(PARÁMETROS!$B$49:$B$54,MATCH(H70,PARÁMETROS!$A$49:$A$54,0))</f>
        <v>108.870599775</v>
      </c>
      <c r="J70" s="20" t="n">
        <f aca="false">G70*INDEX(PARÁMETROS!$C$49:$C$54,MATCH(H70,PARÁMETROS!$A$49:$A$54,0))</f>
        <v>5.8183671</v>
      </c>
      <c r="K70" s="20" t="n">
        <f aca="false">G70*INDEX(PARÁMETROS!$D$49:$D$54,MATCH(H70,PARÁMETROS!$A$49:$A$54,0))</f>
        <v>5.930258775</v>
      </c>
      <c r="L70" s="20" t="n">
        <f aca="false">G70*INDEX(PARÁMETROS!$E$49:$E$54,MATCH(H70,PARÁMETROS!$A$49:$A$54,0))/1000</f>
        <v>2.081185155</v>
      </c>
      <c r="X70" s="7" t="s">
        <v>218</v>
      </c>
    </row>
    <row r="71" customFormat="false" ht="15" hidden="false" customHeight="false" outlineLevel="0" collapsed="false">
      <c r="A71" s="5" t="s">
        <v>227</v>
      </c>
      <c r="B71" s="5" t="s">
        <v>117</v>
      </c>
      <c r="C71" s="5" t="s">
        <v>77</v>
      </c>
      <c r="D71" s="5" t="s">
        <v>120</v>
      </c>
      <c r="E71" s="20" t="n">
        <f aca="false">SUMIFS('DATOS MODELO'!$F$5:$F$227,'DATOS MODELO'!$B$5:$B$227,"NIVEL 3",'DATOS MODELO'!$C$5:$C$227,"Escalera")</f>
        <v>2.07762818014428</v>
      </c>
      <c r="F71" s="21" t="n">
        <f aca="false">PARÁMETROS!$B$8</f>
        <v>0.05</v>
      </c>
      <c r="G71" s="20" t="n">
        <f aca="false">E71*(1+F71)</f>
        <v>2.1815095891515</v>
      </c>
      <c r="H71" s="22" t="n">
        <f aca="false">INDEX(PARÁMETROS!$B$37:$B$45,MATCH(C71,PARÁMETROS!$A$37:$A$45,0))</f>
        <v>210</v>
      </c>
      <c r="I71" s="20" t="n">
        <f aca="false">G71*INDEX(PARÁMETROS!$B$49:$B$54,MATCH(H71,PARÁMETROS!$A$49:$A$54,0))</f>
        <v>21.2260883024441</v>
      </c>
      <c r="J71" s="20" t="n">
        <f aca="false">G71*INDEX(PARÁMETROS!$C$49:$C$54,MATCH(H71,PARÁMETROS!$A$49:$A$54,0))</f>
        <v>1.13438498635878</v>
      </c>
      <c r="K71" s="20" t="n">
        <f aca="false">G71*INDEX(PARÁMETROS!$D$49:$D$54,MATCH(H71,PARÁMETROS!$A$49:$A$54,0))</f>
        <v>1.15620008225029</v>
      </c>
      <c r="L71" s="20" t="n">
        <f aca="false">G71*INDEX(PARÁMETROS!$E$49:$E$54,MATCH(H71,PARÁMETROS!$A$49:$A$54,0))/1000</f>
        <v>0.405760783582179</v>
      </c>
      <c r="X71" s="7" t="s">
        <v>219</v>
      </c>
    </row>
    <row r="72" customFormat="false" ht="15" hidden="false" customHeight="false" outlineLevel="0" collapsed="false">
      <c r="A72" s="5" t="s">
        <v>227</v>
      </c>
      <c r="B72" s="5" t="s">
        <v>220</v>
      </c>
      <c r="C72" s="5" t="s">
        <v>76</v>
      </c>
      <c r="D72" s="5" t="s">
        <v>129</v>
      </c>
      <c r="E72" s="24" t="n">
        <f aca="false">SUMIFS('DATOS MODELO'!$L$5:$L$227,'DATOS MODELO'!$B$5:$B$227,"NIVEL 3",'DATOS MODELO'!$C$5:$C$227,"Losa aligerada")*PARÁMETROS!$B$33</f>
        <v>144.741666666667</v>
      </c>
      <c r="F72" s="21" t="n">
        <f aca="false">PARÁMETROS!$B$9</f>
        <v>0.03</v>
      </c>
      <c r="G72" s="24" t="n">
        <f aca="false">E72*(1+F72)</f>
        <v>149.083916666667</v>
      </c>
      <c r="H72" s="5" t="s">
        <v>221</v>
      </c>
      <c r="M72" s="25" t="n">
        <f aca="false">G72</f>
        <v>149.083916666667</v>
      </c>
      <c r="X72" s="7" t="s">
        <v>222</v>
      </c>
    </row>
    <row r="73" customFormat="false" ht="15" hidden="false" customHeight="false" outlineLevel="0" collapsed="false">
      <c r="A73" s="5" t="s">
        <v>227</v>
      </c>
      <c r="B73" s="5" t="s">
        <v>151</v>
      </c>
      <c r="C73" s="5" t="s">
        <v>74</v>
      </c>
      <c r="D73" s="5" t="s">
        <v>201</v>
      </c>
      <c r="E73" s="20" t="n">
        <f aca="false">SUMIFS('DATOS MODELO'!$G$5:$G$227,'DATOS MODELO'!$B$5:$B$227,"NIVEL 3",'DATOS MODELO'!$C$5:$C$227,"Columnas")</f>
        <v>63.2915373363425</v>
      </c>
      <c r="F73" s="23" t="n">
        <v>0</v>
      </c>
      <c r="G73" s="20" t="n">
        <f aca="false">E73*(1+F73)</f>
        <v>63.2915373363425</v>
      </c>
      <c r="H73" s="5" t="s">
        <v>74</v>
      </c>
      <c r="O73" s="24" t="n">
        <f aca="false">G73*INDEX(PARÁMETROS!$B$58:$B$66,MATCH(H73,PARÁMETROS!$A$58:$A$66,0))/PARÁMETROS!$B$10</f>
        <v>47.4686530022569</v>
      </c>
      <c r="P73" s="20" t="n">
        <f aca="false">G73*INDEX(PARÁMETROS!$C$58:$C$66,MATCH(H73,PARÁMETROS!$A$58:$A$66,0))/PARÁMETROS!$B$11</f>
        <v>13.2912228406319</v>
      </c>
      <c r="Q73" s="20" t="n">
        <f aca="false">G73*INDEX(PARÁMETROS!$D$58:$D$66,MATCH(H73,PARÁMETROS!$A$58:$A$66,0))</f>
        <v>9.49373060045138</v>
      </c>
      <c r="R73" s="20" t="n">
        <f aca="false">G73*INDEX(PARÁMETROS!$E$58:$E$66,MATCH(H73,PARÁMETROS!$A$58:$A$66,0))</f>
        <v>15.8228843340856</v>
      </c>
      <c r="S73" s="24" t="n">
        <f aca="false">G73*INDEX(PARÁMETROS!$F$58:$F$66,MATCH(H73,PARÁMETROS!$A$58:$A$66,0))/PARÁMETROS!$B$12</f>
        <v>0</v>
      </c>
      <c r="T73" s="20" t="n">
        <f aca="false">G73*PARÁMETROS!$B$17/3.785</f>
        <v>1.33773394634277</v>
      </c>
      <c r="V73" s="25" t="n">
        <f aca="false">G73*INDEX(PARÁMETROS!$G$58:$G$66,MATCH(H73,PARÁMETROS!$A$58:$A$66,0))</f>
        <v>126.583074672685</v>
      </c>
      <c r="X73" s="7"/>
    </row>
    <row r="74" customFormat="false" ht="15" hidden="false" customHeight="false" outlineLevel="0" collapsed="false">
      <c r="A74" s="5" t="s">
        <v>227</v>
      </c>
      <c r="B74" s="5" t="s">
        <v>151</v>
      </c>
      <c r="C74" s="5" t="s">
        <v>75</v>
      </c>
      <c r="D74" s="5" t="s">
        <v>201</v>
      </c>
      <c r="E74" s="20" t="n">
        <f aca="false">SUMIFS('DATOS MODELO'!$G$5:$G$227,'DATOS MODELO'!$B$5:$B$227,"NIVEL 3",'DATOS MODELO'!$C$5:$C$227,"Vigas")</f>
        <v>40.7553401986359</v>
      </c>
      <c r="F74" s="23" t="n">
        <v>0</v>
      </c>
      <c r="G74" s="20" t="n">
        <f aca="false">E74*(1+F74)</f>
        <v>40.7553401986359</v>
      </c>
      <c r="H74" s="5" t="s">
        <v>100</v>
      </c>
      <c r="O74" s="24" t="n">
        <f aca="false">G74*INDEX(PARÁMETROS!$B$58:$B$66,MATCH(H74,PARÁMETROS!$A$58:$A$66,0))/PARÁMETROS!$B$10</f>
        <v>30.566505148977</v>
      </c>
      <c r="P74" s="20" t="n">
        <f aca="false">G74*INDEX(PARÁMETROS!$C$58:$C$66,MATCH(H74,PARÁMETROS!$A$58:$A$66,0))/PARÁMETROS!$B$11</f>
        <v>8.55862144171355</v>
      </c>
      <c r="Q74" s="20" t="n">
        <f aca="false">G74*INDEX(PARÁMETROS!$D$58:$D$66,MATCH(H74,PARÁMETROS!$A$58:$A$66,0))</f>
        <v>7.33596123575447</v>
      </c>
      <c r="R74" s="20" t="n">
        <f aca="false">G74*INDEX(PARÁMETROS!$E$58:$E$66,MATCH(H74,PARÁMETROS!$A$58:$A$66,0))</f>
        <v>10.188835049659</v>
      </c>
      <c r="S74" s="24" t="n">
        <f aca="false">G74*INDEX(PARÁMETROS!$F$58:$F$66,MATCH(H74,PARÁMETROS!$A$58:$A$66,0))/PARÁMETROS!$B$12</f>
        <v>0</v>
      </c>
      <c r="T74" s="20" t="n">
        <f aca="false">G74*PARÁMETROS!$B$17/3.785</f>
        <v>0.861407454660733</v>
      </c>
      <c r="V74" s="25" t="n">
        <f aca="false">G74*INDEX(PARÁMETROS!$G$58:$G$66,MATCH(H74,PARÁMETROS!$A$58:$A$66,0))</f>
        <v>81.5106803972719</v>
      </c>
      <c r="X74" s="7"/>
    </row>
    <row r="75" customFormat="false" ht="15" hidden="false" customHeight="false" outlineLevel="0" collapsed="false">
      <c r="A75" s="5" t="s">
        <v>227</v>
      </c>
      <c r="B75" s="5" t="s">
        <v>151</v>
      </c>
      <c r="C75" s="5" t="s">
        <v>75</v>
      </c>
      <c r="D75" s="5" t="s">
        <v>201</v>
      </c>
      <c r="E75" s="20" t="n">
        <f aca="false">SUMIFS('DATOS MODELO'!$H$5:$H$227,'DATOS MODELO'!$B$5:$B$227,"NIVEL 3",'DATOS MODELO'!$C$5:$C$227,"Vigas")</f>
        <v>18.0967282008973</v>
      </c>
      <c r="F75" s="23" t="n">
        <v>0</v>
      </c>
      <c r="G75" s="20" t="n">
        <f aca="false">E75*(1+F75)</f>
        <v>18.0967282008973</v>
      </c>
      <c r="H75" s="5" t="s">
        <v>101</v>
      </c>
      <c r="O75" s="24" t="n">
        <f aca="false">G75*INDEX(PARÁMETROS!$B$58:$B$66,MATCH(H75,PARÁMETROS!$A$58:$A$66,0))/PARÁMETROS!$B$10</f>
        <v>18.0967282008973</v>
      </c>
      <c r="P75" s="20" t="n">
        <f aca="false">G75*INDEX(PARÁMETROS!$C$58:$C$66,MATCH(H75,PARÁMETROS!$A$58:$A$66,0))/PARÁMETROS!$B$11</f>
        <v>3.80031292218844</v>
      </c>
      <c r="Q75" s="20" t="n">
        <f aca="false">G75*INDEX(PARÁMETROS!$D$58:$D$66,MATCH(H75,PARÁMETROS!$A$58:$A$66,0))</f>
        <v>3.25741107616152</v>
      </c>
      <c r="R75" s="20" t="n">
        <f aca="false">G75*INDEX(PARÁMETROS!$E$58:$E$66,MATCH(H75,PARÁMETROS!$A$58:$A$66,0))</f>
        <v>4.52418205022434</v>
      </c>
      <c r="S75" s="24" t="n">
        <f aca="false">G75*INDEX(PARÁMETROS!$F$58:$F$66,MATCH(H75,PARÁMETROS!$A$58:$A$66,0))/PARÁMETROS!$B$12</f>
        <v>7.91731858789259</v>
      </c>
      <c r="T75" s="20" t="n">
        <f aca="false">G75*PARÁMETROS!$B$17/3.785</f>
        <v>0.382493594734951</v>
      </c>
      <c r="V75" s="25" t="n">
        <f aca="false">G75*INDEX(PARÁMETROS!$G$58:$G$66,MATCH(H75,PARÁMETROS!$A$58:$A$66,0))</f>
        <v>72.3869128035894</v>
      </c>
      <c r="X75" s="7"/>
    </row>
    <row r="76" customFormat="false" ht="15" hidden="false" customHeight="false" outlineLevel="0" collapsed="false">
      <c r="A76" s="5" t="s">
        <v>227</v>
      </c>
      <c r="B76" s="5" t="s">
        <v>151</v>
      </c>
      <c r="C76" s="5" t="s">
        <v>76</v>
      </c>
      <c r="D76" s="5" t="s">
        <v>201</v>
      </c>
      <c r="E76" s="20" t="n">
        <f aca="false">SUMIFS('DATOS MODELO'!$H$5:$H$227,'DATOS MODELO'!$B$5:$B$227,"NIVEL 3",'DATOS MODELO'!$C$5:$C$227,"Losa aligerada")</f>
        <v>74.5240335650718</v>
      </c>
      <c r="F76" s="23" t="n">
        <v>0</v>
      </c>
      <c r="G76" s="20" t="n">
        <f aca="false">E76*(1+F76)</f>
        <v>74.5240335650718</v>
      </c>
      <c r="H76" s="5" t="s">
        <v>102</v>
      </c>
      <c r="O76" s="24" t="n">
        <f aca="false">G76*INDEX(PARÁMETROS!$B$58:$B$66,MATCH(H76,PARÁMETROS!$A$58:$A$66,0))/PARÁMETROS!$B$10</f>
        <v>46.5775209781699</v>
      </c>
      <c r="P76" s="20" t="n">
        <f aca="false">G76*INDEX(PARÁMETROS!$C$58:$C$66,MATCH(H76,PARÁMETROS!$A$58:$A$66,0))/PARÁMETROS!$B$11</f>
        <v>15.6500470486651</v>
      </c>
      <c r="Q76" s="20" t="n">
        <f aca="false">G76*INDEX(PARÁMETROS!$D$58:$D$66,MATCH(H76,PARÁMETROS!$A$58:$A$66,0))</f>
        <v>8.94288402780861</v>
      </c>
      <c r="R76" s="20" t="n">
        <f aca="false">G76*INDEX(PARÁMETROS!$E$58:$E$66,MATCH(H76,PARÁMETROS!$A$58:$A$66,0))</f>
        <v>11.1786050347608</v>
      </c>
      <c r="S76" s="24" t="n">
        <f aca="false">G76*INDEX(PARÁMETROS!$F$58:$F$66,MATCH(H76,PARÁMETROS!$A$58:$A$66,0))/PARÁMETROS!$B$12</f>
        <v>9.31550419563397</v>
      </c>
      <c r="T76" s="20" t="n">
        <f aca="false">G76*PARÁMETROS!$B$17/3.785</f>
        <v>1.57514469886545</v>
      </c>
      <c r="V76" s="25" t="n">
        <f aca="false">G76*INDEX(PARÁMETROS!$G$58:$G$66,MATCH(H76,PARÁMETROS!$A$58:$A$66,0))</f>
        <v>186.310083912679</v>
      </c>
      <c r="X76" s="7" t="s">
        <v>223</v>
      </c>
    </row>
    <row r="77" customFormat="false" ht="15" hidden="false" customHeight="false" outlineLevel="0" collapsed="false">
      <c r="A77" s="5" t="s">
        <v>227</v>
      </c>
      <c r="B77" s="5" t="s">
        <v>151</v>
      </c>
      <c r="C77" s="5" t="s">
        <v>76</v>
      </c>
      <c r="D77" s="5" t="s">
        <v>201</v>
      </c>
      <c r="E77" s="20" t="n">
        <f aca="false">SUMIFS('DATOS MODELO'!$G$5:$G$227,'DATOS MODELO'!$B$5:$B$227,"NIVEL 3",'DATOS MODELO'!$C$5:$C$227,"Losa aligerada")</f>
        <v>6.92003668179376</v>
      </c>
      <c r="F77" s="23" t="n">
        <v>0</v>
      </c>
      <c r="G77" s="20" t="n">
        <f aca="false">E77*(1+F77)</f>
        <v>6.92003668179376</v>
      </c>
      <c r="H77" s="5" t="s">
        <v>103</v>
      </c>
      <c r="O77" s="24" t="n">
        <f aca="false">G77*INDEX(PARÁMETROS!$B$58:$B$66,MATCH(H77,PARÁMETROS!$A$58:$A$66,0))/PARÁMETROS!$B$10</f>
        <v>5.19002751134532</v>
      </c>
      <c r="P77" s="20" t="n">
        <f aca="false">G77*INDEX(PARÁMETROS!$C$58:$C$66,MATCH(H77,PARÁMETROS!$A$58:$A$66,0))/PARÁMETROS!$B$11</f>
        <v>0</v>
      </c>
      <c r="Q77" s="20" t="n">
        <f aca="false">G77*INDEX(PARÁMETROS!$D$58:$D$66,MATCH(H77,PARÁMETROS!$A$58:$A$66,0))</f>
        <v>1.03800550226906</v>
      </c>
      <c r="R77" s="20" t="n">
        <f aca="false">G77*INDEX(PARÁMETROS!$E$58:$E$66,MATCH(H77,PARÁMETROS!$A$58:$A$66,0))</f>
        <v>1.38400733635875</v>
      </c>
      <c r="S77" s="24" t="n">
        <f aca="false">G77*INDEX(PARÁMETROS!$F$58:$F$66,MATCH(H77,PARÁMETROS!$A$58:$A$66,0))/PARÁMETROS!$B$12</f>
        <v>0</v>
      </c>
      <c r="T77" s="20" t="n">
        <f aca="false">G77*PARÁMETROS!$B$17/3.785</f>
        <v>0.146262334093395</v>
      </c>
      <c r="V77" s="25" t="n">
        <f aca="false">G77*INDEX(PARÁMETROS!$G$58:$G$66,MATCH(H77,PARÁMETROS!$A$58:$A$66,0))</f>
        <v>0</v>
      </c>
      <c r="X77" s="7"/>
    </row>
    <row r="78" customFormat="false" ht="15" hidden="false" customHeight="false" outlineLevel="0" collapsed="false">
      <c r="A78" s="5" t="s">
        <v>227</v>
      </c>
      <c r="B78" s="5" t="s">
        <v>151</v>
      </c>
      <c r="C78" s="5" t="s">
        <v>77</v>
      </c>
      <c r="D78" s="5" t="s">
        <v>201</v>
      </c>
      <c r="E78" s="20" t="n">
        <f aca="false">SUMIFS('DATOS MODELO'!$H$5:$H$227,'DATOS MODELO'!$B$5:$B$227,"NIVEL 3",'DATOS MODELO'!$C$5:$C$227,"Escalera")</f>
        <v>9.03239610614568</v>
      </c>
      <c r="F78" s="23" t="n">
        <v>0</v>
      </c>
      <c r="G78" s="20" t="n">
        <f aca="false">E78*(1+F78)</f>
        <v>9.03239610614568</v>
      </c>
      <c r="H78" s="5" t="s">
        <v>104</v>
      </c>
      <c r="O78" s="24" t="n">
        <f aca="false">G78*INDEX(PARÁMETROS!$B$58:$B$66,MATCH(H78,PARÁMETROS!$A$58:$A$66,0))/PARÁMETROS!$B$10</f>
        <v>9.03239610614568</v>
      </c>
      <c r="P78" s="20" t="n">
        <f aca="false">G78*INDEX(PARÁMETROS!$C$58:$C$66,MATCH(H78,PARÁMETROS!$A$58:$A$66,0))/PARÁMETROS!$B$11</f>
        <v>1.89680318229059</v>
      </c>
      <c r="Q78" s="20" t="n">
        <f aca="false">G78*INDEX(PARÁMETROS!$D$58:$D$66,MATCH(H78,PARÁMETROS!$A$58:$A$66,0))</f>
        <v>1.80647922122914</v>
      </c>
      <c r="R78" s="20" t="n">
        <f aca="false">G78*INDEX(PARÁMETROS!$E$58:$E$66,MATCH(H78,PARÁMETROS!$A$58:$A$66,0))</f>
        <v>1.80647922122914</v>
      </c>
      <c r="S78" s="24" t="n">
        <f aca="false">G78*INDEX(PARÁMETROS!$F$58:$F$66,MATCH(H78,PARÁMETROS!$A$58:$A$66,0))/PARÁMETROS!$B$12</f>
        <v>1.35485941592185</v>
      </c>
      <c r="T78" s="20" t="n">
        <f aca="false">G78*PARÁMETROS!$B$17/3.785</f>
        <v>0.190909296827386</v>
      </c>
      <c r="V78" s="25" t="n">
        <f aca="false">G78*INDEX(PARÁMETROS!$G$58:$G$66,MATCH(H78,PARÁMETROS!$A$58:$A$66,0))</f>
        <v>22.5809902653642</v>
      </c>
      <c r="X78" s="7"/>
    </row>
    <row r="79" customFormat="false" ht="15" hidden="false" customHeight="false" outlineLevel="0" collapsed="false">
      <c r="A79" s="5" t="s">
        <v>227</v>
      </c>
      <c r="B79" s="5" t="s">
        <v>151</v>
      </c>
      <c r="C79" s="5" t="s">
        <v>77</v>
      </c>
      <c r="D79" s="5" t="s">
        <v>201</v>
      </c>
      <c r="E79" s="20" t="n">
        <f aca="false">SUMIFS('DATOS MODELO'!$G$5:$G$227,'DATOS MODELO'!$B$5:$B$227,"NIVEL 3",'DATOS MODELO'!$C$5:$C$227,"Escalera")</f>
        <v>6.19079530176097</v>
      </c>
      <c r="F79" s="23" t="n">
        <v>0</v>
      </c>
      <c r="G79" s="20" t="n">
        <f aca="false">E79*(1+F79)</f>
        <v>6.19079530176097</v>
      </c>
      <c r="H79" s="5" t="s">
        <v>105</v>
      </c>
      <c r="O79" s="24" t="n">
        <f aca="false">G79*INDEX(PARÁMETROS!$B$58:$B$66,MATCH(H79,PARÁMETROS!$A$58:$A$66,0))/PARÁMETROS!$B$10</f>
        <v>5.41694588904085</v>
      </c>
      <c r="P79" s="20" t="n">
        <f aca="false">G79*INDEX(PARÁMETROS!$C$58:$C$66,MATCH(H79,PARÁMETROS!$A$58:$A$66,0))/PARÁMETROS!$B$11</f>
        <v>0</v>
      </c>
      <c r="Q79" s="20" t="n">
        <f aca="false">G79*INDEX(PARÁMETROS!$D$58:$D$66,MATCH(H79,PARÁMETROS!$A$58:$A$66,0))</f>
        <v>1.23815906035219</v>
      </c>
      <c r="R79" s="20" t="n">
        <f aca="false">G79*INDEX(PARÁMETROS!$E$58:$E$66,MATCH(H79,PARÁMETROS!$A$58:$A$66,0))</f>
        <v>1.23815906035219</v>
      </c>
      <c r="S79" s="24" t="n">
        <f aca="false">G79*INDEX(PARÁMETROS!$F$58:$F$66,MATCH(H79,PARÁMETROS!$A$58:$A$66,0))/PARÁMETROS!$B$12</f>
        <v>0</v>
      </c>
      <c r="T79" s="20" t="n">
        <f aca="false">G79*PARÁMETROS!$B$17/3.785</f>
        <v>0.130849042045146</v>
      </c>
      <c r="V79" s="25" t="n">
        <f aca="false">G79*INDEX(PARÁMETROS!$G$58:$G$66,MATCH(H79,PARÁMETROS!$A$58:$A$66,0))</f>
        <v>0</v>
      </c>
      <c r="X79" s="7" t="s">
        <v>224</v>
      </c>
    </row>
    <row r="80" customFormat="false" ht="15" hidden="false" customHeight="false" outlineLevel="0" collapsed="false">
      <c r="A80" s="5" t="s">
        <v>227</v>
      </c>
      <c r="B80" s="5" t="s">
        <v>134</v>
      </c>
      <c r="C80" s="5" t="s">
        <v>74</v>
      </c>
      <c r="D80" s="5" t="s">
        <v>142</v>
      </c>
      <c r="E80" s="24" t="n">
        <f aca="false">SUMIFS('DATOS MODELO'!$E$232:$E$279,'DATOS MODELO'!$A$232:$A$279,"NIVEL 3",'DATOS MODELO'!$B$232:$B$279,"Columnas",'DATOS MODELO'!$C$232:$C$279,"1/4")*INDEX(PARÁMETROS!$B$93:$B$97,MATCH("1/4",PARÁMETROS!$A$93:$A$97,0))+SUMIFS('DATOS MODELO'!$E$232:$E$279,'DATOS MODELO'!$A$232:$A$279,"NIVEL 3",'DATOS MODELO'!$B$232:$B$279,"Columnas",'DATOS MODELO'!$C$232:$C$279,"3/8")*INDEX(PARÁMETROS!$B$93:$B$97,MATCH("3/8",PARÁMETROS!$A$93:$A$97,0))+SUMIFS('DATOS MODELO'!$E$232:$E$279,'DATOS MODELO'!$A$232:$A$279,"NIVEL 3",'DATOS MODELO'!$B$232:$B$279,"Columnas",'DATOS MODELO'!$C$232:$C$279,"1/2")*INDEX(PARÁMETROS!$B$93:$B$97,MATCH("1/2",PARÁMETROS!$A$93:$A$97,0))+SUMIFS('DATOS MODELO'!$E$232:$E$279,'DATOS MODELO'!$A$232:$A$279,"NIVEL 3",'DATOS MODELO'!$B$232:$B$279,"Columnas",'DATOS MODELO'!$C$232:$C$279,"5/8")*INDEX(PARÁMETROS!$B$93:$B$97,MATCH("5/8",PARÁMETROS!$A$93:$A$97,0))+SUMIFS('DATOS MODELO'!$E$232:$E$279,'DATOS MODELO'!$A$232:$A$279,"NIVEL 3",'DATOS MODELO'!$B$232:$B$279,"Columnas",'DATOS MODELO'!$C$232:$C$279,"3/4")*INDEX(PARÁMETROS!$B$93:$B$97,MATCH("3/4",PARÁMETROS!$A$93:$A$97,0))</f>
        <v>1442.003168</v>
      </c>
      <c r="F80" s="23" t="n">
        <v>0</v>
      </c>
      <c r="G80" s="24" t="n">
        <f aca="false">E80*(1+F80)</f>
        <v>1442.003168</v>
      </c>
      <c r="H80" s="5" t="s">
        <v>203</v>
      </c>
      <c r="N80" s="24" t="n">
        <f aca="false">G80*PARÁMETROS!$B$13</f>
        <v>43.26009504</v>
      </c>
      <c r="W80" s="20" t="n">
        <f aca="false">SUMIFS('DATOS MODELO'!$D$232:$D$279,'DATOS MODELO'!$A$232:$A$279,"NIVEL 3",'DATOS MODELO'!$B$232:$B$279,"Columnas")/PARÁMETROS!$B$15</f>
        <v>9.32</v>
      </c>
      <c r="X80" s="7" t="s">
        <v>204</v>
      </c>
    </row>
    <row r="81" customFormat="false" ht="15" hidden="false" customHeight="false" outlineLevel="0" collapsed="false">
      <c r="A81" s="5" t="s">
        <v>227</v>
      </c>
      <c r="B81" s="5" t="s">
        <v>134</v>
      </c>
      <c r="C81" s="5" t="s">
        <v>75</v>
      </c>
      <c r="D81" s="5" t="s">
        <v>142</v>
      </c>
      <c r="E81" s="24" t="n">
        <f aca="false">SUMIFS('DATOS MODELO'!$E$232:$E$279,'DATOS MODELO'!$A$232:$A$279,"NIVEL 3",'DATOS MODELO'!$B$232:$B$279,"Vigas",'DATOS MODELO'!$C$232:$C$279,"1/4")*INDEX(PARÁMETROS!$B$93:$B$97,MATCH("1/4",PARÁMETROS!$A$93:$A$97,0))+SUMIFS('DATOS MODELO'!$E$232:$E$279,'DATOS MODELO'!$A$232:$A$279,"NIVEL 3",'DATOS MODELO'!$B$232:$B$279,"Vigas",'DATOS MODELO'!$C$232:$C$279,"3/8")*INDEX(PARÁMETROS!$B$93:$B$97,MATCH("3/8",PARÁMETROS!$A$93:$A$97,0))+SUMIFS('DATOS MODELO'!$E$232:$E$279,'DATOS MODELO'!$A$232:$A$279,"NIVEL 3",'DATOS MODELO'!$B$232:$B$279,"Vigas",'DATOS MODELO'!$C$232:$C$279,"1/2")*INDEX(PARÁMETROS!$B$93:$B$97,MATCH("1/2",PARÁMETROS!$A$93:$A$97,0))+SUMIFS('DATOS MODELO'!$E$232:$E$279,'DATOS MODELO'!$A$232:$A$279,"NIVEL 3",'DATOS MODELO'!$B$232:$B$279,"Vigas",'DATOS MODELO'!$C$232:$C$279,"5/8")*INDEX(PARÁMETROS!$B$93:$B$97,MATCH("5/8",PARÁMETROS!$A$93:$A$97,0))+SUMIFS('DATOS MODELO'!$E$232:$E$279,'DATOS MODELO'!$A$232:$A$279,"NIVEL 3",'DATOS MODELO'!$B$232:$B$279,"Vigas",'DATOS MODELO'!$C$232:$C$279,"3/4")*INDEX(PARÁMETROS!$B$93:$B$97,MATCH("3/4",PARÁMETROS!$A$93:$A$97,0))</f>
        <v>1655.621124</v>
      </c>
      <c r="F81" s="23" t="n">
        <v>0</v>
      </c>
      <c r="G81" s="24" t="n">
        <f aca="false">E81*(1+F81)</f>
        <v>1655.621124</v>
      </c>
      <c r="H81" s="5" t="s">
        <v>203</v>
      </c>
      <c r="N81" s="24" t="n">
        <f aca="false">G81*PARÁMETROS!$B$13</f>
        <v>49.66863372</v>
      </c>
      <c r="W81" s="20" t="n">
        <f aca="false">SUMIFS('DATOS MODELO'!$D$232:$D$279,'DATOS MODELO'!$A$232:$A$279,"NIVEL 3",'DATOS MODELO'!$B$232:$B$279,"Vigas")/PARÁMETROS!$B$15</f>
        <v>3.76</v>
      </c>
      <c r="X81" s="7" t="s">
        <v>204</v>
      </c>
    </row>
    <row r="82" customFormat="false" ht="15" hidden="false" customHeight="false" outlineLevel="0" collapsed="false">
      <c r="A82" s="5" t="s">
        <v>227</v>
      </c>
      <c r="B82" s="5" t="s">
        <v>134</v>
      </c>
      <c r="C82" s="5" t="s">
        <v>76</v>
      </c>
      <c r="D82" s="5" t="s">
        <v>142</v>
      </c>
      <c r="E82" s="24" t="n">
        <f aca="false">SUMIFS('DATOS MODELO'!$E$232:$E$279,'DATOS MODELO'!$A$232:$A$279,"NIVEL 3",'DATOS MODELO'!$B$232:$B$279,"Losa aligerada",'DATOS MODELO'!$C$232:$C$279,"1/4")*INDEX(PARÁMETROS!$B$93:$B$97,MATCH("1/4",PARÁMETROS!$A$93:$A$97,0))+SUMIFS('DATOS MODELO'!$E$232:$E$279,'DATOS MODELO'!$A$232:$A$279,"NIVEL 3",'DATOS MODELO'!$B$232:$B$279,"Losa aligerada",'DATOS MODELO'!$C$232:$C$279,"3/8")*INDEX(PARÁMETROS!$B$93:$B$97,MATCH("3/8",PARÁMETROS!$A$93:$A$97,0))+SUMIFS('DATOS MODELO'!$E$232:$E$279,'DATOS MODELO'!$A$232:$A$279,"NIVEL 3",'DATOS MODELO'!$B$232:$B$279,"Losa aligerada",'DATOS MODELO'!$C$232:$C$279,"1/2")*INDEX(PARÁMETROS!$B$93:$B$97,MATCH("1/2",PARÁMETROS!$A$93:$A$97,0))+SUMIFS('DATOS MODELO'!$E$232:$E$279,'DATOS MODELO'!$A$232:$A$279,"NIVEL 3",'DATOS MODELO'!$B$232:$B$279,"Losa aligerada",'DATOS MODELO'!$C$232:$C$279,"5/8")*INDEX(PARÁMETROS!$B$93:$B$97,MATCH("5/8",PARÁMETROS!$A$93:$A$97,0))+SUMIFS('DATOS MODELO'!$E$232:$E$279,'DATOS MODELO'!$A$232:$A$279,"NIVEL 3",'DATOS MODELO'!$B$232:$B$279,"Losa aligerada",'DATOS MODELO'!$C$232:$C$279,"3/4")*INDEX(PARÁMETROS!$B$93:$B$97,MATCH("3/4",PARÁMETROS!$A$93:$A$97,0))</f>
        <v>558.667036</v>
      </c>
      <c r="F82" s="23" t="n">
        <v>0</v>
      </c>
      <c r="G82" s="24" t="n">
        <f aca="false">E82*(1+F82)</f>
        <v>558.667036</v>
      </c>
      <c r="H82" s="5" t="s">
        <v>203</v>
      </c>
      <c r="N82" s="24" t="n">
        <f aca="false">G82*PARÁMETROS!$B$13</f>
        <v>16.76001108</v>
      </c>
      <c r="W82" s="20" t="n">
        <f aca="false">SUMIFS('DATOS MODELO'!$D$232:$D$279,'DATOS MODELO'!$A$232:$A$279,"NIVEL 3",'DATOS MODELO'!$B$232:$B$279,"Losa aligerada")/PARÁMETROS!$B$15</f>
        <v>2.46666666666667</v>
      </c>
      <c r="X82" s="7" t="s">
        <v>204</v>
      </c>
    </row>
    <row r="83" customFormat="false" ht="15" hidden="false" customHeight="false" outlineLevel="0" collapsed="false">
      <c r="A83" s="5" t="s">
        <v>227</v>
      </c>
      <c r="B83" s="5" t="s">
        <v>134</v>
      </c>
      <c r="C83" s="5" t="s">
        <v>77</v>
      </c>
      <c r="D83" s="5" t="s">
        <v>142</v>
      </c>
      <c r="E83" s="24" t="n">
        <f aca="false">SUMIFS('DATOS MODELO'!$E$232:$E$279,'DATOS MODELO'!$A$232:$A$279,"NIVEL 3",'DATOS MODELO'!$B$232:$B$279,"Escalera",'DATOS MODELO'!$C$232:$C$279,"1/4")*INDEX(PARÁMETROS!$B$93:$B$97,MATCH("1/4",PARÁMETROS!$A$93:$A$97,0))+SUMIFS('DATOS MODELO'!$E$232:$E$279,'DATOS MODELO'!$A$232:$A$279,"NIVEL 3",'DATOS MODELO'!$B$232:$B$279,"Escalera",'DATOS MODELO'!$C$232:$C$279,"3/8")*INDEX(PARÁMETROS!$B$93:$B$97,MATCH("3/8",PARÁMETROS!$A$93:$A$97,0))+SUMIFS('DATOS MODELO'!$E$232:$E$279,'DATOS MODELO'!$A$232:$A$279,"NIVEL 3",'DATOS MODELO'!$B$232:$B$279,"Escalera",'DATOS MODELO'!$C$232:$C$279,"1/2")*INDEX(PARÁMETROS!$B$93:$B$97,MATCH("1/2",PARÁMETROS!$A$93:$A$97,0))+SUMIFS('DATOS MODELO'!$E$232:$E$279,'DATOS MODELO'!$A$232:$A$279,"NIVEL 3",'DATOS MODELO'!$B$232:$B$279,"Escalera",'DATOS MODELO'!$C$232:$C$279,"5/8")*INDEX(PARÁMETROS!$B$93:$B$97,MATCH("5/8",PARÁMETROS!$A$93:$A$97,0))+SUMIFS('DATOS MODELO'!$E$232:$E$279,'DATOS MODELO'!$A$232:$A$279,"NIVEL 3",'DATOS MODELO'!$B$232:$B$279,"Escalera",'DATOS MODELO'!$C$232:$C$279,"3/4")*INDEX(PARÁMETROS!$B$93:$B$97,MATCH("3/4",PARÁMETROS!$A$93:$A$97,0))</f>
        <v>81.56344</v>
      </c>
      <c r="F83" s="23" t="n">
        <v>0</v>
      </c>
      <c r="G83" s="24" t="n">
        <f aca="false">E83*(1+F83)</f>
        <v>81.56344</v>
      </c>
      <c r="H83" s="5" t="s">
        <v>203</v>
      </c>
      <c r="N83" s="24" t="n">
        <f aca="false">G83*PARÁMETROS!$B$13</f>
        <v>2.4469032</v>
      </c>
      <c r="W83" s="20" t="n">
        <f aca="false">SUMIFS('DATOS MODELO'!$D$232:$D$279,'DATOS MODELO'!$A$232:$A$279,"NIVEL 3",'DATOS MODELO'!$B$232:$B$279,"Escalera")/PARÁMETROS!$B$15</f>
        <v>0.506666666666667</v>
      </c>
      <c r="X83" s="7" t="s">
        <v>204</v>
      </c>
    </row>
    <row r="84" customFormat="false" ht="15" hidden="false" customHeight="false" outlineLevel="0" collapsed="false">
      <c r="A84" s="5" t="s">
        <v>227</v>
      </c>
      <c r="B84" s="5" t="s">
        <v>163</v>
      </c>
      <c r="C84" s="5" t="s">
        <v>74</v>
      </c>
      <c r="D84" s="5" t="s">
        <v>201</v>
      </c>
      <c r="E84" s="20" t="n">
        <f aca="false">SUMIFS('DATOS MODELO'!$J$5:$J$227,'DATOS MODELO'!$B$5:$B$227,"NIVEL 3",'DATOS MODELO'!$C$5:$C$227,"Columnas")</f>
        <v>63.2915373363425</v>
      </c>
      <c r="F84" s="23" t="n">
        <v>0</v>
      </c>
      <c r="G84" s="20" t="n">
        <f aca="false">E84*(1+F84)</f>
        <v>63.2915373363425</v>
      </c>
      <c r="H84" s="5" t="s">
        <v>205</v>
      </c>
      <c r="U84" s="20" t="n">
        <f aca="false">G84*PARÁMETROS!$B$16/3.785</f>
        <v>3.34433486585694</v>
      </c>
      <c r="X84" s="7"/>
    </row>
    <row r="85" customFormat="false" ht="15" hidden="false" customHeight="false" outlineLevel="0" collapsed="false">
      <c r="A85" s="5" t="s">
        <v>227</v>
      </c>
      <c r="B85" s="5" t="s">
        <v>163</v>
      </c>
      <c r="C85" s="5" t="s">
        <v>75</v>
      </c>
      <c r="D85" s="5" t="s">
        <v>201</v>
      </c>
      <c r="E85" s="20" t="n">
        <f aca="false">SUMIFS('DATOS MODELO'!$J$5:$J$227,'DATOS MODELO'!$B$5:$B$227,"NIVEL 3",'DATOS MODELO'!$C$5:$C$227,"Vigas")</f>
        <v>40.7553401986359</v>
      </c>
      <c r="F85" s="23" t="n">
        <v>0</v>
      </c>
      <c r="G85" s="20" t="n">
        <f aca="false">E85*(1+F85)</f>
        <v>40.7553401986359</v>
      </c>
      <c r="H85" s="5" t="s">
        <v>205</v>
      </c>
      <c r="U85" s="20" t="n">
        <f aca="false">G85*PARÁMETROS!$B$16/3.785</f>
        <v>2.15351863665183</v>
      </c>
      <c r="X85" s="7" t="s">
        <v>225</v>
      </c>
    </row>
    <row r="86" customFormat="false" ht="15" hidden="false" customHeight="false" outlineLevel="0" collapsed="false">
      <c r="A86" s="5" t="s">
        <v>227</v>
      </c>
      <c r="B86" s="5" t="s">
        <v>163</v>
      </c>
      <c r="C86" s="5" t="s">
        <v>76</v>
      </c>
      <c r="D86" s="5" t="s">
        <v>201</v>
      </c>
      <c r="E86" s="20" t="n">
        <f aca="false">SUMIFS('DATOS MODELO'!$I$5:$I$227,'DATOS MODELO'!$B$5:$B$227,"NIVEL 3",'DATOS MODELO'!$C$5:$C$227,"Losa aligerada")+SUMIFS('DATOS MODELO'!$J$5:$J$227,'DATOS MODELO'!$B$5:$B$227,"NIVEL 3",'DATOS MODELO'!$C$5:$C$227,"Losa aligerada")</f>
        <v>96.9527486993864</v>
      </c>
      <c r="F86" s="23" t="n">
        <v>0</v>
      </c>
      <c r="G86" s="20" t="n">
        <f aca="false">E86*(1+F86)</f>
        <v>96.9527486993864</v>
      </c>
      <c r="H86" s="5" t="s">
        <v>205</v>
      </c>
      <c r="U86" s="20" t="n">
        <f aca="false">G86*PARÁMETROS!$B$16/3.785</f>
        <v>5.12299861027141</v>
      </c>
      <c r="X86" s="7"/>
    </row>
    <row r="87" customFormat="false" ht="15" hidden="false" customHeight="false" outlineLevel="0" collapsed="false">
      <c r="A87" s="5" t="s">
        <v>227</v>
      </c>
      <c r="B87" s="5" t="s">
        <v>163</v>
      </c>
      <c r="C87" s="5" t="s">
        <v>77</v>
      </c>
      <c r="D87" s="5" t="s">
        <v>201</v>
      </c>
      <c r="E87" s="20" t="n">
        <f aca="false">SUMIFS('DATOS MODELO'!$I$5:$I$227,'DATOS MODELO'!$B$5:$B$227,"NIVEL 3",'DATOS MODELO'!$C$5:$C$227,"Escalera")+SUMIFS('DATOS MODELO'!$J$5:$J$227,'DATOS MODELO'!$B$5:$B$227,"NIVEL 3",'DATOS MODELO'!$C$5:$C$227,"Escalera")</f>
        <v>16.2975276979436</v>
      </c>
      <c r="F87" s="23" t="n">
        <v>0</v>
      </c>
      <c r="G87" s="20" t="n">
        <f aca="false">E87*(1+F87)</f>
        <v>16.2975276979436</v>
      </c>
      <c r="H87" s="5" t="s">
        <v>205</v>
      </c>
      <c r="U87" s="20" t="n">
        <f aca="false">G87*PARÁMETROS!$B$16/3.785</f>
        <v>0.861163947051182</v>
      </c>
      <c r="X87" s="7"/>
    </row>
    <row r="88" customFormat="false" ht="15" hidden="false" customHeight="false" outlineLevel="0" collapsed="false">
      <c r="A88" s="26" t="s">
        <v>228</v>
      </c>
      <c r="B88" s="27"/>
      <c r="C88" s="27"/>
      <c r="D88" s="27"/>
      <c r="E88" s="27"/>
      <c r="F88" s="27"/>
      <c r="G88" s="27"/>
      <c r="H88" s="27"/>
      <c r="I88" s="28" t="n">
        <f aca="false">SUM(I68:I87)</f>
        <v>267.031587930892</v>
      </c>
      <c r="J88" s="28" t="n">
        <f aca="false">SUM(J68:J87)</f>
        <v>14.2709584505718</v>
      </c>
      <c r="K88" s="28" t="n">
        <f aca="false">SUM(K68:K87)</f>
        <v>14.5453999592367</v>
      </c>
      <c r="L88" s="28" t="n">
        <f aca="false">SUM(L68:L87)</f>
        <v>5.10461206116608</v>
      </c>
      <c r="M88" s="28" t="n">
        <f aca="false">SUM(M68:M87)</f>
        <v>149.083916666667</v>
      </c>
      <c r="N88" s="28" t="n">
        <f aca="false">SUM(N68:N87)</f>
        <v>112.13564304</v>
      </c>
      <c r="O88" s="28" t="n">
        <f aca="false">SUM(O68:O87)</f>
        <v>162.348776836833</v>
      </c>
      <c r="P88" s="28" t="n">
        <f aca="false">SUM(P68:P87)</f>
        <v>43.1970074354896</v>
      </c>
      <c r="Q88" s="28" t="n">
        <f aca="false">SUM(Q68:Q87)</f>
        <v>33.1126307240264</v>
      </c>
      <c r="R88" s="28" t="n">
        <f aca="false">SUM(R68:R87)</f>
        <v>46.1431520866698</v>
      </c>
      <c r="S88" s="28" t="n">
        <f aca="false">SUM(S68:S87)</f>
        <v>18.5876821994484</v>
      </c>
      <c r="T88" s="28" t="n">
        <f aca="false">SUM(T68:T87)</f>
        <v>4.62480036756984</v>
      </c>
      <c r="U88" s="28" t="n">
        <f aca="false">SUM(U68:U87)</f>
        <v>11.4820160598314</v>
      </c>
      <c r="V88" s="28" t="n">
        <f aca="false">SUM(V68:V87)</f>
        <v>489.37174205159</v>
      </c>
      <c r="W88" s="28" t="n">
        <f aca="false">SUM(W68:W87)</f>
        <v>16.0533333333333</v>
      </c>
      <c r="X88" s="27"/>
    </row>
    <row r="89" customFormat="false" ht="15" hidden="false" customHeight="false" outlineLevel="0" collapsed="false">
      <c r="B89" s="29" t="s">
        <v>208</v>
      </c>
      <c r="D89" s="30" t="s">
        <v>120</v>
      </c>
      <c r="G89" s="31" t="n">
        <f aca="false">SUMIFS(G68:G87,B68:B87,"Concreto")</f>
        <v>27.4441508664843</v>
      </c>
    </row>
    <row r="90" customFormat="false" ht="15" hidden="false" customHeight="false" outlineLevel="0" collapsed="false">
      <c r="B90" s="29" t="s">
        <v>209</v>
      </c>
      <c r="D90" s="30" t="s">
        <v>201</v>
      </c>
      <c r="G90" s="31" t="n">
        <f aca="false">SUMIFS(G68:G87,B68:B87,"Encofrado")</f>
        <v>218.810867390648</v>
      </c>
    </row>
    <row r="91" customFormat="false" ht="15" hidden="false" customHeight="false" outlineLevel="0" collapsed="false">
      <c r="B91" s="29" t="s">
        <v>210</v>
      </c>
      <c r="D91" s="30" t="s">
        <v>142</v>
      </c>
      <c r="G91" s="31" t="n">
        <f aca="false">SUMIFS(G68:G87,B68:B87,"Acero")</f>
        <v>3737.854768</v>
      </c>
    </row>
    <row r="92" customFormat="false" ht="15" hidden="false" customHeight="false" outlineLevel="0" collapsed="false">
      <c r="B92" s="29" t="s">
        <v>211</v>
      </c>
      <c r="D92" s="30" t="s">
        <v>201</v>
      </c>
      <c r="G92" s="31" t="n">
        <f aca="false">SUMIFS(G68:G87,B68:B87,"Curado")</f>
        <v>217.297153932309</v>
      </c>
    </row>
    <row r="94" customFormat="false" ht="15" hidden="false" customHeight="false" outlineLevel="0" collapsed="false">
      <c r="A94" s="18" t="s">
        <v>229</v>
      </c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</row>
    <row r="95" customFormat="false" ht="42" hidden="false" customHeight="true" outlineLevel="0" collapsed="false">
      <c r="A95" s="4" t="s">
        <v>177</v>
      </c>
      <c r="B95" s="4" t="s">
        <v>178</v>
      </c>
      <c r="C95" s="4" t="s">
        <v>68</v>
      </c>
      <c r="D95" s="4" t="s">
        <v>5</v>
      </c>
      <c r="E95" s="4" t="s">
        <v>179</v>
      </c>
      <c r="F95" s="4" t="s">
        <v>180</v>
      </c>
      <c r="G95" s="4" t="s">
        <v>181</v>
      </c>
      <c r="H95" s="4" t="s">
        <v>182</v>
      </c>
      <c r="I95" s="4" t="s">
        <v>183</v>
      </c>
      <c r="J95" s="4" t="s">
        <v>184</v>
      </c>
      <c r="K95" s="4" t="s">
        <v>185</v>
      </c>
      <c r="L95" s="4" t="s">
        <v>186</v>
      </c>
      <c r="M95" s="4" t="s">
        <v>187</v>
      </c>
      <c r="N95" s="4" t="s">
        <v>188</v>
      </c>
      <c r="O95" s="4" t="s">
        <v>189</v>
      </c>
      <c r="P95" s="4" t="s">
        <v>190</v>
      </c>
      <c r="Q95" s="4" t="s">
        <v>191</v>
      </c>
      <c r="R95" s="4" t="s">
        <v>192</v>
      </c>
      <c r="S95" s="4" t="s">
        <v>193</v>
      </c>
      <c r="T95" s="4" t="s">
        <v>194</v>
      </c>
      <c r="U95" s="4" t="s">
        <v>195</v>
      </c>
      <c r="V95" s="4" t="s">
        <v>196</v>
      </c>
      <c r="W95" s="4" t="s">
        <v>197</v>
      </c>
      <c r="X95" s="4" t="s">
        <v>198</v>
      </c>
    </row>
    <row r="96" customFormat="false" ht="15" hidden="false" customHeight="false" outlineLevel="0" collapsed="false">
      <c r="A96" s="5" t="s">
        <v>229</v>
      </c>
      <c r="B96" s="5" t="s">
        <v>117</v>
      </c>
      <c r="C96" s="5" t="s">
        <v>74</v>
      </c>
      <c r="D96" s="5" t="s">
        <v>120</v>
      </c>
      <c r="E96" s="20" t="n">
        <f aca="false">SUMIFS('DATOS MODELO'!$F$5:$F$227,'DATOS MODELO'!$B$5:$B$227,"NIVEL 4",'DATOS MODELO'!$C$5:$C$227,"Columnas")</f>
        <v>7.2179899492295</v>
      </c>
      <c r="F96" s="21" t="n">
        <f aca="false">PARÁMETROS!$B$8</f>
        <v>0.05</v>
      </c>
      <c r="G96" s="20" t="n">
        <f aca="false">E96*(1+F96)</f>
        <v>7.57888944669097</v>
      </c>
      <c r="H96" s="22" t="n">
        <f aca="false">INDEX(PARÁMETROS!$B$37:$B$45,MATCH(C96,PARÁMETROS!$A$37:$A$45,0))</f>
        <v>210</v>
      </c>
      <c r="I96" s="20" t="n">
        <f aca="false">G96*INDEX(PARÁMETROS!$B$49:$B$54,MATCH(H96,PARÁMETROS!$A$49:$A$54,0))</f>
        <v>73.7425943163032</v>
      </c>
      <c r="J96" s="20" t="n">
        <f aca="false">G96*INDEX(PARÁMETROS!$C$49:$C$54,MATCH(H96,PARÁMETROS!$A$49:$A$54,0))</f>
        <v>3.94102251227931</v>
      </c>
      <c r="K96" s="20" t="n">
        <f aca="false">G96*INDEX(PARÁMETROS!$D$49:$D$54,MATCH(H96,PARÁMETROS!$A$49:$A$54,0))</f>
        <v>4.01681140674622</v>
      </c>
      <c r="L96" s="20" t="n">
        <f aca="false">G96*INDEX(PARÁMETROS!$E$49:$E$54,MATCH(H96,PARÁMETROS!$A$49:$A$54,0))/1000</f>
        <v>1.40967343708452</v>
      </c>
      <c r="X96" s="7"/>
    </row>
    <row r="97" customFormat="false" ht="15" hidden="false" customHeight="false" outlineLevel="0" collapsed="false">
      <c r="A97" s="5" t="s">
        <v>229</v>
      </c>
      <c r="B97" s="5" t="s">
        <v>117</v>
      </c>
      <c r="C97" s="5" t="s">
        <v>75</v>
      </c>
      <c r="D97" s="5" t="s">
        <v>120</v>
      </c>
      <c r="E97" s="20" t="n">
        <f aca="false">SUMIFS('DATOS MODELO'!$F$5:$F$227,'DATOS MODELO'!$B$5:$B$227,"NIVEL 4",'DATOS MODELO'!$C$5:$C$227,"Vigas")</f>
        <v>6.18531602261375</v>
      </c>
      <c r="F97" s="21" t="n">
        <f aca="false">PARÁMETROS!$B$8</f>
        <v>0.05</v>
      </c>
      <c r="G97" s="20" t="n">
        <f aca="false">E97*(1+F97)</f>
        <v>6.49458182374444</v>
      </c>
      <c r="H97" s="22" t="n">
        <f aca="false">INDEX(PARÁMETROS!$B$37:$B$45,MATCH(C97,PARÁMETROS!$A$37:$A$45,0))</f>
        <v>210</v>
      </c>
      <c r="I97" s="20" t="n">
        <f aca="false">G97*INDEX(PARÁMETROS!$B$49:$B$54,MATCH(H97,PARÁMETROS!$A$49:$A$54,0))</f>
        <v>63.1922811450334</v>
      </c>
      <c r="J97" s="20" t="n">
        <f aca="false">G97*INDEX(PARÁMETROS!$C$49:$C$54,MATCH(H97,PARÁMETROS!$A$49:$A$54,0))</f>
        <v>3.37718254834711</v>
      </c>
      <c r="K97" s="20" t="n">
        <f aca="false">G97*INDEX(PARÁMETROS!$D$49:$D$54,MATCH(H97,PARÁMETROS!$A$49:$A$54,0))</f>
        <v>3.44212836658455</v>
      </c>
      <c r="L97" s="20" t="n">
        <f aca="false">G97*INDEX(PARÁMETROS!$E$49:$E$54,MATCH(H97,PARÁMETROS!$A$49:$A$54,0))/1000</f>
        <v>1.20799221921647</v>
      </c>
      <c r="X97" s="7" t="s">
        <v>217</v>
      </c>
    </row>
    <row r="98" customFormat="false" ht="15" hidden="false" customHeight="false" outlineLevel="0" collapsed="false">
      <c r="A98" s="5" t="s">
        <v>229</v>
      </c>
      <c r="B98" s="5" t="s">
        <v>117</v>
      </c>
      <c r="C98" s="5" t="s">
        <v>76</v>
      </c>
      <c r="D98" s="5" t="s">
        <v>120</v>
      </c>
      <c r="E98" s="20" t="n">
        <f aca="false">SUMIFS('DATOS MODELO'!$L$5:$L$227,'DATOS MODELO'!$B$5:$B$227,"NIVEL 4",'DATOS MODELO'!$C$5:$C$227,"Losa aligerada")*PARÁMETROS!$B$32+(SUMIFS('DATOS MODELO'!$K$5:$K$227,'DATOS MODELO'!$B$5:$B$227,"NIVEL 4",'DATOS MODELO'!$C$5:$C$227,"Losa aligerada")-SUMIFS('DATOS MODELO'!$L$5:$L$227,'DATOS MODELO'!$B$5:$B$227,"NIVEL 4",'DATOS MODELO'!$C$5:$C$227,"Losa aligerada"))*PARÁMETROS!$B$26</f>
        <v>10.65635</v>
      </c>
      <c r="F98" s="21" t="n">
        <f aca="false">PARÁMETROS!$B$8</f>
        <v>0.05</v>
      </c>
      <c r="G98" s="20" t="n">
        <f aca="false">E98*(1+F98)</f>
        <v>11.1891675</v>
      </c>
      <c r="H98" s="22" t="n">
        <f aca="false">INDEX(PARÁMETROS!$B$37:$B$45,MATCH(C98,PARÁMETROS!$A$37:$A$45,0))</f>
        <v>210</v>
      </c>
      <c r="I98" s="20" t="n">
        <f aca="false">G98*INDEX(PARÁMETROS!$B$49:$B$54,MATCH(H98,PARÁMETROS!$A$49:$A$54,0))</f>
        <v>108.870599775</v>
      </c>
      <c r="J98" s="20" t="n">
        <f aca="false">G98*INDEX(PARÁMETROS!$C$49:$C$54,MATCH(H98,PARÁMETROS!$A$49:$A$54,0))</f>
        <v>5.8183671</v>
      </c>
      <c r="K98" s="20" t="n">
        <f aca="false">G98*INDEX(PARÁMETROS!$D$49:$D$54,MATCH(H98,PARÁMETROS!$A$49:$A$54,0))</f>
        <v>5.930258775</v>
      </c>
      <c r="L98" s="20" t="n">
        <f aca="false">G98*INDEX(PARÁMETROS!$E$49:$E$54,MATCH(H98,PARÁMETROS!$A$49:$A$54,0))/1000</f>
        <v>2.081185155</v>
      </c>
      <c r="X98" s="7" t="s">
        <v>218</v>
      </c>
    </row>
    <row r="99" customFormat="false" ht="15" hidden="false" customHeight="false" outlineLevel="0" collapsed="false">
      <c r="A99" s="5" t="s">
        <v>229</v>
      </c>
      <c r="B99" s="5" t="s">
        <v>117</v>
      </c>
      <c r="C99" s="5" t="s">
        <v>77</v>
      </c>
      <c r="D99" s="5" t="s">
        <v>120</v>
      </c>
      <c r="E99" s="20" t="n">
        <f aca="false">SUMIFS('DATOS MODELO'!$F$5:$F$227,'DATOS MODELO'!$B$5:$B$227,"NIVEL 4",'DATOS MODELO'!$C$5:$C$227,"Escalera")</f>
        <v>2.07762659799808</v>
      </c>
      <c r="F99" s="21" t="n">
        <f aca="false">PARÁMETROS!$B$8</f>
        <v>0.05</v>
      </c>
      <c r="G99" s="20" t="n">
        <f aca="false">E99*(1+F99)</f>
        <v>2.18150792789799</v>
      </c>
      <c r="H99" s="22" t="n">
        <f aca="false">INDEX(PARÁMETROS!$B$37:$B$45,MATCH(C99,PARÁMETROS!$A$37:$A$45,0))</f>
        <v>210</v>
      </c>
      <c r="I99" s="20" t="n">
        <f aca="false">G99*INDEX(PARÁMETROS!$B$49:$B$54,MATCH(H99,PARÁMETROS!$A$49:$A$54,0))</f>
        <v>21.2260721384474</v>
      </c>
      <c r="J99" s="20" t="n">
        <f aca="false">G99*INDEX(PARÁMETROS!$C$49:$C$54,MATCH(H99,PARÁMETROS!$A$49:$A$54,0))</f>
        <v>1.13438412250695</v>
      </c>
      <c r="K99" s="20" t="n">
        <f aca="false">G99*INDEX(PARÁMETROS!$D$49:$D$54,MATCH(H99,PARÁMETROS!$A$49:$A$54,0))</f>
        <v>1.15619920178593</v>
      </c>
      <c r="L99" s="20" t="n">
        <f aca="false">G99*INDEX(PARÁMETROS!$E$49:$E$54,MATCH(H99,PARÁMETROS!$A$49:$A$54,0))/1000</f>
        <v>0.405760474589026</v>
      </c>
      <c r="X99" s="7" t="s">
        <v>219</v>
      </c>
    </row>
    <row r="100" customFormat="false" ht="15" hidden="false" customHeight="false" outlineLevel="0" collapsed="false">
      <c r="A100" s="5" t="s">
        <v>229</v>
      </c>
      <c r="B100" s="5" t="s">
        <v>220</v>
      </c>
      <c r="C100" s="5" t="s">
        <v>76</v>
      </c>
      <c r="D100" s="5" t="s">
        <v>129</v>
      </c>
      <c r="E100" s="24" t="n">
        <f aca="false">SUMIFS('DATOS MODELO'!$L$5:$L$227,'DATOS MODELO'!$B$5:$B$227,"NIVEL 4",'DATOS MODELO'!$C$5:$C$227,"Losa aligerada")*PARÁMETROS!$B$33</f>
        <v>144.741666666667</v>
      </c>
      <c r="F100" s="21" t="n">
        <f aca="false">PARÁMETROS!$B$9</f>
        <v>0.03</v>
      </c>
      <c r="G100" s="24" t="n">
        <f aca="false">E100*(1+F100)</f>
        <v>149.083916666667</v>
      </c>
      <c r="H100" s="5" t="s">
        <v>221</v>
      </c>
      <c r="M100" s="25" t="n">
        <f aca="false">G100</f>
        <v>149.083916666667</v>
      </c>
      <c r="X100" s="7" t="s">
        <v>222</v>
      </c>
    </row>
    <row r="101" customFormat="false" ht="15" hidden="false" customHeight="false" outlineLevel="0" collapsed="false">
      <c r="A101" s="5" t="s">
        <v>229</v>
      </c>
      <c r="B101" s="5" t="s">
        <v>151</v>
      </c>
      <c r="C101" s="5" t="s">
        <v>74</v>
      </c>
      <c r="D101" s="5" t="s">
        <v>201</v>
      </c>
      <c r="E101" s="20" t="n">
        <f aca="false">SUMIFS('DATOS MODELO'!$G$5:$G$227,'DATOS MODELO'!$B$5:$B$227,"NIVEL 4",'DATOS MODELO'!$C$5:$C$227,"Columnas")</f>
        <v>63.2915253099932</v>
      </c>
      <c r="F101" s="23" t="n">
        <v>0</v>
      </c>
      <c r="G101" s="20" t="n">
        <f aca="false">E101*(1+F101)</f>
        <v>63.2915253099932</v>
      </c>
      <c r="H101" s="5" t="s">
        <v>74</v>
      </c>
      <c r="O101" s="24" t="n">
        <f aca="false">G101*INDEX(PARÁMETROS!$B$58:$B$66,MATCH(H101,PARÁMETROS!$A$58:$A$66,0))/PARÁMETROS!$B$10</f>
        <v>47.4686439824949</v>
      </c>
      <c r="P101" s="20" t="n">
        <f aca="false">G101*INDEX(PARÁMETROS!$C$58:$C$66,MATCH(H101,PARÁMETROS!$A$58:$A$66,0))/PARÁMETROS!$B$11</f>
        <v>13.2912203150986</v>
      </c>
      <c r="Q101" s="20" t="n">
        <f aca="false">G101*INDEX(PARÁMETROS!$D$58:$D$66,MATCH(H101,PARÁMETROS!$A$58:$A$66,0))</f>
        <v>9.49372879649899</v>
      </c>
      <c r="R101" s="20" t="n">
        <f aca="false">G101*INDEX(PARÁMETROS!$E$58:$E$66,MATCH(H101,PARÁMETROS!$A$58:$A$66,0))</f>
        <v>15.8228813274983</v>
      </c>
      <c r="S101" s="24" t="n">
        <f aca="false">G101*INDEX(PARÁMETROS!$F$58:$F$66,MATCH(H101,PARÁMETROS!$A$58:$A$66,0))/PARÁMETROS!$B$12</f>
        <v>0</v>
      </c>
      <c r="T101" s="20" t="n">
        <f aca="false">G101*PARÁMETROS!$B$17/3.785</f>
        <v>1.33773369215309</v>
      </c>
      <c r="V101" s="25" t="n">
        <f aca="false">G101*INDEX(PARÁMETROS!$G$58:$G$66,MATCH(H101,PARÁMETROS!$A$58:$A$66,0))</f>
        <v>126.583050619986</v>
      </c>
      <c r="X101" s="7"/>
    </row>
    <row r="102" customFormat="false" ht="15" hidden="false" customHeight="false" outlineLevel="0" collapsed="false">
      <c r="A102" s="5" t="s">
        <v>229</v>
      </c>
      <c r="B102" s="5" t="s">
        <v>151</v>
      </c>
      <c r="C102" s="5" t="s">
        <v>75</v>
      </c>
      <c r="D102" s="5" t="s">
        <v>201</v>
      </c>
      <c r="E102" s="20" t="n">
        <f aca="false">SUMIFS('DATOS MODELO'!$G$5:$G$227,'DATOS MODELO'!$B$5:$B$227,"NIVEL 4",'DATOS MODELO'!$C$5:$C$227,"Vigas")</f>
        <v>40.7553341475469</v>
      </c>
      <c r="F102" s="23" t="n">
        <v>0</v>
      </c>
      <c r="G102" s="20" t="n">
        <f aca="false">E102*(1+F102)</f>
        <v>40.7553341475469</v>
      </c>
      <c r="H102" s="5" t="s">
        <v>100</v>
      </c>
      <c r="O102" s="24" t="n">
        <f aca="false">G102*INDEX(PARÁMETROS!$B$58:$B$66,MATCH(H102,PARÁMETROS!$A$58:$A$66,0))/PARÁMETROS!$B$10</f>
        <v>30.5665006106602</v>
      </c>
      <c r="P102" s="20" t="n">
        <f aca="false">G102*INDEX(PARÁMETROS!$C$58:$C$66,MATCH(H102,PARÁMETROS!$A$58:$A$66,0))/PARÁMETROS!$B$11</f>
        <v>8.55862017098485</v>
      </c>
      <c r="Q102" s="20" t="n">
        <f aca="false">G102*INDEX(PARÁMETROS!$D$58:$D$66,MATCH(H102,PARÁMETROS!$A$58:$A$66,0))</f>
        <v>7.33596014655845</v>
      </c>
      <c r="R102" s="20" t="n">
        <f aca="false">G102*INDEX(PARÁMETROS!$E$58:$E$66,MATCH(H102,PARÁMETROS!$A$58:$A$66,0))</f>
        <v>10.1888335368867</v>
      </c>
      <c r="S102" s="24" t="n">
        <f aca="false">G102*INDEX(PARÁMETROS!$F$58:$F$66,MATCH(H102,PARÁMETROS!$A$58:$A$66,0))/PARÁMETROS!$B$12</f>
        <v>0</v>
      </c>
      <c r="T102" s="20" t="n">
        <f aca="false">G102*PARÁMETROS!$B$17/3.785</f>
        <v>0.861407326764532</v>
      </c>
      <c r="V102" s="25" t="n">
        <f aca="false">G102*INDEX(PARÁMETROS!$G$58:$G$66,MATCH(H102,PARÁMETROS!$A$58:$A$66,0))</f>
        <v>81.5106682950938</v>
      </c>
      <c r="X102" s="7"/>
    </row>
    <row r="103" customFormat="false" ht="15" hidden="false" customHeight="false" outlineLevel="0" collapsed="false">
      <c r="A103" s="5" t="s">
        <v>229</v>
      </c>
      <c r="B103" s="5" t="s">
        <v>151</v>
      </c>
      <c r="C103" s="5" t="s">
        <v>75</v>
      </c>
      <c r="D103" s="5" t="s">
        <v>201</v>
      </c>
      <c r="E103" s="20" t="n">
        <f aca="false">SUMIFS('DATOS MODELO'!$H$5:$H$227,'DATOS MODELO'!$B$5:$B$227,"NIVEL 4",'DATOS MODELO'!$C$5:$C$227,"Vigas")</f>
        <v>18.0967282008973</v>
      </c>
      <c r="F103" s="23" t="n">
        <v>0</v>
      </c>
      <c r="G103" s="20" t="n">
        <f aca="false">E103*(1+F103)</f>
        <v>18.0967282008973</v>
      </c>
      <c r="H103" s="5" t="s">
        <v>101</v>
      </c>
      <c r="O103" s="24" t="n">
        <f aca="false">G103*INDEX(PARÁMETROS!$B$58:$B$66,MATCH(H103,PARÁMETROS!$A$58:$A$66,0))/PARÁMETROS!$B$10</f>
        <v>18.0967282008973</v>
      </c>
      <c r="P103" s="20" t="n">
        <f aca="false">G103*INDEX(PARÁMETROS!$C$58:$C$66,MATCH(H103,PARÁMETROS!$A$58:$A$66,0))/PARÁMETROS!$B$11</f>
        <v>3.80031292218844</v>
      </c>
      <c r="Q103" s="20" t="n">
        <f aca="false">G103*INDEX(PARÁMETROS!$D$58:$D$66,MATCH(H103,PARÁMETROS!$A$58:$A$66,0))</f>
        <v>3.25741107616152</v>
      </c>
      <c r="R103" s="20" t="n">
        <f aca="false">G103*INDEX(PARÁMETROS!$E$58:$E$66,MATCH(H103,PARÁMETROS!$A$58:$A$66,0))</f>
        <v>4.52418205022434</v>
      </c>
      <c r="S103" s="24" t="n">
        <f aca="false">G103*INDEX(PARÁMETROS!$F$58:$F$66,MATCH(H103,PARÁMETROS!$A$58:$A$66,0))/PARÁMETROS!$B$12</f>
        <v>7.91731858789259</v>
      </c>
      <c r="T103" s="20" t="n">
        <f aca="false">G103*PARÁMETROS!$B$17/3.785</f>
        <v>0.382493594734951</v>
      </c>
      <c r="V103" s="25" t="n">
        <f aca="false">G103*INDEX(PARÁMETROS!$G$58:$G$66,MATCH(H103,PARÁMETROS!$A$58:$A$66,0))</f>
        <v>72.3869128035894</v>
      </c>
      <c r="X103" s="7"/>
    </row>
    <row r="104" customFormat="false" ht="15" hidden="false" customHeight="false" outlineLevel="0" collapsed="false">
      <c r="A104" s="5" t="s">
        <v>229</v>
      </c>
      <c r="B104" s="5" t="s">
        <v>151</v>
      </c>
      <c r="C104" s="5" t="s">
        <v>76</v>
      </c>
      <c r="D104" s="5" t="s">
        <v>201</v>
      </c>
      <c r="E104" s="20" t="n">
        <f aca="false">SUMIFS('DATOS MODELO'!$H$5:$H$227,'DATOS MODELO'!$B$5:$B$227,"NIVEL 4",'DATOS MODELO'!$C$5:$C$227,"Losa aligerada")</f>
        <v>74.5240335650718</v>
      </c>
      <c r="F104" s="23" t="n">
        <v>0</v>
      </c>
      <c r="G104" s="20" t="n">
        <f aca="false">E104*(1+F104)</f>
        <v>74.5240335650718</v>
      </c>
      <c r="H104" s="5" t="s">
        <v>102</v>
      </c>
      <c r="O104" s="24" t="n">
        <f aca="false">G104*INDEX(PARÁMETROS!$B$58:$B$66,MATCH(H104,PARÁMETROS!$A$58:$A$66,0))/PARÁMETROS!$B$10</f>
        <v>46.5775209781699</v>
      </c>
      <c r="P104" s="20" t="n">
        <f aca="false">G104*INDEX(PARÁMETROS!$C$58:$C$66,MATCH(H104,PARÁMETROS!$A$58:$A$66,0))/PARÁMETROS!$B$11</f>
        <v>15.6500470486651</v>
      </c>
      <c r="Q104" s="20" t="n">
        <f aca="false">G104*INDEX(PARÁMETROS!$D$58:$D$66,MATCH(H104,PARÁMETROS!$A$58:$A$66,0))</f>
        <v>8.94288402780861</v>
      </c>
      <c r="R104" s="20" t="n">
        <f aca="false">G104*INDEX(PARÁMETROS!$E$58:$E$66,MATCH(H104,PARÁMETROS!$A$58:$A$66,0))</f>
        <v>11.1786050347608</v>
      </c>
      <c r="S104" s="24" t="n">
        <f aca="false">G104*INDEX(PARÁMETROS!$F$58:$F$66,MATCH(H104,PARÁMETROS!$A$58:$A$66,0))/PARÁMETROS!$B$12</f>
        <v>9.31550419563397</v>
      </c>
      <c r="T104" s="20" t="n">
        <f aca="false">G104*PARÁMETROS!$B$17/3.785</f>
        <v>1.57514469886545</v>
      </c>
      <c r="V104" s="25" t="n">
        <f aca="false">G104*INDEX(PARÁMETROS!$G$58:$G$66,MATCH(H104,PARÁMETROS!$A$58:$A$66,0))</f>
        <v>186.310083912679</v>
      </c>
      <c r="X104" s="7" t="s">
        <v>223</v>
      </c>
    </row>
    <row r="105" customFormat="false" ht="15" hidden="false" customHeight="false" outlineLevel="0" collapsed="false">
      <c r="A105" s="5" t="s">
        <v>229</v>
      </c>
      <c r="B105" s="5" t="s">
        <v>151</v>
      </c>
      <c r="C105" s="5" t="s">
        <v>76</v>
      </c>
      <c r="D105" s="5" t="s">
        <v>201</v>
      </c>
      <c r="E105" s="20" t="n">
        <f aca="false">SUMIFS('DATOS MODELO'!$G$5:$G$227,'DATOS MODELO'!$B$5:$B$227,"NIVEL 4",'DATOS MODELO'!$C$5:$C$227,"Losa aligerada")</f>
        <v>6.92002018316423</v>
      </c>
      <c r="F105" s="23" t="n">
        <v>0</v>
      </c>
      <c r="G105" s="20" t="n">
        <f aca="false">E105*(1+F105)</f>
        <v>6.92002018316423</v>
      </c>
      <c r="H105" s="5" t="s">
        <v>103</v>
      </c>
      <c r="O105" s="24" t="n">
        <f aca="false">G105*INDEX(PARÁMETROS!$B$58:$B$66,MATCH(H105,PARÁMETROS!$A$58:$A$66,0))/PARÁMETROS!$B$10</f>
        <v>5.19001513737317</v>
      </c>
      <c r="P105" s="20" t="n">
        <f aca="false">G105*INDEX(PARÁMETROS!$C$58:$C$66,MATCH(H105,PARÁMETROS!$A$58:$A$66,0))/PARÁMETROS!$B$11</f>
        <v>0</v>
      </c>
      <c r="Q105" s="20" t="n">
        <f aca="false">G105*INDEX(PARÁMETROS!$D$58:$D$66,MATCH(H105,PARÁMETROS!$A$58:$A$66,0))</f>
        <v>1.03800302747463</v>
      </c>
      <c r="R105" s="20" t="n">
        <f aca="false">G105*INDEX(PARÁMETROS!$E$58:$E$66,MATCH(H105,PARÁMETROS!$A$58:$A$66,0))</f>
        <v>1.38400403663285</v>
      </c>
      <c r="S105" s="24" t="n">
        <f aca="false">G105*INDEX(PARÁMETROS!$F$58:$F$66,MATCH(H105,PARÁMETROS!$A$58:$A$66,0))/PARÁMETROS!$B$12</f>
        <v>0</v>
      </c>
      <c r="T105" s="20" t="n">
        <f aca="false">G105*PARÁMETROS!$B$17/3.785</f>
        <v>0.146261985377315</v>
      </c>
      <c r="V105" s="25" t="n">
        <f aca="false">G105*INDEX(PARÁMETROS!$G$58:$G$66,MATCH(H105,PARÁMETROS!$A$58:$A$66,0))</f>
        <v>0</v>
      </c>
      <c r="X105" s="7"/>
    </row>
    <row r="106" customFormat="false" ht="15" hidden="false" customHeight="false" outlineLevel="0" collapsed="false">
      <c r="A106" s="5" t="s">
        <v>229</v>
      </c>
      <c r="B106" s="5" t="s">
        <v>151</v>
      </c>
      <c r="C106" s="5" t="s">
        <v>77</v>
      </c>
      <c r="D106" s="5" t="s">
        <v>201</v>
      </c>
      <c r="E106" s="20" t="n">
        <f aca="false">SUMIFS('DATOS MODELO'!$H$5:$H$227,'DATOS MODELO'!$B$5:$B$227,"NIVEL 4",'DATOS MODELO'!$C$5:$C$227,"Escalera")</f>
        <v>9.03239610614568</v>
      </c>
      <c r="F106" s="23" t="n">
        <v>0</v>
      </c>
      <c r="G106" s="20" t="n">
        <f aca="false">E106*(1+F106)</f>
        <v>9.03239610614568</v>
      </c>
      <c r="H106" s="5" t="s">
        <v>104</v>
      </c>
      <c r="O106" s="24" t="n">
        <f aca="false">G106*INDEX(PARÁMETROS!$B$58:$B$66,MATCH(H106,PARÁMETROS!$A$58:$A$66,0))/PARÁMETROS!$B$10</f>
        <v>9.03239610614568</v>
      </c>
      <c r="P106" s="20" t="n">
        <f aca="false">G106*INDEX(PARÁMETROS!$C$58:$C$66,MATCH(H106,PARÁMETROS!$A$58:$A$66,0))/PARÁMETROS!$B$11</f>
        <v>1.89680318229059</v>
      </c>
      <c r="Q106" s="20" t="n">
        <f aca="false">G106*INDEX(PARÁMETROS!$D$58:$D$66,MATCH(H106,PARÁMETROS!$A$58:$A$66,0))</f>
        <v>1.80647922122914</v>
      </c>
      <c r="R106" s="20" t="n">
        <f aca="false">G106*INDEX(PARÁMETROS!$E$58:$E$66,MATCH(H106,PARÁMETROS!$A$58:$A$66,0))</f>
        <v>1.80647922122914</v>
      </c>
      <c r="S106" s="24" t="n">
        <f aca="false">G106*INDEX(PARÁMETROS!$F$58:$F$66,MATCH(H106,PARÁMETROS!$A$58:$A$66,0))/PARÁMETROS!$B$12</f>
        <v>1.35485941592185</v>
      </c>
      <c r="T106" s="20" t="n">
        <f aca="false">G106*PARÁMETROS!$B$17/3.785</f>
        <v>0.190909296827386</v>
      </c>
      <c r="V106" s="25" t="n">
        <f aca="false">G106*INDEX(PARÁMETROS!$G$58:$G$66,MATCH(H106,PARÁMETROS!$A$58:$A$66,0))</f>
        <v>22.5809902653642</v>
      </c>
      <c r="X106" s="7"/>
    </row>
    <row r="107" customFormat="false" ht="15" hidden="false" customHeight="false" outlineLevel="0" collapsed="false">
      <c r="A107" s="5" t="s">
        <v>229</v>
      </c>
      <c r="B107" s="5" t="s">
        <v>151</v>
      </c>
      <c r="C107" s="5" t="s">
        <v>77</v>
      </c>
      <c r="D107" s="5" t="s">
        <v>201</v>
      </c>
      <c r="E107" s="20" t="n">
        <f aca="false">SUMIFS('DATOS MODELO'!$G$5:$G$227,'DATOS MODELO'!$B$5:$B$227,"NIVEL 4",'DATOS MODELO'!$C$5:$C$227,"Escalera")</f>
        <v>6.19079363234527</v>
      </c>
      <c r="F107" s="23" t="n">
        <v>0</v>
      </c>
      <c r="G107" s="20" t="n">
        <f aca="false">E107*(1+F107)</f>
        <v>6.19079363234527</v>
      </c>
      <c r="H107" s="5" t="s">
        <v>105</v>
      </c>
      <c r="O107" s="24" t="n">
        <f aca="false">G107*INDEX(PARÁMETROS!$B$58:$B$66,MATCH(H107,PARÁMETROS!$A$58:$A$66,0))/PARÁMETROS!$B$10</f>
        <v>5.41694442830211</v>
      </c>
      <c r="P107" s="20" t="n">
        <f aca="false">G107*INDEX(PARÁMETROS!$C$58:$C$66,MATCH(H107,PARÁMETROS!$A$58:$A$66,0))/PARÁMETROS!$B$11</f>
        <v>0</v>
      </c>
      <c r="Q107" s="20" t="n">
        <f aca="false">G107*INDEX(PARÁMETROS!$D$58:$D$66,MATCH(H107,PARÁMETROS!$A$58:$A$66,0))</f>
        <v>1.23815872646905</v>
      </c>
      <c r="R107" s="20" t="n">
        <f aca="false">G107*INDEX(PARÁMETROS!$E$58:$E$66,MATCH(H107,PARÁMETROS!$A$58:$A$66,0))</f>
        <v>1.23815872646905</v>
      </c>
      <c r="S107" s="24" t="n">
        <f aca="false">G107*INDEX(PARÁMETROS!$F$58:$F$66,MATCH(H107,PARÁMETROS!$A$58:$A$66,0))/PARÁMETROS!$B$12</f>
        <v>0</v>
      </c>
      <c r="T107" s="20" t="n">
        <f aca="false">G107*PARÁMETROS!$B$17/3.785</f>
        <v>0.13084900676027</v>
      </c>
      <c r="V107" s="25" t="n">
        <f aca="false">G107*INDEX(PARÁMETROS!$G$58:$G$66,MATCH(H107,PARÁMETROS!$A$58:$A$66,0))</f>
        <v>0</v>
      </c>
      <c r="X107" s="7" t="s">
        <v>224</v>
      </c>
    </row>
    <row r="108" customFormat="false" ht="15" hidden="false" customHeight="false" outlineLevel="0" collapsed="false">
      <c r="A108" s="5" t="s">
        <v>229</v>
      </c>
      <c r="B108" s="5" t="s">
        <v>134</v>
      </c>
      <c r="C108" s="5" t="s">
        <v>74</v>
      </c>
      <c r="D108" s="5" t="s">
        <v>142</v>
      </c>
      <c r="E108" s="24" t="n">
        <f aca="false">SUMIFS('DATOS MODELO'!$E$232:$E$279,'DATOS MODELO'!$A$232:$A$279,"NIVEL 4",'DATOS MODELO'!$B$232:$B$279,"Columnas",'DATOS MODELO'!$C$232:$C$279,"1/4")*INDEX(PARÁMETROS!$B$93:$B$97,MATCH("1/4",PARÁMETROS!$A$93:$A$97,0))+SUMIFS('DATOS MODELO'!$E$232:$E$279,'DATOS MODELO'!$A$232:$A$279,"NIVEL 4",'DATOS MODELO'!$B$232:$B$279,"Columnas",'DATOS MODELO'!$C$232:$C$279,"3/8")*INDEX(PARÁMETROS!$B$93:$B$97,MATCH("3/8",PARÁMETROS!$A$93:$A$97,0))+SUMIFS('DATOS MODELO'!$E$232:$E$279,'DATOS MODELO'!$A$232:$A$279,"NIVEL 4",'DATOS MODELO'!$B$232:$B$279,"Columnas",'DATOS MODELO'!$C$232:$C$279,"1/2")*INDEX(PARÁMETROS!$B$93:$B$97,MATCH("1/2",PARÁMETROS!$A$93:$A$97,0))+SUMIFS('DATOS MODELO'!$E$232:$E$279,'DATOS MODELO'!$A$232:$A$279,"NIVEL 4",'DATOS MODELO'!$B$232:$B$279,"Columnas",'DATOS MODELO'!$C$232:$C$279,"5/8")*INDEX(PARÁMETROS!$B$93:$B$97,MATCH("5/8",PARÁMETROS!$A$93:$A$97,0))+SUMIFS('DATOS MODELO'!$E$232:$E$279,'DATOS MODELO'!$A$232:$A$279,"NIVEL 4",'DATOS MODELO'!$B$232:$B$279,"Columnas",'DATOS MODELO'!$C$232:$C$279,"3/4")*INDEX(PARÁMETROS!$B$93:$B$97,MATCH("3/4",PARÁMETROS!$A$93:$A$97,0))</f>
        <v>1442.003168</v>
      </c>
      <c r="F108" s="23" t="n">
        <v>0</v>
      </c>
      <c r="G108" s="24" t="n">
        <f aca="false">E108*(1+F108)</f>
        <v>1442.003168</v>
      </c>
      <c r="H108" s="5" t="s">
        <v>203</v>
      </c>
      <c r="N108" s="24" t="n">
        <f aca="false">G108*PARÁMETROS!$B$13</f>
        <v>43.26009504</v>
      </c>
      <c r="W108" s="20" t="n">
        <f aca="false">SUMIFS('DATOS MODELO'!$D$232:$D$279,'DATOS MODELO'!$A$232:$A$279,"NIVEL 4",'DATOS MODELO'!$B$232:$B$279,"Columnas")/PARÁMETROS!$B$15</f>
        <v>9.32</v>
      </c>
      <c r="X108" s="7" t="s">
        <v>204</v>
      </c>
    </row>
    <row r="109" customFormat="false" ht="15" hidden="false" customHeight="false" outlineLevel="0" collapsed="false">
      <c r="A109" s="5" t="s">
        <v>229</v>
      </c>
      <c r="B109" s="5" t="s">
        <v>134</v>
      </c>
      <c r="C109" s="5" t="s">
        <v>75</v>
      </c>
      <c r="D109" s="5" t="s">
        <v>142</v>
      </c>
      <c r="E109" s="24" t="n">
        <f aca="false">SUMIFS('DATOS MODELO'!$E$232:$E$279,'DATOS MODELO'!$A$232:$A$279,"NIVEL 4",'DATOS MODELO'!$B$232:$B$279,"Vigas",'DATOS MODELO'!$C$232:$C$279,"1/4")*INDEX(PARÁMETROS!$B$93:$B$97,MATCH("1/4",PARÁMETROS!$A$93:$A$97,0))+SUMIFS('DATOS MODELO'!$E$232:$E$279,'DATOS MODELO'!$A$232:$A$279,"NIVEL 4",'DATOS MODELO'!$B$232:$B$279,"Vigas",'DATOS MODELO'!$C$232:$C$279,"3/8")*INDEX(PARÁMETROS!$B$93:$B$97,MATCH("3/8",PARÁMETROS!$A$93:$A$97,0))+SUMIFS('DATOS MODELO'!$E$232:$E$279,'DATOS MODELO'!$A$232:$A$279,"NIVEL 4",'DATOS MODELO'!$B$232:$B$279,"Vigas",'DATOS MODELO'!$C$232:$C$279,"1/2")*INDEX(PARÁMETROS!$B$93:$B$97,MATCH("1/2",PARÁMETROS!$A$93:$A$97,0))+SUMIFS('DATOS MODELO'!$E$232:$E$279,'DATOS MODELO'!$A$232:$A$279,"NIVEL 4",'DATOS MODELO'!$B$232:$B$279,"Vigas",'DATOS MODELO'!$C$232:$C$279,"5/8")*INDEX(PARÁMETROS!$B$93:$B$97,MATCH("5/8",PARÁMETROS!$A$93:$A$97,0))+SUMIFS('DATOS MODELO'!$E$232:$E$279,'DATOS MODELO'!$A$232:$A$279,"NIVEL 4",'DATOS MODELO'!$B$232:$B$279,"Vigas",'DATOS MODELO'!$C$232:$C$279,"3/4")*INDEX(PARÁMETROS!$B$93:$B$97,MATCH("3/4",PARÁMETROS!$A$93:$A$97,0))</f>
        <v>1629.098379</v>
      </c>
      <c r="F109" s="23" t="n">
        <v>0</v>
      </c>
      <c r="G109" s="24" t="n">
        <f aca="false">E109*(1+F109)</f>
        <v>1629.098379</v>
      </c>
      <c r="H109" s="5" t="s">
        <v>203</v>
      </c>
      <c r="N109" s="24" t="n">
        <f aca="false">G109*PARÁMETROS!$B$13</f>
        <v>48.87295137</v>
      </c>
      <c r="W109" s="20" t="n">
        <f aca="false">SUMIFS('DATOS MODELO'!$D$232:$D$279,'DATOS MODELO'!$A$232:$A$279,"NIVEL 4",'DATOS MODELO'!$B$232:$B$279,"Vigas")/PARÁMETROS!$B$15</f>
        <v>3.74666666666667</v>
      </c>
      <c r="X109" s="7" t="s">
        <v>204</v>
      </c>
    </row>
    <row r="110" customFormat="false" ht="15" hidden="false" customHeight="false" outlineLevel="0" collapsed="false">
      <c r="A110" s="5" t="s">
        <v>229</v>
      </c>
      <c r="B110" s="5" t="s">
        <v>134</v>
      </c>
      <c r="C110" s="5" t="s">
        <v>76</v>
      </c>
      <c r="D110" s="5" t="s">
        <v>142</v>
      </c>
      <c r="E110" s="24" t="n">
        <f aca="false">SUMIFS('DATOS MODELO'!$E$232:$E$279,'DATOS MODELO'!$A$232:$A$279,"NIVEL 4",'DATOS MODELO'!$B$232:$B$279,"Losa aligerada",'DATOS MODELO'!$C$232:$C$279,"1/4")*INDEX(PARÁMETROS!$B$93:$B$97,MATCH("1/4",PARÁMETROS!$A$93:$A$97,0))+SUMIFS('DATOS MODELO'!$E$232:$E$279,'DATOS MODELO'!$A$232:$A$279,"NIVEL 4",'DATOS MODELO'!$B$232:$B$279,"Losa aligerada",'DATOS MODELO'!$C$232:$C$279,"3/8")*INDEX(PARÁMETROS!$B$93:$B$97,MATCH("3/8",PARÁMETROS!$A$93:$A$97,0))+SUMIFS('DATOS MODELO'!$E$232:$E$279,'DATOS MODELO'!$A$232:$A$279,"NIVEL 4",'DATOS MODELO'!$B$232:$B$279,"Losa aligerada",'DATOS MODELO'!$C$232:$C$279,"1/2")*INDEX(PARÁMETROS!$B$93:$B$97,MATCH("1/2",PARÁMETROS!$A$93:$A$97,0))+SUMIFS('DATOS MODELO'!$E$232:$E$279,'DATOS MODELO'!$A$232:$A$279,"NIVEL 4",'DATOS MODELO'!$B$232:$B$279,"Losa aligerada",'DATOS MODELO'!$C$232:$C$279,"5/8")*INDEX(PARÁMETROS!$B$93:$B$97,MATCH("5/8",PARÁMETROS!$A$93:$A$97,0))+SUMIFS('DATOS MODELO'!$E$232:$E$279,'DATOS MODELO'!$A$232:$A$279,"NIVEL 4",'DATOS MODELO'!$B$232:$B$279,"Losa aligerada",'DATOS MODELO'!$C$232:$C$279,"3/4")*INDEX(PARÁMETROS!$B$93:$B$97,MATCH("3/4",PARÁMETROS!$A$93:$A$97,0))</f>
        <v>559.613996</v>
      </c>
      <c r="F110" s="23" t="n">
        <v>0</v>
      </c>
      <c r="G110" s="24" t="n">
        <f aca="false">E110*(1+F110)</f>
        <v>559.613996</v>
      </c>
      <c r="H110" s="5" t="s">
        <v>203</v>
      </c>
      <c r="N110" s="24" t="n">
        <f aca="false">G110*PARÁMETROS!$B$13</f>
        <v>16.78841988</v>
      </c>
      <c r="W110" s="20" t="n">
        <f aca="false">SUMIFS('DATOS MODELO'!$D$232:$D$279,'DATOS MODELO'!$A$232:$A$279,"NIVEL 4",'DATOS MODELO'!$B$232:$B$279,"Losa aligerada")/PARÁMETROS!$B$15</f>
        <v>2.46666666666667</v>
      </c>
      <c r="X110" s="7" t="s">
        <v>204</v>
      </c>
    </row>
    <row r="111" customFormat="false" ht="15" hidden="false" customHeight="false" outlineLevel="0" collapsed="false">
      <c r="A111" s="5" t="s">
        <v>229</v>
      </c>
      <c r="B111" s="5" t="s">
        <v>134</v>
      </c>
      <c r="C111" s="5" t="s">
        <v>77</v>
      </c>
      <c r="D111" s="5" t="s">
        <v>142</v>
      </c>
      <c r="E111" s="24" t="n">
        <f aca="false">SUMIFS('DATOS MODELO'!$E$232:$E$279,'DATOS MODELO'!$A$232:$A$279,"NIVEL 4",'DATOS MODELO'!$B$232:$B$279,"Escalera",'DATOS MODELO'!$C$232:$C$279,"1/4")*INDEX(PARÁMETROS!$B$93:$B$97,MATCH("1/4",PARÁMETROS!$A$93:$A$97,0))+SUMIFS('DATOS MODELO'!$E$232:$E$279,'DATOS MODELO'!$A$232:$A$279,"NIVEL 4",'DATOS MODELO'!$B$232:$B$279,"Escalera",'DATOS MODELO'!$C$232:$C$279,"3/8")*INDEX(PARÁMETROS!$B$93:$B$97,MATCH("3/8",PARÁMETROS!$A$93:$A$97,0))+SUMIFS('DATOS MODELO'!$E$232:$E$279,'DATOS MODELO'!$A$232:$A$279,"NIVEL 4",'DATOS MODELO'!$B$232:$B$279,"Escalera",'DATOS MODELO'!$C$232:$C$279,"1/2")*INDEX(PARÁMETROS!$B$93:$B$97,MATCH("1/2",PARÁMETROS!$A$93:$A$97,0))+SUMIFS('DATOS MODELO'!$E$232:$E$279,'DATOS MODELO'!$A$232:$A$279,"NIVEL 4",'DATOS MODELO'!$B$232:$B$279,"Escalera",'DATOS MODELO'!$C$232:$C$279,"5/8")*INDEX(PARÁMETROS!$B$93:$B$97,MATCH("5/8",PARÁMETROS!$A$93:$A$97,0))+SUMIFS('DATOS MODELO'!$E$232:$E$279,'DATOS MODELO'!$A$232:$A$279,"NIVEL 4",'DATOS MODELO'!$B$232:$B$279,"Escalera",'DATOS MODELO'!$C$232:$C$279,"3/4")*INDEX(PARÁMETROS!$B$93:$B$97,MATCH("3/4",PARÁMETROS!$A$93:$A$97,0))</f>
        <v>81.56344</v>
      </c>
      <c r="F111" s="23" t="n">
        <v>0</v>
      </c>
      <c r="G111" s="24" t="n">
        <f aca="false">E111*(1+F111)</f>
        <v>81.56344</v>
      </c>
      <c r="H111" s="5" t="s">
        <v>203</v>
      </c>
      <c r="N111" s="24" t="n">
        <f aca="false">G111*PARÁMETROS!$B$13</f>
        <v>2.4469032</v>
      </c>
      <c r="W111" s="20" t="n">
        <f aca="false">SUMIFS('DATOS MODELO'!$D$232:$D$279,'DATOS MODELO'!$A$232:$A$279,"NIVEL 4",'DATOS MODELO'!$B$232:$B$279,"Escalera")/PARÁMETROS!$B$15</f>
        <v>0.506666666666667</v>
      </c>
      <c r="X111" s="7" t="s">
        <v>204</v>
      </c>
    </row>
    <row r="112" customFormat="false" ht="15" hidden="false" customHeight="false" outlineLevel="0" collapsed="false">
      <c r="A112" s="5" t="s">
        <v>229</v>
      </c>
      <c r="B112" s="5" t="s">
        <v>163</v>
      </c>
      <c r="C112" s="5" t="s">
        <v>74</v>
      </c>
      <c r="D112" s="5" t="s">
        <v>201</v>
      </c>
      <c r="E112" s="20" t="n">
        <f aca="false">SUMIFS('DATOS MODELO'!$J$5:$J$227,'DATOS MODELO'!$B$5:$B$227,"NIVEL 4",'DATOS MODELO'!$C$5:$C$227,"Columnas")</f>
        <v>63.2915253099932</v>
      </c>
      <c r="F112" s="23" t="n">
        <v>0</v>
      </c>
      <c r="G112" s="20" t="n">
        <f aca="false">E112*(1+F112)</f>
        <v>63.2915253099932</v>
      </c>
      <c r="H112" s="5" t="s">
        <v>205</v>
      </c>
      <c r="U112" s="20" t="n">
        <f aca="false">G112*PARÁMETROS!$B$16/3.785</f>
        <v>3.34433423038273</v>
      </c>
      <c r="X112" s="7"/>
    </row>
    <row r="113" customFormat="false" ht="15" hidden="false" customHeight="false" outlineLevel="0" collapsed="false">
      <c r="A113" s="5" t="s">
        <v>229</v>
      </c>
      <c r="B113" s="5" t="s">
        <v>163</v>
      </c>
      <c r="C113" s="5" t="s">
        <v>75</v>
      </c>
      <c r="D113" s="5" t="s">
        <v>201</v>
      </c>
      <c r="E113" s="20" t="n">
        <f aca="false">SUMIFS('DATOS MODELO'!$J$5:$J$227,'DATOS MODELO'!$B$5:$B$227,"NIVEL 4",'DATOS MODELO'!$C$5:$C$227,"Vigas")</f>
        <v>40.7553341475469</v>
      </c>
      <c r="F113" s="23" t="n">
        <v>0</v>
      </c>
      <c r="G113" s="20" t="n">
        <f aca="false">E113*(1+F113)</f>
        <v>40.7553341475469</v>
      </c>
      <c r="H113" s="5" t="s">
        <v>205</v>
      </c>
      <c r="U113" s="20" t="n">
        <f aca="false">G113*PARÁMETROS!$B$16/3.785</f>
        <v>2.15351831691133</v>
      </c>
      <c r="X113" s="7" t="s">
        <v>225</v>
      </c>
    </row>
    <row r="114" customFormat="false" ht="15" hidden="false" customHeight="false" outlineLevel="0" collapsed="false">
      <c r="A114" s="5" t="s">
        <v>229</v>
      </c>
      <c r="B114" s="5" t="s">
        <v>163</v>
      </c>
      <c r="C114" s="5" t="s">
        <v>76</v>
      </c>
      <c r="D114" s="5" t="s">
        <v>201</v>
      </c>
      <c r="E114" s="20" t="n">
        <f aca="false">SUMIFS('DATOS MODELO'!$I$5:$I$227,'DATOS MODELO'!$B$5:$B$227,"NIVEL 4",'DATOS MODELO'!$C$5:$C$227,"Losa aligerada")+SUMIFS('DATOS MODELO'!$J$5:$J$227,'DATOS MODELO'!$B$5:$B$227,"NIVEL 4",'DATOS MODELO'!$C$5:$C$227,"Losa aligerada")</f>
        <v>96.9527322007569</v>
      </c>
      <c r="F114" s="23" t="n">
        <v>0</v>
      </c>
      <c r="G114" s="20" t="n">
        <f aca="false">E114*(1+F114)</f>
        <v>96.9527322007569</v>
      </c>
      <c r="H114" s="5" t="s">
        <v>205</v>
      </c>
      <c r="U114" s="20" t="n">
        <f aca="false">G114*PARÁMETROS!$B$16/3.785</f>
        <v>5.12299773848121</v>
      </c>
      <c r="X114" s="7"/>
    </row>
    <row r="115" customFormat="false" ht="15" hidden="false" customHeight="false" outlineLevel="0" collapsed="false">
      <c r="A115" s="5" t="s">
        <v>229</v>
      </c>
      <c r="B115" s="5" t="s">
        <v>163</v>
      </c>
      <c r="C115" s="5" t="s">
        <v>77</v>
      </c>
      <c r="D115" s="5" t="s">
        <v>201</v>
      </c>
      <c r="E115" s="20" t="n">
        <f aca="false">SUMIFS('DATOS MODELO'!$I$5:$I$227,'DATOS MODELO'!$B$5:$B$227,"NIVEL 4",'DATOS MODELO'!$C$5:$C$227,"Escalera")+SUMIFS('DATOS MODELO'!$J$5:$J$227,'DATOS MODELO'!$B$5:$B$227,"NIVEL 4",'DATOS MODELO'!$C$5:$C$227,"Escalera")</f>
        <v>16.2975260441608</v>
      </c>
      <c r="F115" s="23" t="n">
        <v>0</v>
      </c>
      <c r="G115" s="20" t="n">
        <f aca="false">E115*(1+F115)</f>
        <v>16.2975260441608</v>
      </c>
      <c r="H115" s="5" t="s">
        <v>205</v>
      </c>
      <c r="U115" s="20" t="n">
        <f aca="false">G115*PARÁMETROS!$B$16/3.785</f>
        <v>0.861163859665034</v>
      </c>
      <c r="X115" s="7"/>
    </row>
    <row r="116" customFormat="false" ht="15" hidden="false" customHeight="false" outlineLevel="0" collapsed="false">
      <c r="A116" s="26" t="s">
        <v>230</v>
      </c>
      <c r="B116" s="27"/>
      <c r="C116" s="27"/>
      <c r="D116" s="27"/>
      <c r="E116" s="27"/>
      <c r="F116" s="27"/>
      <c r="G116" s="27"/>
      <c r="H116" s="27"/>
      <c r="I116" s="28" t="n">
        <f aca="false">SUM(I96:I115)</f>
        <v>267.031547374784</v>
      </c>
      <c r="J116" s="28" t="n">
        <f aca="false">SUM(J96:J115)</f>
        <v>14.2709562831334</v>
      </c>
      <c r="K116" s="28" t="n">
        <f aca="false">SUM(K96:K115)</f>
        <v>14.5453977501167</v>
      </c>
      <c r="L116" s="28" t="n">
        <f aca="false">SUM(L96:L115)</f>
        <v>5.10461128589001</v>
      </c>
      <c r="M116" s="28" t="n">
        <f aca="false">SUM(M96:M115)</f>
        <v>149.083916666667</v>
      </c>
      <c r="N116" s="28" t="n">
        <f aca="false">SUM(N96:N115)</f>
        <v>111.36836949</v>
      </c>
      <c r="O116" s="28" t="n">
        <f aca="false">SUM(O96:O115)</f>
        <v>162.348749444043</v>
      </c>
      <c r="P116" s="28" t="n">
        <f aca="false">SUM(P96:P115)</f>
        <v>43.1970036392275</v>
      </c>
      <c r="Q116" s="28" t="n">
        <f aca="false">SUM(Q96:Q115)</f>
        <v>33.1126250222004</v>
      </c>
      <c r="R116" s="28" t="n">
        <f aca="false">SUM(R96:R115)</f>
        <v>46.1431439337012</v>
      </c>
      <c r="S116" s="28" t="n">
        <f aca="false">SUM(S96:S115)</f>
        <v>18.5876821994484</v>
      </c>
      <c r="T116" s="28" t="n">
        <f aca="false">SUM(T96:T115)</f>
        <v>4.624799601483</v>
      </c>
      <c r="U116" s="28" t="n">
        <f aca="false">SUM(U96:U115)</f>
        <v>11.4820141454403</v>
      </c>
      <c r="V116" s="28" t="n">
        <f aca="false">SUM(V96:V115)</f>
        <v>489.371705896713</v>
      </c>
      <c r="W116" s="28" t="n">
        <f aca="false">SUM(W96:W115)</f>
        <v>16.04</v>
      </c>
      <c r="X116" s="27"/>
    </row>
    <row r="117" customFormat="false" ht="15" hidden="false" customHeight="false" outlineLevel="0" collapsed="false">
      <c r="B117" s="29" t="s">
        <v>208</v>
      </c>
      <c r="D117" s="30" t="s">
        <v>120</v>
      </c>
      <c r="G117" s="31" t="n">
        <f aca="false">SUMIFS(G96:G115,B96:B115,"Concreto")</f>
        <v>27.4441466983334</v>
      </c>
    </row>
    <row r="118" customFormat="false" ht="15" hidden="false" customHeight="false" outlineLevel="0" collapsed="false">
      <c r="B118" s="29" t="s">
        <v>209</v>
      </c>
      <c r="D118" s="30" t="s">
        <v>201</v>
      </c>
      <c r="G118" s="31" t="n">
        <f aca="false">SUMIFS(G96:G115,B96:B115,"Encofrado")</f>
        <v>218.810831145164</v>
      </c>
    </row>
    <row r="119" customFormat="false" ht="15" hidden="false" customHeight="false" outlineLevel="0" collapsed="false">
      <c r="B119" s="29" t="s">
        <v>210</v>
      </c>
      <c r="D119" s="30" t="s">
        <v>142</v>
      </c>
      <c r="G119" s="31" t="n">
        <f aca="false">SUMIFS(G96:G115,B96:B115,"Acero")</f>
        <v>3712.278983</v>
      </c>
    </row>
    <row r="120" customFormat="false" ht="15" hidden="false" customHeight="false" outlineLevel="0" collapsed="false">
      <c r="B120" s="29" t="s">
        <v>211</v>
      </c>
      <c r="D120" s="30" t="s">
        <v>201</v>
      </c>
      <c r="G120" s="31" t="n">
        <f aca="false">SUMIFS(G96:G115,B96:B115,"Curado")</f>
        <v>217.297117702458</v>
      </c>
    </row>
    <row r="122" customFormat="false" ht="15" hidden="false" customHeight="false" outlineLevel="0" collapsed="false">
      <c r="A122" s="18" t="s">
        <v>231</v>
      </c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</row>
    <row r="123" customFormat="false" ht="42" hidden="false" customHeight="true" outlineLevel="0" collapsed="false">
      <c r="A123" s="4" t="s">
        <v>177</v>
      </c>
      <c r="B123" s="4" t="s">
        <v>178</v>
      </c>
      <c r="C123" s="4" t="s">
        <v>68</v>
      </c>
      <c r="D123" s="4" t="s">
        <v>5</v>
      </c>
      <c r="E123" s="4" t="s">
        <v>179</v>
      </c>
      <c r="F123" s="4" t="s">
        <v>180</v>
      </c>
      <c r="G123" s="4" t="s">
        <v>181</v>
      </c>
      <c r="H123" s="4" t="s">
        <v>182</v>
      </c>
      <c r="I123" s="4" t="s">
        <v>183</v>
      </c>
      <c r="J123" s="4" t="s">
        <v>184</v>
      </c>
      <c r="K123" s="4" t="s">
        <v>185</v>
      </c>
      <c r="L123" s="4" t="s">
        <v>186</v>
      </c>
      <c r="M123" s="4" t="s">
        <v>187</v>
      </c>
      <c r="N123" s="4" t="s">
        <v>188</v>
      </c>
      <c r="O123" s="4" t="s">
        <v>189</v>
      </c>
      <c r="P123" s="4" t="s">
        <v>190</v>
      </c>
      <c r="Q123" s="4" t="s">
        <v>191</v>
      </c>
      <c r="R123" s="4" t="s">
        <v>192</v>
      </c>
      <c r="S123" s="4" t="s">
        <v>193</v>
      </c>
      <c r="T123" s="4" t="s">
        <v>194</v>
      </c>
      <c r="U123" s="4" t="s">
        <v>195</v>
      </c>
      <c r="V123" s="4" t="s">
        <v>196</v>
      </c>
      <c r="W123" s="4" t="s">
        <v>197</v>
      </c>
      <c r="X123" s="4" t="s">
        <v>198</v>
      </c>
    </row>
    <row r="124" customFormat="false" ht="15" hidden="false" customHeight="false" outlineLevel="0" collapsed="false">
      <c r="A124" s="5" t="s">
        <v>231</v>
      </c>
      <c r="B124" s="5" t="s">
        <v>117</v>
      </c>
      <c r="C124" s="5" t="s">
        <v>74</v>
      </c>
      <c r="D124" s="5" t="s">
        <v>120</v>
      </c>
      <c r="E124" s="20" t="n">
        <f aca="false">SUMIFS('DATOS MODELO'!$F$5:$F$227,'DATOS MODELO'!$B$5:$B$227,"NIVEL 5",'DATOS MODELO'!$C$5:$C$227,"Columnas")</f>
        <v>7.21799269580824</v>
      </c>
      <c r="F124" s="21" t="n">
        <f aca="false">PARÁMETROS!$B$8</f>
        <v>0.05</v>
      </c>
      <c r="G124" s="20" t="n">
        <f aca="false">E124*(1+F124)</f>
        <v>7.57889233059865</v>
      </c>
      <c r="H124" s="22" t="n">
        <f aca="false">INDEX(PARÁMETROS!$B$37:$B$45,MATCH(C124,PARÁMETROS!$A$37:$A$45,0))</f>
        <v>210</v>
      </c>
      <c r="I124" s="20" t="n">
        <f aca="false">G124*INDEX(PARÁMETROS!$B$49:$B$54,MATCH(H124,PARÁMETROS!$A$49:$A$54,0))</f>
        <v>73.7426223767249</v>
      </c>
      <c r="J124" s="20" t="n">
        <f aca="false">G124*INDEX(PARÁMETROS!$C$49:$C$54,MATCH(H124,PARÁMETROS!$A$49:$A$54,0))</f>
        <v>3.9410240119113</v>
      </c>
      <c r="K124" s="20" t="n">
        <f aca="false">G124*INDEX(PARÁMETROS!$D$49:$D$54,MATCH(H124,PARÁMETROS!$A$49:$A$54,0))</f>
        <v>4.01681293521729</v>
      </c>
      <c r="L124" s="20" t="n">
        <f aca="false">G124*INDEX(PARÁMETROS!$E$49:$E$54,MATCH(H124,PARÁMETROS!$A$49:$A$54,0))/1000</f>
        <v>1.40967397349135</v>
      </c>
      <c r="X124" s="7"/>
    </row>
    <row r="125" customFormat="false" ht="15" hidden="false" customHeight="false" outlineLevel="0" collapsed="false">
      <c r="A125" s="5" t="s">
        <v>231</v>
      </c>
      <c r="B125" s="5" t="s">
        <v>117</v>
      </c>
      <c r="C125" s="5" t="s">
        <v>75</v>
      </c>
      <c r="D125" s="5" t="s">
        <v>120</v>
      </c>
      <c r="E125" s="20" t="n">
        <f aca="false">SUMIFS('DATOS MODELO'!$F$5:$F$227,'DATOS MODELO'!$B$5:$B$227,"NIVEL 5",'DATOS MODELO'!$C$5:$C$227,"Vigas")</f>
        <v>6.18532515356372</v>
      </c>
      <c r="F125" s="21" t="n">
        <f aca="false">PARÁMETROS!$B$8</f>
        <v>0.05</v>
      </c>
      <c r="G125" s="20" t="n">
        <f aca="false">E125*(1+F125)</f>
        <v>6.49459141124191</v>
      </c>
      <c r="H125" s="22" t="n">
        <f aca="false">INDEX(PARÁMETROS!$B$37:$B$45,MATCH(C125,PARÁMETROS!$A$37:$A$45,0))</f>
        <v>210</v>
      </c>
      <c r="I125" s="20" t="n">
        <f aca="false">G125*INDEX(PARÁMETROS!$B$49:$B$54,MATCH(H125,PARÁMETROS!$A$49:$A$54,0))</f>
        <v>63.1923744313838</v>
      </c>
      <c r="J125" s="20" t="n">
        <f aca="false">G125*INDEX(PARÁMETROS!$C$49:$C$54,MATCH(H125,PARÁMETROS!$A$49:$A$54,0))</f>
        <v>3.37718753384579</v>
      </c>
      <c r="K125" s="20" t="n">
        <f aca="false">G125*INDEX(PARÁMETROS!$D$49:$D$54,MATCH(H125,PARÁMETROS!$A$49:$A$54,0))</f>
        <v>3.44213344795821</v>
      </c>
      <c r="L125" s="20" t="n">
        <f aca="false">G125*INDEX(PARÁMETROS!$E$49:$E$54,MATCH(H125,PARÁMETROS!$A$49:$A$54,0))/1000</f>
        <v>1.20799400249099</v>
      </c>
      <c r="X125" s="7" t="s">
        <v>217</v>
      </c>
    </row>
    <row r="126" customFormat="false" ht="15" hidden="false" customHeight="false" outlineLevel="0" collapsed="false">
      <c r="A126" s="5" t="s">
        <v>231</v>
      </c>
      <c r="B126" s="5" t="s">
        <v>117</v>
      </c>
      <c r="C126" s="5" t="s">
        <v>76</v>
      </c>
      <c r="D126" s="5" t="s">
        <v>120</v>
      </c>
      <c r="E126" s="20" t="n">
        <f aca="false">SUMIFS('DATOS MODELO'!$L$5:$L$227,'DATOS MODELO'!$B$5:$B$227,"NIVEL 5",'DATOS MODELO'!$C$5:$C$227,"Losa aligerada")*PARÁMETROS!$B$32+(SUMIFS('DATOS MODELO'!$K$5:$K$227,'DATOS MODELO'!$B$5:$B$227,"NIVEL 5",'DATOS MODELO'!$C$5:$C$227,"Losa aligerada")-SUMIFS('DATOS MODELO'!$L$5:$L$227,'DATOS MODELO'!$B$5:$B$227,"NIVEL 5",'DATOS MODELO'!$C$5:$C$227,"Losa aligerada"))*PARÁMETROS!$B$26</f>
        <v>10.65635</v>
      </c>
      <c r="F126" s="21" t="n">
        <f aca="false">PARÁMETROS!$B$8</f>
        <v>0.05</v>
      </c>
      <c r="G126" s="20" t="n">
        <f aca="false">E126*(1+F126)</f>
        <v>11.1891675</v>
      </c>
      <c r="H126" s="22" t="n">
        <f aca="false">INDEX(PARÁMETROS!$B$37:$B$45,MATCH(C126,PARÁMETROS!$A$37:$A$45,0))</f>
        <v>210</v>
      </c>
      <c r="I126" s="20" t="n">
        <f aca="false">G126*INDEX(PARÁMETROS!$B$49:$B$54,MATCH(H126,PARÁMETROS!$A$49:$A$54,0))</f>
        <v>108.870599775</v>
      </c>
      <c r="J126" s="20" t="n">
        <f aca="false">G126*INDEX(PARÁMETROS!$C$49:$C$54,MATCH(H126,PARÁMETROS!$A$49:$A$54,0))</f>
        <v>5.8183671</v>
      </c>
      <c r="K126" s="20" t="n">
        <f aca="false">G126*INDEX(PARÁMETROS!$D$49:$D$54,MATCH(H126,PARÁMETROS!$A$49:$A$54,0))</f>
        <v>5.930258775</v>
      </c>
      <c r="L126" s="20" t="n">
        <f aca="false">G126*INDEX(PARÁMETROS!$E$49:$E$54,MATCH(H126,PARÁMETROS!$A$49:$A$54,0))/1000</f>
        <v>2.081185155</v>
      </c>
      <c r="X126" s="7" t="s">
        <v>218</v>
      </c>
    </row>
    <row r="127" customFormat="false" ht="15" hidden="false" customHeight="false" outlineLevel="0" collapsed="false">
      <c r="A127" s="5" t="s">
        <v>231</v>
      </c>
      <c r="B127" s="5" t="s">
        <v>117</v>
      </c>
      <c r="C127" s="5" t="s">
        <v>77</v>
      </c>
      <c r="D127" s="5" t="s">
        <v>120</v>
      </c>
      <c r="E127" s="20" t="n">
        <f aca="false">SUMIFS('DATOS MODELO'!$F$5:$F$227,'DATOS MODELO'!$B$5:$B$227,"NIVEL 5",'DATOS MODELO'!$C$5:$C$227,"Escalera")</f>
        <v>2.07762522637679</v>
      </c>
      <c r="F127" s="21" t="n">
        <f aca="false">PARÁMETROS!$B$8</f>
        <v>0.05</v>
      </c>
      <c r="G127" s="20" t="n">
        <f aca="false">E127*(1+F127)</f>
        <v>2.18150648769563</v>
      </c>
      <c r="H127" s="22" t="n">
        <f aca="false">INDEX(PARÁMETROS!$B$37:$B$45,MATCH(C127,PARÁMETROS!$A$37:$A$45,0))</f>
        <v>210</v>
      </c>
      <c r="I127" s="20" t="n">
        <f aca="false">G127*INDEX(PARÁMETROS!$B$49:$B$54,MATCH(H127,PARÁMETROS!$A$49:$A$54,0))</f>
        <v>21.2260581252785</v>
      </c>
      <c r="J127" s="20" t="n">
        <f aca="false">G127*INDEX(PARÁMETROS!$C$49:$C$54,MATCH(H127,PARÁMETROS!$A$49:$A$54,0))</f>
        <v>1.13438337360173</v>
      </c>
      <c r="K127" s="20" t="n">
        <f aca="false">G127*INDEX(PARÁMETROS!$D$49:$D$54,MATCH(H127,PARÁMETROS!$A$49:$A$54,0))</f>
        <v>1.15619843847868</v>
      </c>
      <c r="L127" s="20" t="n">
        <f aca="false">G127*INDEX(PARÁMETROS!$E$49:$E$54,MATCH(H127,PARÁMETROS!$A$49:$A$54,0))/1000</f>
        <v>0.405760206711387</v>
      </c>
      <c r="X127" s="7" t="s">
        <v>219</v>
      </c>
    </row>
    <row r="128" customFormat="false" ht="15" hidden="false" customHeight="false" outlineLevel="0" collapsed="false">
      <c r="A128" s="5" t="s">
        <v>231</v>
      </c>
      <c r="B128" s="5" t="s">
        <v>220</v>
      </c>
      <c r="C128" s="5" t="s">
        <v>76</v>
      </c>
      <c r="D128" s="5" t="s">
        <v>129</v>
      </c>
      <c r="E128" s="24" t="n">
        <f aca="false">SUMIFS('DATOS MODELO'!$L$5:$L$227,'DATOS MODELO'!$B$5:$B$227,"NIVEL 5",'DATOS MODELO'!$C$5:$C$227,"Losa aligerada")*PARÁMETROS!$B$33</f>
        <v>144.741666666667</v>
      </c>
      <c r="F128" s="21" t="n">
        <f aca="false">PARÁMETROS!$B$9</f>
        <v>0.03</v>
      </c>
      <c r="G128" s="24" t="n">
        <f aca="false">E128*(1+F128)</f>
        <v>149.083916666667</v>
      </c>
      <c r="H128" s="5" t="s">
        <v>221</v>
      </c>
      <c r="M128" s="25" t="n">
        <f aca="false">G128</f>
        <v>149.083916666667</v>
      </c>
      <c r="X128" s="7" t="s">
        <v>222</v>
      </c>
    </row>
    <row r="129" customFormat="false" ht="15" hidden="false" customHeight="false" outlineLevel="0" collapsed="false">
      <c r="A129" s="5" t="s">
        <v>231</v>
      </c>
      <c r="B129" s="5" t="s">
        <v>151</v>
      </c>
      <c r="C129" s="5" t="s">
        <v>74</v>
      </c>
      <c r="D129" s="5" t="s">
        <v>201</v>
      </c>
      <c r="E129" s="20" t="n">
        <f aca="false">SUMIFS('DATOS MODELO'!$G$5:$G$227,'DATOS MODELO'!$B$5:$B$227,"NIVEL 5",'DATOS MODELO'!$C$5:$C$227,"Columnas")</f>
        <v>63.2915464949655</v>
      </c>
      <c r="F129" s="23" t="n">
        <v>0</v>
      </c>
      <c r="G129" s="20" t="n">
        <f aca="false">E129*(1+F129)</f>
        <v>63.2915464949655</v>
      </c>
      <c r="H129" s="5" t="s">
        <v>74</v>
      </c>
      <c r="O129" s="24" t="n">
        <f aca="false">G129*INDEX(PARÁMETROS!$B$58:$B$66,MATCH(H129,PARÁMETROS!$A$58:$A$66,0))/PARÁMETROS!$B$10</f>
        <v>47.4686598712241</v>
      </c>
      <c r="P129" s="20" t="n">
        <f aca="false">G129*INDEX(PARÁMETROS!$C$58:$C$66,MATCH(H129,PARÁMETROS!$A$58:$A$66,0))/PARÁMETROS!$B$11</f>
        <v>13.2912247639428</v>
      </c>
      <c r="Q129" s="20" t="n">
        <f aca="false">G129*INDEX(PARÁMETROS!$D$58:$D$66,MATCH(H129,PARÁMETROS!$A$58:$A$66,0))</f>
        <v>9.49373197424483</v>
      </c>
      <c r="R129" s="20" t="n">
        <f aca="false">G129*INDEX(PARÁMETROS!$E$58:$E$66,MATCH(H129,PARÁMETROS!$A$58:$A$66,0))</f>
        <v>15.8228866237414</v>
      </c>
      <c r="S129" s="24" t="n">
        <f aca="false">G129*INDEX(PARÁMETROS!$F$58:$F$66,MATCH(H129,PARÁMETROS!$A$58:$A$66,0))/PARÁMETROS!$B$12</f>
        <v>0</v>
      </c>
      <c r="T129" s="20" t="n">
        <f aca="false">G129*PARÁMETROS!$B$17/3.785</f>
        <v>1.33773413992001</v>
      </c>
      <c r="V129" s="25" t="n">
        <f aca="false">G129*INDEX(PARÁMETROS!$G$58:$G$66,MATCH(H129,PARÁMETROS!$A$58:$A$66,0))</f>
        <v>126.583092989931</v>
      </c>
      <c r="X129" s="7"/>
    </row>
    <row r="130" customFormat="false" ht="15" hidden="false" customHeight="false" outlineLevel="0" collapsed="false">
      <c r="A130" s="5" t="s">
        <v>231</v>
      </c>
      <c r="B130" s="5" t="s">
        <v>151</v>
      </c>
      <c r="C130" s="5" t="s">
        <v>75</v>
      </c>
      <c r="D130" s="5" t="s">
        <v>201</v>
      </c>
      <c r="E130" s="20" t="n">
        <f aca="false">SUMIFS('DATOS MODELO'!$G$5:$G$227,'DATOS MODELO'!$B$5:$B$227,"NIVEL 5",'DATOS MODELO'!$C$5:$C$227,"Vigas")</f>
        <v>40.7806173220383</v>
      </c>
      <c r="F130" s="23" t="n">
        <v>0</v>
      </c>
      <c r="G130" s="20" t="n">
        <f aca="false">E130*(1+F130)</f>
        <v>40.7806173220383</v>
      </c>
      <c r="H130" s="5" t="s">
        <v>100</v>
      </c>
      <c r="O130" s="24" t="n">
        <f aca="false">G130*INDEX(PARÁMETROS!$B$58:$B$66,MATCH(H130,PARÁMETROS!$A$58:$A$66,0))/PARÁMETROS!$B$10</f>
        <v>30.5854629915287</v>
      </c>
      <c r="P130" s="20" t="n">
        <f aca="false">G130*INDEX(PARÁMETROS!$C$58:$C$66,MATCH(H130,PARÁMETROS!$A$58:$A$66,0))/PARÁMETROS!$B$11</f>
        <v>8.56392963762805</v>
      </c>
      <c r="Q130" s="20" t="n">
        <f aca="false">G130*INDEX(PARÁMETROS!$D$58:$D$66,MATCH(H130,PARÁMETROS!$A$58:$A$66,0))</f>
        <v>7.3405111179669</v>
      </c>
      <c r="R130" s="20" t="n">
        <f aca="false">G130*INDEX(PARÁMETROS!$E$58:$E$66,MATCH(H130,PARÁMETROS!$A$58:$A$66,0))</f>
        <v>10.1951543305096</v>
      </c>
      <c r="S130" s="24" t="n">
        <f aca="false">G130*INDEX(PARÁMETROS!$F$58:$F$66,MATCH(H130,PARÁMETROS!$A$58:$A$66,0))/PARÁMETROS!$B$12</f>
        <v>0</v>
      </c>
      <c r="T130" s="20" t="n">
        <f aca="false">G130*PARÁMETROS!$B$17/3.785</f>
        <v>0.861941713543742</v>
      </c>
      <c r="V130" s="25" t="n">
        <f aca="false">G130*INDEX(PARÁMETROS!$G$58:$G$66,MATCH(H130,PARÁMETROS!$A$58:$A$66,0))</f>
        <v>81.5612346440766</v>
      </c>
      <c r="X130" s="7"/>
    </row>
    <row r="131" customFormat="false" ht="15" hidden="false" customHeight="false" outlineLevel="0" collapsed="false">
      <c r="A131" s="5" t="s">
        <v>231</v>
      </c>
      <c r="B131" s="5" t="s">
        <v>151</v>
      </c>
      <c r="C131" s="5" t="s">
        <v>75</v>
      </c>
      <c r="D131" s="5" t="s">
        <v>201</v>
      </c>
      <c r="E131" s="20" t="n">
        <f aca="false">SUMIFS('DATOS MODELO'!$H$5:$H$227,'DATOS MODELO'!$B$5:$B$227,"NIVEL 5",'DATOS MODELO'!$C$5:$C$227,"Vigas")</f>
        <v>18.0967282008973</v>
      </c>
      <c r="F131" s="23" t="n">
        <v>0</v>
      </c>
      <c r="G131" s="20" t="n">
        <f aca="false">E131*(1+F131)</f>
        <v>18.0967282008973</v>
      </c>
      <c r="H131" s="5" t="s">
        <v>101</v>
      </c>
      <c r="O131" s="24" t="n">
        <f aca="false">G131*INDEX(PARÁMETROS!$B$58:$B$66,MATCH(H131,PARÁMETROS!$A$58:$A$66,0))/PARÁMETROS!$B$10</f>
        <v>18.0967282008973</v>
      </c>
      <c r="P131" s="20" t="n">
        <f aca="false">G131*INDEX(PARÁMETROS!$C$58:$C$66,MATCH(H131,PARÁMETROS!$A$58:$A$66,0))/PARÁMETROS!$B$11</f>
        <v>3.80031292218844</v>
      </c>
      <c r="Q131" s="20" t="n">
        <f aca="false">G131*INDEX(PARÁMETROS!$D$58:$D$66,MATCH(H131,PARÁMETROS!$A$58:$A$66,0))</f>
        <v>3.25741107616152</v>
      </c>
      <c r="R131" s="20" t="n">
        <f aca="false">G131*INDEX(PARÁMETROS!$E$58:$E$66,MATCH(H131,PARÁMETROS!$A$58:$A$66,0))</f>
        <v>4.52418205022434</v>
      </c>
      <c r="S131" s="24" t="n">
        <f aca="false">G131*INDEX(PARÁMETROS!$F$58:$F$66,MATCH(H131,PARÁMETROS!$A$58:$A$66,0))/PARÁMETROS!$B$12</f>
        <v>7.91731858789259</v>
      </c>
      <c r="T131" s="20" t="n">
        <f aca="false">G131*PARÁMETROS!$B$17/3.785</f>
        <v>0.382493594734951</v>
      </c>
      <c r="V131" s="25" t="n">
        <f aca="false">G131*INDEX(PARÁMETROS!$G$58:$G$66,MATCH(H131,PARÁMETROS!$A$58:$A$66,0))</f>
        <v>72.3869128035894</v>
      </c>
      <c r="X131" s="7"/>
    </row>
    <row r="132" customFormat="false" ht="15" hidden="false" customHeight="false" outlineLevel="0" collapsed="false">
      <c r="A132" s="5" t="s">
        <v>231</v>
      </c>
      <c r="B132" s="5" t="s">
        <v>151</v>
      </c>
      <c r="C132" s="5" t="s">
        <v>76</v>
      </c>
      <c r="D132" s="5" t="s">
        <v>201</v>
      </c>
      <c r="E132" s="20" t="n">
        <f aca="false">SUMIFS('DATOS MODELO'!$H$5:$H$227,'DATOS MODELO'!$B$5:$B$227,"NIVEL 5",'DATOS MODELO'!$C$5:$C$227,"Losa aligerada")</f>
        <v>74.5240335650718</v>
      </c>
      <c r="F132" s="23" t="n">
        <v>0</v>
      </c>
      <c r="G132" s="20" t="n">
        <f aca="false">E132*(1+F132)</f>
        <v>74.5240335650718</v>
      </c>
      <c r="H132" s="5" t="s">
        <v>102</v>
      </c>
      <c r="O132" s="24" t="n">
        <f aca="false">G132*INDEX(PARÁMETROS!$B$58:$B$66,MATCH(H132,PARÁMETROS!$A$58:$A$66,0))/PARÁMETROS!$B$10</f>
        <v>46.5775209781699</v>
      </c>
      <c r="P132" s="20" t="n">
        <f aca="false">G132*INDEX(PARÁMETROS!$C$58:$C$66,MATCH(H132,PARÁMETROS!$A$58:$A$66,0))/PARÁMETROS!$B$11</f>
        <v>15.6500470486651</v>
      </c>
      <c r="Q132" s="20" t="n">
        <f aca="false">G132*INDEX(PARÁMETROS!$D$58:$D$66,MATCH(H132,PARÁMETROS!$A$58:$A$66,0))</f>
        <v>8.94288402780861</v>
      </c>
      <c r="R132" s="20" t="n">
        <f aca="false">G132*INDEX(PARÁMETROS!$E$58:$E$66,MATCH(H132,PARÁMETROS!$A$58:$A$66,0))</f>
        <v>11.1786050347608</v>
      </c>
      <c r="S132" s="24" t="n">
        <f aca="false">G132*INDEX(PARÁMETROS!$F$58:$F$66,MATCH(H132,PARÁMETROS!$A$58:$A$66,0))/PARÁMETROS!$B$12</f>
        <v>9.31550419563397</v>
      </c>
      <c r="T132" s="20" t="n">
        <f aca="false">G132*PARÁMETROS!$B$17/3.785</f>
        <v>1.57514469886545</v>
      </c>
      <c r="V132" s="25" t="n">
        <f aca="false">G132*INDEX(PARÁMETROS!$G$58:$G$66,MATCH(H132,PARÁMETROS!$A$58:$A$66,0))</f>
        <v>186.310083912679</v>
      </c>
      <c r="X132" s="7" t="s">
        <v>223</v>
      </c>
    </row>
    <row r="133" customFormat="false" ht="15" hidden="false" customHeight="false" outlineLevel="0" collapsed="false">
      <c r="A133" s="5" t="s">
        <v>231</v>
      </c>
      <c r="B133" s="5" t="s">
        <v>151</v>
      </c>
      <c r="C133" s="5" t="s">
        <v>76</v>
      </c>
      <c r="D133" s="5" t="s">
        <v>201</v>
      </c>
      <c r="E133" s="20" t="n">
        <f aca="false">SUMIFS('DATOS MODELO'!$G$5:$G$227,'DATOS MODELO'!$B$5:$B$227,"NIVEL 5",'DATOS MODELO'!$C$5:$C$227,"Losa aligerada")</f>
        <v>6.92002018316423</v>
      </c>
      <c r="F133" s="23" t="n">
        <v>0</v>
      </c>
      <c r="G133" s="20" t="n">
        <f aca="false">E133*(1+F133)</f>
        <v>6.92002018316423</v>
      </c>
      <c r="H133" s="5" t="s">
        <v>103</v>
      </c>
      <c r="O133" s="24" t="n">
        <f aca="false">G133*INDEX(PARÁMETROS!$B$58:$B$66,MATCH(H133,PARÁMETROS!$A$58:$A$66,0))/PARÁMETROS!$B$10</f>
        <v>5.19001513737317</v>
      </c>
      <c r="P133" s="20" t="n">
        <f aca="false">G133*INDEX(PARÁMETROS!$C$58:$C$66,MATCH(H133,PARÁMETROS!$A$58:$A$66,0))/PARÁMETROS!$B$11</f>
        <v>0</v>
      </c>
      <c r="Q133" s="20" t="n">
        <f aca="false">G133*INDEX(PARÁMETROS!$D$58:$D$66,MATCH(H133,PARÁMETROS!$A$58:$A$66,0))</f>
        <v>1.03800302747463</v>
      </c>
      <c r="R133" s="20" t="n">
        <f aca="false">G133*INDEX(PARÁMETROS!$E$58:$E$66,MATCH(H133,PARÁMETROS!$A$58:$A$66,0))</f>
        <v>1.38400403663285</v>
      </c>
      <c r="S133" s="24" t="n">
        <f aca="false">G133*INDEX(PARÁMETROS!$F$58:$F$66,MATCH(H133,PARÁMETROS!$A$58:$A$66,0))/PARÁMETROS!$B$12</f>
        <v>0</v>
      </c>
      <c r="T133" s="20" t="n">
        <f aca="false">G133*PARÁMETROS!$B$17/3.785</f>
        <v>0.146261985377315</v>
      </c>
      <c r="V133" s="25" t="n">
        <f aca="false">G133*INDEX(PARÁMETROS!$G$58:$G$66,MATCH(H133,PARÁMETROS!$A$58:$A$66,0))</f>
        <v>0</v>
      </c>
      <c r="X133" s="7"/>
    </row>
    <row r="134" customFormat="false" ht="15" hidden="false" customHeight="false" outlineLevel="0" collapsed="false">
      <c r="A134" s="5" t="s">
        <v>231</v>
      </c>
      <c r="B134" s="5" t="s">
        <v>151</v>
      </c>
      <c r="C134" s="5" t="s">
        <v>77</v>
      </c>
      <c r="D134" s="5" t="s">
        <v>201</v>
      </c>
      <c r="E134" s="20" t="n">
        <f aca="false">SUMIFS('DATOS MODELO'!$H$5:$H$227,'DATOS MODELO'!$B$5:$B$227,"NIVEL 5",'DATOS MODELO'!$C$5:$C$227,"Escalera")</f>
        <v>9.03239582028789</v>
      </c>
      <c r="F134" s="23" t="n">
        <v>0</v>
      </c>
      <c r="G134" s="20" t="n">
        <f aca="false">E134*(1+F134)</f>
        <v>9.03239582028789</v>
      </c>
      <c r="H134" s="5" t="s">
        <v>104</v>
      </c>
      <c r="O134" s="24" t="n">
        <f aca="false">G134*INDEX(PARÁMETROS!$B$58:$B$66,MATCH(H134,PARÁMETROS!$A$58:$A$66,0))/PARÁMETROS!$B$10</f>
        <v>9.03239582028789</v>
      </c>
      <c r="P134" s="20" t="n">
        <f aca="false">G134*INDEX(PARÁMETROS!$C$58:$C$66,MATCH(H134,PARÁMETROS!$A$58:$A$66,0))/PARÁMETROS!$B$11</f>
        <v>1.89680312226046</v>
      </c>
      <c r="Q134" s="20" t="n">
        <f aca="false">G134*INDEX(PARÁMETROS!$D$58:$D$66,MATCH(H134,PARÁMETROS!$A$58:$A$66,0))</f>
        <v>1.80647916405758</v>
      </c>
      <c r="R134" s="20" t="n">
        <f aca="false">G134*INDEX(PARÁMETROS!$E$58:$E$66,MATCH(H134,PARÁMETROS!$A$58:$A$66,0))</f>
        <v>1.80647916405758</v>
      </c>
      <c r="S134" s="24" t="n">
        <f aca="false">G134*INDEX(PARÁMETROS!$F$58:$F$66,MATCH(H134,PARÁMETROS!$A$58:$A$66,0))/PARÁMETROS!$B$12</f>
        <v>1.35485937304318</v>
      </c>
      <c r="T134" s="20" t="n">
        <f aca="false">G134*PARÁMETROS!$B$17/3.785</f>
        <v>0.190909290785477</v>
      </c>
      <c r="V134" s="25" t="n">
        <f aca="false">G134*INDEX(PARÁMETROS!$G$58:$G$66,MATCH(H134,PARÁMETROS!$A$58:$A$66,0))</f>
        <v>22.5809895507197</v>
      </c>
      <c r="X134" s="7"/>
    </row>
    <row r="135" customFormat="false" ht="15" hidden="false" customHeight="false" outlineLevel="0" collapsed="false">
      <c r="A135" s="5" t="s">
        <v>231</v>
      </c>
      <c r="B135" s="5" t="s">
        <v>151</v>
      </c>
      <c r="C135" s="5" t="s">
        <v>77</v>
      </c>
      <c r="D135" s="5" t="s">
        <v>201</v>
      </c>
      <c r="E135" s="20" t="n">
        <f aca="false">SUMIFS('DATOS MODELO'!$G$5:$G$227,'DATOS MODELO'!$B$5:$B$227,"NIVEL 5",'DATOS MODELO'!$C$5:$C$227,"Escalera")</f>
        <v>6.35691734451145</v>
      </c>
      <c r="F135" s="23" t="n">
        <v>0</v>
      </c>
      <c r="G135" s="20" t="n">
        <f aca="false">E135*(1+F135)</f>
        <v>6.35691734451145</v>
      </c>
      <c r="H135" s="5" t="s">
        <v>105</v>
      </c>
      <c r="O135" s="24" t="n">
        <f aca="false">G135*INDEX(PARÁMETROS!$B$58:$B$66,MATCH(H135,PARÁMETROS!$A$58:$A$66,0))/PARÁMETROS!$B$10</f>
        <v>5.56230267644752</v>
      </c>
      <c r="P135" s="20" t="n">
        <f aca="false">G135*INDEX(PARÁMETROS!$C$58:$C$66,MATCH(H135,PARÁMETROS!$A$58:$A$66,0))/PARÁMETROS!$B$11</f>
        <v>0</v>
      </c>
      <c r="Q135" s="20" t="n">
        <f aca="false">G135*INDEX(PARÁMETROS!$D$58:$D$66,MATCH(H135,PARÁMETROS!$A$58:$A$66,0))</f>
        <v>1.27138346890229</v>
      </c>
      <c r="R135" s="20" t="n">
        <f aca="false">G135*INDEX(PARÁMETROS!$E$58:$E$66,MATCH(H135,PARÁMETROS!$A$58:$A$66,0))</f>
        <v>1.27138346890229</v>
      </c>
      <c r="S135" s="24" t="n">
        <f aca="false">G135*INDEX(PARÁMETROS!$F$58:$F$66,MATCH(H135,PARÁMETROS!$A$58:$A$66,0))/PARÁMETROS!$B$12</f>
        <v>0</v>
      </c>
      <c r="T135" s="20" t="n">
        <f aca="false">G135*PARÁMETROS!$B$17/3.785</f>
        <v>0.134360208074218</v>
      </c>
      <c r="V135" s="25" t="n">
        <f aca="false">G135*INDEX(PARÁMETROS!$G$58:$G$66,MATCH(H135,PARÁMETROS!$A$58:$A$66,0))</f>
        <v>0</v>
      </c>
      <c r="X135" s="7" t="s">
        <v>224</v>
      </c>
    </row>
    <row r="136" customFormat="false" ht="15" hidden="false" customHeight="false" outlineLevel="0" collapsed="false">
      <c r="A136" s="5" t="s">
        <v>231</v>
      </c>
      <c r="B136" s="5" t="s">
        <v>134</v>
      </c>
      <c r="C136" s="5" t="s">
        <v>74</v>
      </c>
      <c r="D136" s="5" t="s">
        <v>142</v>
      </c>
      <c r="E136" s="24" t="n">
        <f aca="false">SUMIFS('DATOS MODELO'!$E$232:$E$279,'DATOS MODELO'!$A$232:$A$279,"NIVEL 5",'DATOS MODELO'!$B$232:$B$279,"Columnas",'DATOS MODELO'!$C$232:$C$279,"1/4")*INDEX(PARÁMETROS!$B$93:$B$97,MATCH("1/4",PARÁMETROS!$A$93:$A$97,0))+SUMIFS('DATOS MODELO'!$E$232:$E$279,'DATOS MODELO'!$A$232:$A$279,"NIVEL 5",'DATOS MODELO'!$B$232:$B$279,"Columnas",'DATOS MODELO'!$C$232:$C$279,"3/8")*INDEX(PARÁMETROS!$B$93:$B$97,MATCH("3/8",PARÁMETROS!$A$93:$A$97,0))+SUMIFS('DATOS MODELO'!$E$232:$E$279,'DATOS MODELO'!$A$232:$A$279,"NIVEL 5",'DATOS MODELO'!$B$232:$B$279,"Columnas",'DATOS MODELO'!$C$232:$C$279,"1/2")*INDEX(PARÁMETROS!$B$93:$B$97,MATCH("1/2",PARÁMETROS!$A$93:$A$97,0))+SUMIFS('DATOS MODELO'!$E$232:$E$279,'DATOS MODELO'!$A$232:$A$279,"NIVEL 5",'DATOS MODELO'!$B$232:$B$279,"Columnas",'DATOS MODELO'!$C$232:$C$279,"5/8")*INDEX(PARÁMETROS!$B$93:$B$97,MATCH("5/8",PARÁMETROS!$A$93:$A$97,0))+SUMIFS('DATOS MODELO'!$E$232:$E$279,'DATOS MODELO'!$A$232:$A$279,"NIVEL 5",'DATOS MODELO'!$B$232:$B$279,"Columnas",'DATOS MODELO'!$C$232:$C$279,"3/4")*INDEX(PARÁMETROS!$B$93:$B$97,MATCH("3/4",PARÁMETROS!$A$93:$A$97,0))</f>
        <v>1102.440436</v>
      </c>
      <c r="F136" s="23" t="n">
        <v>0</v>
      </c>
      <c r="G136" s="24" t="n">
        <f aca="false">E136*(1+F136)</f>
        <v>1102.440436</v>
      </c>
      <c r="H136" s="5" t="s">
        <v>203</v>
      </c>
      <c r="N136" s="24" t="n">
        <f aca="false">G136*PARÁMETROS!$B$13</f>
        <v>33.07321308</v>
      </c>
      <c r="W136" s="20" t="n">
        <f aca="false">SUMIFS('DATOS MODELO'!$D$232:$D$279,'DATOS MODELO'!$A$232:$A$279,"NIVEL 5",'DATOS MODELO'!$B$232:$B$279,"Columnas")/PARÁMETROS!$B$15</f>
        <v>9.32</v>
      </c>
      <c r="X136" s="7" t="s">
        <v>204</v>
      </c>
    </row>
    <row r="137" customFormat="false" ht="15" hidden="false" customHeight="false" outlineLevel="0" collapsed="false">
      <c r="A137" s="5" t="s">
        <v>231</v>
      </c>
      <c r="B137" s="5" t="s">
        <v>134</v>
      </c>
      <c r="C137" s="5" t="s">
        <v>75</v>
      </c>
      <c r="D137" s="5" t="s">
        <v>142</v>
      </c>
      <c r="E137" s="24" t="n">
        <f aca="false">SUMIFS('DATOS MODELO'!$E$232:$E$279,'DATOS MODELO'!$A$232:$A$279,"NIVEL 5",'DATOS MODELO'!$B$232:$B$279,"Vigas",'DATOS MODELO'!$C$232:$C$279,"1/4")*INDEX(PARÁMETROS!$B$93:$B$97,MATCH("1/4",PARÁMETROS!$A$93:$A$97,0))+SUMIFS('DATOS MODELO'!$E$232:$E$279,'DATOS MODELO'!$A$232:$A$279,"NIVEL 5",'DATOS MODELO'!$B$232:$B$279,"Vigas",'DATOS MODELO'!$C$232:$C$279,"3/8")*INDEX(PARÁMETROS!$B$93:$B$97,MATCH("3/8",PARÁMETROS!$A$93:$A$97,0))+SUMIFS('DATOS MODELO'!$E$232:$E$279,'DATOS MODELO'!$A$232:$A$279,"NIVEL 5",'DATOS MODELO'!$B$232:$B$279,"Vigas",'DATOS MODELO'!$C$232:$C$279,"1/2")*INDEX(PARÁMETROS!$B$93:$B$97,MATCH("1/2",PARÁMETROS!$A$93:$A$97,0))+SUMIFS('DATOS MODELO'!$E$232:$E$279,'DATOS MODELO'!$A$232:$A$279,"NIVEL 5",'DATOS MODELO'!$B$232:$B$279,"Vigas",'DATOS MODELO'!$C$232:$C$279,"5/8")*INDEX(PARÁMETROS!$B$93:$B$97,MATCH("5/8",PARÁMETROS!$A$93:$A$97,0))+SUMIFS('DATOS MODELO'!$E$232:$E$279,'DATOS MODELO'!$A$232:$A$279,"NIVEL 5",'DATOS MODELO'!$B$232:$B$279,"Vigas",'DATOS MODELO'!$C$232:$C$279,"3/4")*INDEX(PARÁMETROS!$B$93:$B$97,MATCH("3/4",PARÁMETROS!$A$93:$A$97,0))</f>
        <v>1603.183075</v>
      </c>
      <c r="F137" s="23" t="n">
        <v>0</v>
      </c>
      <c r="G137" s="24" t="n">
        <f aca="false">E137*(1+F137)</f>
        <v>1603.183075</v>
      </c>
      <c r="H137" s="5" t="s">
        <v>203</v>
      </c>
      <c r="N137" s="24" t="n">
        <f aca="false">G137*PARÁMETROS!$B$13</f>
        <v>48.09549225</v>
      </c>
      <c r="W137" s="20" t="n">
        <f aca="false">SUMIFS('DATOS MODELO'!$D$232:$D$279,'DATOS MODELO'!$A$232:$A$279,"NIVEL 5",'DATOS MODELO'!$B$232:$B$279,"Vigas")/PARÁMETROS!$B$15</f>
        <v>3.73333333333333</v>
      </c>
      <c r="X137" s="7" t="s">
        <v>204</v>
      </c>
    </row>
    <row r="138" customFormat="false" ht="15" hidden="false" customHeight="false" outlineLevel="0" collapsed="false">
      <c r="A138" s="5" t="s">
        <v>231</v>
      </c>
      <c r="B138" s="5" t="s">
        <v>134</v>
      </c>
      <c r="C138" s="5" t="s">
        <v>76</v>
      </c>
      <c r="D138" s="5" t="s">
        <v>142</v>
      </c>
      <c r="E138" s="24" t="n">
        <f aca="false">SUMIFS('DATOS MODELO'!$E$232:$E$279,'DATOS MODELO'!$A$232:$A$279,"NIVEL 5",'DATOS MODELO'!$B$232:$B$279,"Losa aligerada",'DATOS MODELO'!$C$232:$C$279,"1/4")*INDEX(PARÁMETROS!$B$93:$B$97,MATCH("1/4",PARÁMETROS!$A$93:$A$97,0))+SUMIFS('DATOS MODELO'!$E$232:$E$279,'DATOS MODELO'!$A$232:$A$279,"NIVEL 5",'DATOS MODELO'!$B$232:$B$279,"Losa aligerada",'DATOS MODELO'!$C$232:$C$279,"3/8")*INDEX(PARÁMETROS!$B$93:$B$97,MATCH("3/8",PARÁMETROS!$A$93:$A$97,0))+SUMIFS('DATOS MODELO'!$E$232:$E$279,'DATOS MODELO'!$A$232:$A$279,"NIVEL 5",'DATOS MODELO'!$B$232:$B$279,"Losa aligerada",'DATOS MODELO'!$C$232:$C$279,"1/2")*INDEX(PARÁMETROS!$B$93:$B$97,MATCH("1/2",PARÁMETROS!$A$93:$A$97,0))+SUMIFS('DATOS MODELO'!$E$232:$E$279,'DATOS MODELO'!$A$232:$A$279,"NIVEL 5",'DATOS MODELO'!$B$232:$B$279,"Losa aligerada",'DATOS MODELO'!$C$232:$C$279,"5/8")*INDEX(PARÁMETROS!$B$93:$B$97,MATCH("5/8",PARÁMETROS!$A$93:$A$97,0))+SUMIFS('DATOS MODELO'!$E$232:$E$279,'DATOS MODELO'!$A$232:$A$279,"NIVEL 5",'DATOS MODELO'!$B$232:$B$279,"Losa aligerada",'DATOS MODELO'!$C$232:$C$279,"3/4")*INDEX(PARÁMETROS!$B$93:$B$97,MATCH("3/4",PARÁMETROS!$A$93:$A$97,0))</f>
        <v>559.617472</v>
      </c>
      <c r="F138" s="23" t="n">
        <v>0</v>
      </c>
      <c r="G138" s="24" t="n">
        <f aca="false">E138*(1+F138)</f>
        <v>559.617472</v>
      </c>
      <c r="H138" s="5" t="s">
        <v>203</v>
      </c>
      <c r="N138" s="24" t="n">
        <f aca="false">G138*PARÁMETROS!$B$13</f>
        <v>16.78852416</v>
      </c>
      <c r="W138" s="20" t="n">
        <f aca="false">SUMIFS('DATOS MODELO'!$D$232:$D$279,'DATOS MODELO'!$A$232:$A$279,"NIVEL 5",'DATOS MODELO'!$B$232:$B$279,"Losa aligerada")/PARÁMETROS!$B$15</f>
        <v>2.46666666666667</v>
      </c>
      <c r="X138" s="7" t="s">
        <v>204</v>
      </c>
    </row>
    <row r="139" customFormat="false" ht="15" hidden="false" customHeight="false" outlineLevel="0" collapsed="false">
      <c r="A139" s="5" t="s">
        <v>231</v>
      </c>
      <c r="B139" s="5" t="s">
        <v>134</v>
      </c>
      <c r="C139" s="5" t="s">
        <v>77</v>
      </c>
      <c r="D139" s="5" t="s">
        <v>142</v>
      </c>
      <c r="E139" s="24" t="n">
        <f aca="false">SUMIFS('DATOS MODELO'!$E$232:$E$279,'DATOS MODELO'!$A$232:$A$279,"NIVEL 5",'DATOS MODELO'!$B$232:$B$279,"Escalera",'DATOS MODELO'!$C$232:$C$279,"1/4")*INDEX(PARÁMETROS!$B$93:$B$97,MATCH("1/4",PARÁMETROS!$A$93:$A$97,0))+SUMIFS('DATOS MODELO'!$E$232:$E$279,'DATOS MODELO'!$A$232:$A$279,"NIVEL 5",'DATOS MODELO'!$B$232:$B$279,"Escalera",'DATOS MODELO'!$C$232:$C$279,"3/8")*INDEX(PARÁMETROS!$B$93:$B$97,MATCH("3/8",PARÁMETROS!$A$93:$A$97,0))+SUMIFS('DATOS MODELO'!$E$232:$E$279,'DATOS MODELO'!$A$232:$A$279,"NIVEL 5",'DATOS MODELO'!$B$232:$B$279,"Escalera",'DATOS MODELO'!$C$232:$C$279,"1/2")*INDEX(PARÁMETROS!$B$93:$B$97,MATCH("1/2",PARÁMETROS!$A$93:$A$97,0))+SUMIFS('DATOS MODELO'!$E$232:$E$279,'DATOS MODELO'!$A$232:$A$279,"NIVEL 5",'DATOS MODELO'!$B$232:$B$279,"Escalera",'DATOS MODELO'!$C$232:$C$279,"5/8")*INDEX(PARÁMETROS!$B$93:$B$97,MATCH("5/8",PARÁMETROS!$A$93:$A$97,0))+SUMIFS('DATOS MODELO'!$E$232:$E$279,'DATOS MODELO'!$A$232:$A$279,"NIVEL 5",'DATOS MODELO'!$B$232:$B$279,"Escalera",'DATOS MODELO'!$C$232:$C$279,"3/4")*INDEX(PARÁMETROS!$B$93:$B$97,MATCH("3/4",PARÁMETROS!$A$93:$A$97,0))</f>
        <v>81.56344</v>
      </c>
      <c r="F139" s="23" t="n">
        <v>0</v>
      </c>
      <c r="G139" s="24" t="n">
        <f aca="false">E139*(1+F139)</f>
        <v>81.56344</v>
      </c>
      <c r="H139" s="5" t="s">
        <v>203</v>
      </c>
      <c r="N139" s="24" t="n">
        <f aca="false">G139*PARÁMETROS!$B$13</f>
        <v>2.4469032</v>
      </c>
      <c r="W139" s="20" t="n">
        <f aca="false">SUMIFS('DATOS MODELO'!$D$232:$D$279,'DATOS MODELO'!$A$232:$A$279,"NIVEL 5",'DATOS MODELO'!$B$232:$B$279,"Escalera")/PARÁMETROS!$B$15</f>
        <v>0.506666666666667</v>
      </c>
      <c r="X139" s="7" t="s">
        <v>204</v>
      </c>
    </row>
    <row r="140" customFormat="false" ht="15" hidden="false" customHeight="false" outlineLevel="0" collapsed="false">
      <c r="A140" s="5" t="s">
        <v>231</v>
      </c>
      <c r="B140" s="5" t="s">
        <v>163</v>
      </c>
      <c r="C140" s="5" t="s">
        <v>74</v>
      </c>
      <c r="D140" s="5" t="s">
        <v>201</v>
      </c>
      <c r="E140" s="20" t="n">
        <f aca="false">SUMIFS('DATOS MODELO'!$J$5:$J$227,'DATOS MODELO'!$B$5:$B$227,"NIVEL 5",'DATOS MODELO'!$C$5:$C$227,"Columnas")</f>
        <v>63.2915464949655</v>
      </c>
      <c r="F140" s="23" t="n">
        <v>0</v>
      </c>
      <c r="G140" s="20" t="n">
        <f aca="false">E140*(1+F140)</f>
        <v>63.2915464949655</v>
      </c>
      <c r="H140" s="5" t="s">
        <v>205</v>
      </c>
      <c r="U140" s="20" t="n">
        <f aca="false">G140*PARÁMETROS!$B$16/3.785</f>
        <v>3.34433534980003</v>
      </c>
      <c r="X140" s="7"/>
    </row>
    <row r="141" customFormat="false" ht="15" hidden="false" customHeight="false" outlineLevel="0" collapsed="false">
      <c r="A141" s="5" t="s">
        <v>231</v>
      </c>
      <c r="B141" s="5" t="s">
        <v>163</v>
      </c>
      <c r="C141" s="5" t="s">
        <v>75</v>
      </c>
      <c r="D141" s="5" t="s">
        <v>201</v>
      </c>
      <c r="E141" s="20" t="n">
        <f aca="false">SUMIFS('DATOS MODELO'!$J$5:$J$227,'DATOS MODELO'!$B$5:$B$227,"NIVEL 5",'DATOS MODELO'!$C$5:$C$227,"Vigas")</f>
        <v>40.7806173220383</v>
      </c>
      <c r="F141" s="23" t="n">
        <v>0</v>
      </c>
      <c r="G141" s="20" t="n">
        <f aca="false">E141*(1+F141)</f>
        <v>40.7806173220383</v>
      </c>
      <c r="H141" s="5" t="s">
        <v>205</v>
      </c>
      <c r="U141" s="20" t="n">
        <f aca="false">G141*PARÁMETROS!$B$16/3.785</f>
        <v>2.15485428385936</v>
      </c>
      <c r="X141" s="7" t="s">
        <v>225</v>
      </c>
    </row>
    <row r="142" customFormat="false" ht="15" hidden="false" customHeight="false" outlineLevel="0" collapsed="false">
      <c r="A142" s="5" t="s">
        <v>231</v>
      </c>
      <c r="B142" s="5" t="s">
        <v>163</v>
      </c>
      <c r="C142" s="5" t="s">
        <v>76</v>
      </c>
      <c r="D142" s="5" t="s">
        <v>201</v>
      </c>
      <c r="E142" s="20" t="n">
        <f aca="false">SUMIFS('DATOS MODELO'!$I$5:$I$227,'DATOS MODELO'!$B$5:$B$227,"NIVEL 5",'DATOS MODELO'!$C$5:$C$227,"Losa aligerada")+SUMIFS('DATOS MODELO'!$J$5:$J$227,'DATOS MODELO'!$B$5:$B$227,"NIVEL 5",'DATOS MODELO'!$C$5:$C$227,"Losa aligerada")</f>
        <v>99.282513812918</v>
      </c>
      <c r="F142" s="23" t="n">
        <v>0</v>
      </c>
      <c r="G142" s="20" t="n">
        <f aca="false">E142*(1+F142)</f>
        <v>99.282513812918</v>
      </c>
      <c r="H142" s="5" t="s">
        <v>205</v>
      </c>
      <c r="U142" s="20" t="n">
        <f aca="false">G142*PARÁMETROS!$B$16/3.785</f>
        <v>5.24610376818589</v>
      </c>
      <c r="X142" s="7"/>
    </row>
    <row r="143" customFormat="false" ht="15" hidden="false" customHeight="false" outlineLevel="0" collapsed="false">
      <c r="A143" s="5" t="s">
        <v>231</v>
      </c>
      <c r="B143" s="5" t="s">
        <v>163</v>
      </c>
      <c r="C143" s="5" t="s">
        <v>77</v>
      </c>
      <c r="D143" s="5" t="s">
        <v>201</v>
      </c>
      <c r="E143" s="20" t="n">
        <f aca="false">SUMIFS('DATOS MODELO'!$I$5:$I$227,'DATOS MODELO'!$B$5:$B$227,"NIVEL 5",'DATOS MODELO'!$C$5:$C$227,"Escalera")+SUMIFS('DATOS MODELO'!$J$5:$J$227,'DATOS MODELO'!$B$5:$B$227,"NIVEL 5",'DATOS MODELO'!$C$5:$C$227,"Escalera")</f>
        <v>16.4636497875927</v>
      </c>
      <c r="F143" s="23" t="n">
        <v>0</v>
      </c>
      <c r="G143" s="20" t="n">
        <f aca="false">E143*(1+F143)</f>
        <v>16.4636497875927</v>
      </c>
      <c r="H143" s="5" t="s">
        <v>205</v>
      </c>
      <c r="U143" s="20" t="n">
        <f aca="false">G143*PARÁMETROS!$B$16/3.785</f>
        <v>0.86994186460199</v>
      </c>
      <c r="X143" s="7"/>
    </row>
    <row r="144" customFormat="false" ht="15" hidden="false" customHeight="false" outlineLevel="0" collapsed="false">
      <c r="A144" s="26" t="s">
        <v>232</v>
      </c>
      <c r="B144" s="27"/>
      <c r="C144" s="27"/>
      <c r="D144" s="27"/>
      <c r="E144" s="27"/>
      <c r="F144" s="27"/>
      <c r="G144" s="27"/>
      <c r="H144" s="27"/>
      <c r="I144" s="28" t="n">
        <f aca="false">SUM(I124:I143)</f>
        <v>267.031654708387</v>
      </c>
      <c r="J144" s="28" t="n">
        <f aca="false">SUM(J124:J143)</f>
        <v>14.2709620193588</v>
      </c>
      <c r="K144" s="28" t="n">
        <f aca="false">SUM(K124:K143)</f>
        <v>14.5454035966542</v>
      </c>
      <c r="L144" s="28" t="n">
        <f aca="false">SUM(L124:L143)</f>
        <v>5.10461333769373</v>
      </c>
      <c r="M144" s="28" t="n">
        <f aca="false">SUM(M124:M143)</f>
        <v>149.083916666667</v>
      </c>
      <c r="N144" s="28" t="n">
        <f aca="false">SUM(N124:N143)</f>
        <v>100.40413269</v>
      </c>
      <c r="O144" s="28" t="n">
        <f aca="false">SUM(O124:O143)</f>
        <v>162.513085675929</v>
      </c>
      <c r="P144" s="28" t="n">
        <f aca="false">SUM(P124:P143)</f>
        <v>43.2023174946848</v>
      </c>
      <c r="Q144" s="28" t="n">
        <f aca="false">SUM(Q124:Q143)</f>
        <v>33.1504038566164</v>
      </c>
      <c r="R144" s="28" t="n">
        <f aca="false">SUM(R124:R143)</f>
        <v>46.1826947088288</v>
      </c>
      <c r="S144" s="28" t="n">
        <f aca="false">SUM(S124:S143)</f>
        <v>18.5876821565697</v>
      </c>
      <c r="T144" s="28" t="n">
        <f aca="false">SUM(T124:T143)</f>
        <v>4.62884563130117</v>
      </c>
      <c r="U144" s="28" t="n">
        <f aca="false">SUM(U124:U143)</f>
        <v>11.6152352664473</v>
      </c>
      <c r="V144" s="28" t="n">
        <f aca="false">SUM(V124:V143)</f>
        <v>489.422313900996</v>
      </c>
      <c r="W144" s="28" t="n">
        <f aca="false">SUM(W124:W143)</f>
        <v>16.0266666666667</v>
      </c>
      <c r="X144" s="27"/>
    </row>
    <row r="145" customFormat="false" ht="15" hidden="false" customHeight="false" outlineLevel="0" collapsed="false">
      <c r="B145" s="29" t="s">
        <v>208</v>
      </c>
      <c r="D145" s="30" t="s">
        <v>120</v>
      </c>
      <c r="G145" s="31" t="n">
        <f aca="false">SUMIFS(G124:G143,B124:B143,"Concreto")</f>
        <v>27.4441577295362</v>
      </c>
    </row>
    <row r="146" customFormat="false" ht="15" hidden="false" customHeight="false" outlineLevel="0" collapsed="false">
      <c r="B146" s="29" t="s">
        <v>209</v>
      </c>
      <c r="D146" s="30" t="s">
        <v>201</v>
      </c>
      <c r="G146" s="31" t="n">
        <f aca="false">SUMIFS(G124:G143,B124:B143,"Encofrado")</f>
        <v>219.002258930937</v>
      </c>
    </row>
    <row r="147" customFormat="false" ht="15" hidden="false" customHeight="false" outlineLevel="0" collapsed="false">
      <c r="B147" s="29" t="s">
        <v>210</v>
      </c>
      <c r="D147" s="30" t="s">
        <v>142</v>
      </c>
      <c r="G147" s="31" t="n">
        <f aca="false">SUMIFS(G124:G143,B124:B143,"Acero")</f>
        <v>3346.804423</v>
      </c>
    </row>
    <row r="148" customFormat="false" ht="15" hidden="false" customHeight="false" outlineLevel="0" collapsed="false">
      <c r="B148" s="29" t="s">
        <v>211</v>
      </c>
      <c r="D148" s="30" t="s">
        <v>201</v>
      </c>
      <c r="G148" s="31" t="n">
        <f aca="false">SUMIFS(G124:G143,B124:B143,"Curado")</f>
        <v>219.818327417514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6"/>
    <col collapsed="false" customWidth="true" hidden="false" outlineLevel="0" max="4" min="3" style="0" width="12"/>
    <col collapsed="false" customWidth="true" hidden="false" outlineLevel="0" max="5" min="5" style="0" width="11"/>
    <col collapsed="false" customWidth="true" hidden="false" outlineLevel="0" max="9" min="6" style="0" width="12"/>
    <col collapsed="false" customWidth="true" hidden="false" outlineLevel="0" max="10" min="10" style="0" width="11"/>
    <col collapsed="false" customWidth="true" hidden="false" outlineLevel="0" max="11" min="11" style="0" width="14"/>
    <col collapsed="false" customWidth="true" hidden="false" outlineLevel="0" max="12" min="12" style="0" width="11"/>
    <col collapsed="false" customWidth="true" hidden="false" outlineLevel="0" max="13" min="13" style="0" width="13"/>
  </cols>
  <sheetData>
    <row r="1" customFormat="false" ht="17.35" hidden="false" customHeight="false" outlineLevel="0" collapsed="false">
      <c r="A1" s="1" t="s">
        <v>233</v>
      </c>
    </row>
    <row r="2" customFormat="false" ht="15" hidden="false" customHeight="false" outlineLevel="0" collapsed="false">
      <c r="A2" s="2" t="s">
        <v>234</v>
      </c>
    </row>
    <row r="4" customFormat="false" ht="42" hidden="false" customHeight="true" outlineLevel="0" collapsed="false">
      <c r="A4" s="4" t="s">
        <v>177</v>
      </c>
      <c r="B4" s="4" t="s">
        <v>165</v>
      </c>
      <c r="C4" s="4" t="s">
        <v>235</v>
      </c>
      <c r="D4" s="4" t="s">
        <v>236</v>
      </c>
      <c r="E4" s="4" t="s">
        <v>237</v>
      </c>
      <c r="F4" s="4" t="s">
        <v>238</v>
      </c>
      <c r="G4" s="4" t="s">
        <v>239</v>
      </c>
      <c r="H4" s="4" t="s">
        <v>240</v>
      </c>
      <c r="I4" s="4" t="s">
        <v>241</v>
      </c>
      <c r="J4" s="4" t="s">
        <v>242</v>
      </c>
      <c r="K4" s="4" t="s">
        <v>243</v>
      </c>
      <c r="L4" s="4" t="s">
        <v>244</v>
      </c>
      <c r="M4" s="4" t="s">
        <v>245</v>
      </c>
    </row>
    <row r="5" customFormat="false" ht="15" hidden="false" customHeight="false" outlineLevel="0" collapsed="false">
      <c r="A5" s="5" t="s">
        <v>176</v>
      </c>
      <c r="B5" s="32" t="s">
        <v>168</v>
      </c>
      <c r="C5" s="22" t="n">
        <f aca="false">SUMIFS('DATOS MODELO'!$D$232:$D$279,'DATOS MODELO'!$A$232:$A$279,A5,'DATOS MODELO'!$C$232:$C$279,B5)</f>
        <v>0</v>
      </c>
      <c r="D5" s="33" t="n">
        <f aca="false">SUMIFS('DATOS MODELO'!$E$232:$E$279,'DATOS MODELO'!$A$232:$A$279,A5,'DATOS MODELO'!$C$232:$C$279,B5)</f>
        <v>0</v>
      </c>
      <c r="E5" s="24" t="n">
        <f aca="false">D5*INDEX(PARÁMETROS!$B$93:$B$97,MATCH(B5,PARÁMETROS!$A$93:$A$97,0))</f>
        <v>0</v>
      </c>
      <c r="F5" s="22" t="n">
        <f aca="false">COUNTIFS('PLAN DE CORTE'!$A$5:$A$2516,A5,'PLAN DE CORTE'!$B$5:$B$2516,B5)</f>
        <v>0</v>
      </c>
      <c r="G5" s="20" t="n">
        <f aca="false">F5*9</f>
        <v>0</v>
      </c>
      <c r="H5" s="33" t="n">
        <f aca="false">SUMIFS('PLAN DE CORTE'!$F$5:$F$2516,'PLAN DE CORTE'!$A$5:$A$2516,A5,'PLAN DE CORTE'!$B$5:$B$2516,B5)</f>
        <v>0</v>
      </c>
      <c r="I5" s="20" t="n">
        <f aca="false">H5-D5</f>
        <v>0</v>
      </c>
      <c r="J5" s="20" t="n">
        <f aca="false">G5-H5</f>
        <v>0</v>
      </c>
      <c r="K5" s="33" t="n">
        <f aca="false">SUMIFS('PLAN DE CORTE'!$H$5:$H$2516,'PLAN DE CORTE'!$A$5:$A$2516,A5,'PLAN DE CORTE'!$B$5:$B$2516,B5)</f>
        <v>0</v>
      </c>
      <c r="L5" s="23" t="n">
        <f aca="false">IF(G5&gt;0,J5/G5,0)</f>
        <v>0</v>
      </c>
      <c r="M5" s="24" t="n">
        <f aca="false">G5*INDEX(PARÁMETROS!$B$93:$B$97,MATCH(B5,PARÁMETROS!$A$93:$A$97,0))</f>
        <v>0</v>
      </c>
    </row>
    <row r="6" customFormat="false" ht="15" hidden="false" customHeight="false" outlineLevel="0" collapsed="false">
      <c r="A6" s="5" t="s">
        <v>176</v>
      </c>
      <c r="B6" s="32" t="s">
        <v>169</v>
      </c>
      <c r="C6" s="22" t="n">
        <f aca="false">SUMIFS('DATOS MODELO'!$D$232:$D$279,'DATOS MODELO'!$A$232:$A$279,A6,'DATOS MODELO'!$C$232:$C$279,B6)</f>
        <v>387</v>
      </c>
      <c r="D6" s="33" t="n">
        <f aca="false">SUMIFS('DATOS MODELO'!$E$232:$E$279,'DATOS MODELO'!$A$232:$A$279,A6,'DATOS MODELO'!$C$232:$C$279,B6)</f>
        <v>433.874</v>
      </c>
      <c r="E6" s="24" t="n">
        <f aca="false">D6*INDEX(PARÁMETROS!$B$93:$B$97,MATCH(B6,PARÁMETROS!$A$93:$A$97,0))</f>
        <v>242.96944</v>
      </c>
      <c r="F6" s="22" t="n">
        <f aca="false">COUNTIFS('PLAN DE CORTE'!$A$5:$A$2516,A6,'PLAN DE CORTE'!$B$5:$B$2516,B6)</f>
        <v>49</v>
      </c>
      <c r="G6" s="20" t="n">
        <f aca="false">F6*9</f>
        <v>441</v>
      </c>
      <c r="H6" s="33" t="n">
        <f aca="false">SUMIFS('PLAN DE CORTE'!$F$5:$F$2516,'PLAN DE CORTE'!$A$5:$A$2516,A6,'PLAN DE CORTE'!$B$5:$B$2516,B6)</f>
        <v>433.874443410972</v>
      </c>
      <c r="I6" s="20" t="n">
        <f aca="false">H6-D6</f>
        <v>0.000443410971968206</v>
      </c>
      <c r="J6" s="20" t="n">
        <f aca="false">G6-H6</f>
        <v>7.12555658902807</v>
      </c>
      <c r="K6" s="33" t="n">
        <f aca="false">SUMIFS('PLAN DE CORTE'!$H$5:$H$2516,'PLAN DE CORTE'!$A$5:$A$2516,A6,'PLAN DE CORTE'!$B$5:$B$2516,B6)</f>
        <v>4.52518989923672</v>
      </c>
      <c r="L6" s="23" t="n">
        <f aca="false">IF(G6&gt;0,J6/G6,0)</f>
        <v>0.0161577246916736</v>
      </c>
      <c r="M6" s="24" t="n">
        <f aca="false">G6*INDEX(PARÁMETROS!$B$93:$B$97,MATCH(B6,PARÁMETROS!$A$93:$A$97,0))</f>
        <v>246.96</v>
      </c>
    </row>
    <row r="7" customFormat="false" ht="15" hidden="false" customHeight="false" outlineLevel="0" collapsed="false">
      <c r="A7" s="5" t="s">
        <v>176</v>
      </c>
      <c r="B7" s="32" t="s">
        <v>170</v>
      </c>
      <c r="C7" s="22" t="n">
        <f aca="false">SUMIFS('DATOS MODELO'!$D$232:$D$279,'DATOS MODELO'!$A$232:$A$279,A7,'DATOS MODELO'!$C$232:$C$279,B7)</f>
        <v>32</v>
      </c>
      <c r="D7" s="33" t="n">
        <f aca="false">SUMIFS('DATOS MODELO'!$E$232:$E$279,'DATOS MODELO'!$A$232:$A$279,A7,'DATOS MODELO'!$C$232:$C$279,B7)</f>
        <v>44.773</v>
      </c>
      <c r="E7" s="24" t="n">
        <f aca="false">D7*INDEX(PARÁMETROS!$B$93:$B$97,MATCH(B7,PARÁMETROS!$A$93:$A$97,0))</f>
        <v>44.504362</v>
      </c>
      <c r="F7" s="22" t="n">
        <f aca="false">COUNTIFS('PLAN DE CORTE'!$A$5:$A$2516,A7,'PLAN DE CORTE'!$B$5:$B$2516,B7)</f>
        <v>6</v>
      </c>
      <c r="G7" s="20" t="n">
        <f aca="false">F7*9</f>
        <v>54</v>
      </c>
      <c r="H7" s="33" t="n">
        <f aca="false">SUMIFS('PLAN DE CORTE'!$F$5:$F$2516,'PLAN DE CORTE'!$A$5:$A$2516,A7,'PLAN DE CORTE'!$B$5:$B$2516,B7)</f>
        <v>44.7726013904661</v>
      </c>
      <c r="I7" s="20" t="n">
        <f aca="false">H7-D7</f>
        <v>-0.000398609533860395</v>
      </c>
      <c r="J7" s="20" t="n">
        <f aca="false">G7-H7</f>
        <v>9.22739860953386</v>
      </c>
      <c r="K7" s="33" t="n">
        <f aca="false">SUMIFS('PLAN DE CORTE'!$H$5:$H$2516,'PLAN DE CORTE'!$A$5:$A$2516,A7,'PLAN DE CORTE'!$B$5:$B$2516,B7)</f>
        <v>6.20171241309587</v>
      </c>
      <c r="L7" s="23" t="n">
        <f aca="false">IF(G7&gt;0,J7/G7,0)</f>
        <v>0.170877752028405</v>
      </c>
      <c r="M7" s="24" t="n">
        <f aca="false">G7*INDEX(PARÁMETROS!$B$93:$B$97,MATCH(B7,PARÁMETROS!$A$93:$A$97,0))</f>
        <v>53.676</v>
      </c>
    </row>
    <row r="8" customFormat="false" ht="15" hidden="false" customHeight="false" outlineLevel="0" collapsed="false">
      <c r="A8" s="5" t="s">
        <v>176</v>
      </c>
      <c r="B8" s="32" t="s">
        <v>171</v>
      </c>
      <c r="C8" s="22" t="n">
        <f aca="false">SUMIFS('DATOS MODELO'!$D$232:$D$279,'DATOS MODELO'!$A$232:$A$279,A8,'DATOS MODELO'!$C$232:$C$279,B8)</f>
        <v>244</v>
      </c>
      <c r="D8" s="33" t="n">
        <f aca="false">SUMIFS('DATOS MODELO'!$E$232:$E$279,'DATOS MODELO'!$A$232:$A$279,A8,'DATOS MODELO'!$C$232:$C$279,B8)</f>
        <v>520.289</v>
      </c>
      <c r="E8" s="24" t="n">
        <f aca="false">D8*INDEX(PARÁMETROS!$B$93:$B$97,MATCH(B8,PARÁMETROS!$A$93:$A$97,0))</f>
        <v>807.488528</v>
      </c>
      <c r="F8" s="22" t="n">
        <f aca="false">COUNTIFS('PLAN DE CORTE'!$A$5:$A$2516,A8,'PLAN DE CORTE'!$B$5:$B$2516,B8)</f>
        <v>61</v>
      </c>
      <c r="G8" s="20" t="n">
        <f aca="false">F8*9</f>
        <v>549</v>
      </c>
      <c r="H8" s="33" t="n">
        <f aca="false">SUMIFS('PLAN DE CORTE'!$F$5:$F$2516,'PLAN DE CORTE'!$A$5:$A$2516,A8,'PLAN DE CORTE'!$B$5:$B$2516,B8)</f>
        <v>520.28885700288</v>
      </c>
      <c r="I8" s="20" t="n">
        <f aca="false">H8-D8</f>
        <v>-0.000142997119837673</v>
      </c>
      <c r="J8" s="20" t="n">
        <f aca="false">G8-H8</f>
        <v>28.7111429971199</v>
      </c>
      <c r="K8" s="33" t="n">
        <f aca="false">SUMIFS('PLAN DE CORTE'!$H$5:$H$2516,'PLAN DE CORTE'!$A$5:$A$2516,A8,'PLAN DE CORTE'!$B$5:$B$2516,B8)</f>
        <v>19.9599344583553</v>
      </c>
      <c r="L8" s="23" t="n">
        <f aca="false">IF(G8&gt;0,J8/G8,0)</f>
        <v>0.0522971639291801</v>
      </c>
      <c r="M8" s="24" t="n">
        <f aca="false">G8*INDEX(PARÁMETROS!$B$93:$B$97,MATCH(B8,PARÁMETROS!$A$93:$A$97,0))</f>
        <v>852.048</v>
      </c>
    </row>
    <row r="9" customFormat="false" ht="15" hidden="false" customHeight="false" outlineLevel="0" collapsed="false">
      <c r="A9" s="5" t="s">
        <v>176</v>
      </c>
      <c r="B9" s="32" t="s">
        <v>172</v>
      </c>
      <c r="C9" s="22" t="n">
        <f aca="false">SUMIFS('DATOS MODELO'!$D$232:$D$279,'DATOS MODELO'!$A$232:$A$279,A9,'DATOS MODELO'!$C$232:$C$279,B9)</f>
        <v>90</v>
      </c>
      <c r="D9" s="33" t="n">
        <f aca="false">SUMIFS('DATOS MODELO'!$E$232:$E$279,'DATOS MODELO'!$A$232:$A$279,A9,'DATOS MODELO'!$C$232:$C$279,B9)</f>
        <v>579.716</v>
      </c>
      <c r="E9" s="24" t="n">
        <f aca="false">D9*INDEX(PARÁMETROS!$B$93:$B$97,MATCH(B9,PARÁMETROS!$A$93:$A$97,0))</f>
        <v>1295.66526</v>
      </c>
      <c r="F9" s="22" t="n">
        <f aca="false">COUNTIFS('PLAN DE CORTE'!$A$5:$A$2516,A9,'PLAN DE CORTE'!$B$5:$B$2516,B9)</f>
        <v>75</v>
      </c>
      <c r="G9" s="20" t="n">
        <f aca="false">F9*9</f>
        <v>675</v>
      </c>
      <c r="H9" s="33" t="n">
        <f aca="false">SUMIFS('PLAN DE CORTE'!$F$5:$F$2516,'PLAN DE CORTE'!$A$5:$A$2516,A9,'PLAN DE CORTE'!$B$5:$B$2516,B9)</f>
        <v>586.616422260254</v>
      </c>
      <c r="I9" s="20" t="n">
        <f aca="false">H9-D9</f>
        <v>6.900422260254</v>
      </c>
      <c r="J9" s="20" t="n">
        <f aca="false">G9-H9</f>
        <v>88.383577739746</v>
      </c>
      <c r="K9" s="33" t="n">
        <f aca="false">SUMIFS('PLAN DE CORTE'!$H$5:$H$2516,'PLAN DE CORTE'!$A$5:$A$2516,A9,'PLAN DE CORTE'!$B$5:$B$2516,B9)</f>
        <v>68.1253431266386</v>
      </c>
      <c r="L9" s="23" t="n">
        <f aca="false">IF(G9&gt;0,J9/G9,0)</f>
        <v>0.130938633688513</v>
      </c>
      <c r="M9" s="24" t="n">
        <f aca="false">G9*INDEX(PARÁMETROS!$B$93:$B$97,MATCH(B9,PARÁMETROS!$A$93:$A$97,0))</f>
        <v>1508.625</v>
      </c>
    </row>
    <row r="10" customFormat="false" ht="15" hidden="false" customHeight="false" outlineLevel="0" collapsed="false">
      <c r="A10" s="29" t="s">
        <v>246</v>
      </c>
      <c r="B10" s="30"/>
      <c r="C10" s="34" t="n">
        <f aca="false">SUM(C5:C9)</f>
        <v>753</v>
      </c>
      <c r="D10" s="31" t="n">
        <f aca="false">SUM(D5:D9)</f>
        <v>1578.652</v>
      </c>
      <c r="E10" s="35" t="n">
        <f aca="false">SUM(E5:E9)</f>
        <v>2390.62759</v>
      </c>
      <c r="F10" s="31" t="n">
        <f aca="false">SUM(F5:F9)</f>
        <v>191</v>
      </c>
      <c r="G10" s="31" t="n">
        <f aca="false">SUM(G5:G9)</f>
        <v>1719</v>
      </c>
      <c r="H10" s="31" t="n">
        <f aca="false">SUM(H5:H9)</f>
        <v>1585.55232406457</v>
      </c>
      <c r="I10" s="31" t="n">
        <f aca="false">SUM(I5:I9)</f>
        <v>6.90032406457227</v>
      </c>
      <c r="J10" s="31" t="n">
        <f aca="false">SUM(J5:J9)</f>
        <v>133.447675935428</v>
      </c>
      <c r="K10" s="31" t="n">
        <f aca="false">SUM(K5:K9)</f>
        <v>98.8121798973265</v>
      </c>
      <c r="L10" s="36" t="n">
        <f aca="false">IF(G10&gt;0,J10/G10,0)</f>
        <v>0.0776309923998998</v>
      </c>
      <c r="M10" s="35" t="n">
        <f aca="false">SUM(M5:M9)</f>
        <v>2661.309</v>
      </c>
    </row>
    <row r="11" customFormat="false" ht="15" hidden="false" customHeight="false" outlineLevel="0" collapsed="false">
      <c r="A11" s="5" t="s">
        <v>212</v>
      </c>
      <c r="B11" s="32" t="s">
        <v>168</v>
      </c>
      <c r="C11" s="22" t="n">
        <f aca="false">SUMIFS('DATOS MODELO'!$D$232:$D$279,'DATOS MODELO'!$A$232:$A$279,A11,'DATOS MODELO'!$C$232:$C$279,B11)</f>
        <v>0</v>
      </c>
      <c r="D11" s="33" t="n">
        <f aca="false">SUMIFS('DATOS MODELO'!$E$232:$E$279,'DATOS MODELO'!$A$232:$A$279,A11,'DATOS MODELO'!$C$232:$C$279,B11)</f>
        <v>0</v>
      </c>
      <c r="E11" s="24" t="n">
        <f aca="false">D11*INDEX(PARÁMETROS!$B$93:$B$97,MATCH(B11,PARÁMETROS!$A$93:$A$97,0))</f>
        <v>0</v>
      </c>
      <c r="F11" s="22" t="n">
        <f aca="false">COUNTIFS('PLAN DE CORTE'!$A$5:$A$2516,A11,'PLAN DE CORTE'!$B$5:$B$2516,B11)</f>
        <v>0</v>
      </c>
      <c r="G11" s="20" t="n">
        <f aca="false">F11*9</f>
        <v>0</v>
      </c>
      <c r="H11" s="33" t="n">
        <f aca="false">SUMIFS('PLAN DE CORTE'!$F$5:$F$2516,'PLAN DE CORTE'!$A$5:$A$2516,A11,'PLAN DE CORTE'!$B$5:$B$2516,B11)</f>
        <v>0</v>
      </c>
      <c r="I11" s="20" t="n">
        <f aca="false">H11-D11</f>
        <v>0</v>
      </c>
      <c r="J11" s="20" t="n">
        <f aca="false">G11-H11</f>
        <v>0</v>
      </c>
      <c r="K11" s="33" t="n">
        <f aca="false">SUMIFS('PLAN DE CORTE'!$H$5:$H$2516,'PLAN DE CORTE'!$A$5:$A$2516,A11,'PLAN DE CORTE'!$B$5:$B$2516,B11)</f>
        <v>0</v>
      </c>
      <c r="L11" s="23" t="n">
        <f aca="false">IF(G11&gt;0,J11/G11,0)</f>
        <v>0</v>
      </c>
      <c r="M11" s="24" t="n">
        <f aca="false">G11*INDEX(PARÁMETROS!$B$93:$B$97,MATCH(B11,PARÁMETROS!$A$93:$A$97,0))</f>
        <v>0</v>
      </c>
    </row>
    <row r="12" customFormat="false" ht="15" hidden="false" customHeight="false" outlineLevel="0" collapsed="false">
      <c r="A12" s="5" t="s">
        <v>212</v>
      </c>
      <c r="B12" s="32" t="s">
        <v>169</v>
      </c>
      <c r="C12" s="22" t="n">
        <f aca="false">SUMIFS('DATOS MODELO'!$D$232:$D$279,'DATOS MODELO'!$A$232:$A$279,A12,'DATOS MODELO'!$C$232:$C$279,B12)</f>
        <v>762</v>
      </c>
      <c r="D12" s="33" t="n">
        <f aca="false">SUMIFS('DATOS MODELO'!$E$232:$E$279,'DATOS MODELO'!$A$232:$A$279,A12,'DATOS MODELO'!$C$232:$C$279,B12)</f>
        <v>735.885</v>
      </c>
      <c r="E12" s="24" t="n">
        <f aca="false">D12*INDEX(PARÁMETROS!$B$93:$B$97,MATCH(B12,PARÁMETROS!$A$93:$A$97,0))</f>
        <v>412.0956</v>
      </c>
      <c r="F12" s="22" t="n">
        <f aca="false">COUNTIFS('PLAN DE CORTE'!$A$5:$A$2516,A12,'PLAN DE CORTE'!$B$5:$B$2516,B12)</f>
        <v>84</v>
      </c>
      <c r="G12" s="20" t="n">
        <f aca="false">F12*9</f>
        <v>756</v>
      </c>
      <c r="H12" s="33" t="n">
        <f aca="false">SUMIFS('PLAN DE CORTE'!$F$5:$F$2516,'PLAN DE CORTE'!$A$5:$A$2516,A12,'PLAN DE CORTE'!$B$5:$B$2516,B12)</f>
        <v>735.885370418817</v>
      </c>
      <c r="I12" s="20" t="n">
        <f aca="false">H12-D12</f>
        <v>0.00037041881694222</v>
      </c>
      <c r="J12" s="20" t="n">
        <f aca="false">G12-H12</f>
        <v>20.1146295811831</v>
      </c>
      <c r="K12" s="33" t="n">
        <f aca="false">SUMIFS('PLAN DE CORTE'!$H$5:$H$2516,'PLAN DE CORTE'!$A$5:$A$2516,A12,'PLAN DE CORTE'!$B$5:$B$2516,B12)</f>
        <v>0</v>
      </c>
      <c r="L12" s="23" t="n">
        <f aca="false">IF(G12&gt;0,J12/G12,0)</f>
        <v>0.0266066528851628</v>
      </c>
      <c r="M12" s="24" t="n">
        <f aca="false">G12*INDEX(PARÁMETROS!$B$93:$B$97,MATCH(B12,PARÁMETROS!$A$93:$A$97,0))</f>
        <v>423.36</v>
      </c>
    </row>
    <row r="13" customFormat="false" ht="15" hidden="false" customHeight="false" outlineLevel="0" collapsed="false">
      <c r="A13" s="5" t="s">
        <v>212</v>
      </c>
      <c r="B13" s="32" t="s">
        <v>170</v>
      </c>
      <c r="C13" s="22" t="n">
        <f aca="false">SUMIFS('DATOS MODELO'!$D$232:$D$279,'DATOS MODELO'!$A$232:$A$279,A13,'DATOS MODELO'!$C$232:$C$279,B13)</f>
        <v>20</v>
      </c>
      <c r="D13" s="33" t="n">
        <f aca="false">SUMIFS('DATOS MODELO'!$E$232:$E$279,'DATOS MODELO'!$A$232:$A$279,A13,'DATOS MODELO'!$C$232:$C$279,B13)</f>
        <v>73.554</v>
      </c>
      <c r="E13" s="24" t="n">
        <f aca="false">D13*INDEX(PARÁMETROS!$B$93:$B$97,MATCH(B13,PARÁMETROS!$A$93:$A$97,0))</f>
        <v>73.112676</v>
      </c>
      <c r="F13" s="22" t="n">
        <f aca="false">COUNTIFS('PLAN DE CORTE'!$A$5:$A$2516,A13,'PLAN DE CORTE'!$B$5:$B$2516,B13)</f>
        <v>10</v>
      </c>
      <c r="G13" s="20" t="n">
        <f aca="false">F13*9</f>
        <v>90</v>
      </c>
      <c r="H13" s="33" t="n">
        <f aca="false">SUMIFS('PLAN DE CORTE'!$F$5:$F$2516,'PLAN DE CORTE'!$A$5:$A$2516,A13,'PLAN DE CORTE'!$B$5:$B$2516,B13)</f>
        <v>73.5539379345207</v>
      </c>
      <c r="I13" s="20" t="n">
        <f aca="false">H13-D13</f>
        <v>-6.20654793408448E-005</v>
      </c>
      <c r="J13" s="20" t="n">
        <f aca="false">G13-H13</f>
        <v>16.4460620654793</v>
      </c>
      <c r="K13" s="33" t="n">
        <f aca="false">SUMIFS('PLAN DE CORTE'!$H$5:$H$2516,'PLAN DE CORTE'!$A$5:$A$2516,A13,'PLAN DE CORTE'!$B$5:$B$2516,B13)</f>
        <v>16.4460620654793</v>
      </c>
      <c r="L13" s="23" t="n">
        <f aca="false">IF(G13&gt;0,J13/G13,0)</f>
        <v>0.18273402294977</v>
      </c>
      <c r="M13" s="24" t="n">
        <f aca="false">G13*INDEX(PARÁMETROS!$B$93:$B$97,MATCH(B13,PARÁMETROS!$A$93:$A$97,0))</f>
        <v>89.46</v>
      </c>
    </row>
    <row r="14" customFormat="false" ht="15" hidden="false" customHeight="false" outlineLevel="0" collapsed="false">
      <c r="A14" s="5" t="s">
        <v>212</v>
      </c>
      <c r="B14" s="32" t="s">
        <v>171</v>
      </c>
      <c r="C14" s="22" t="n">
        <f aca="false">SUMIFS('DATOS MODELO'!$D$232:$D$279,'DATOS MODELO'!$A$232:$A$279,A14,'DATOS MODELO'!$C$232:$C$279,B14)</f>
        <v>136</v>
      </c>
      <c r="D14" s="33" t="n">
        <f aca="false">SUMIFS('DATOS MODELO'!$E$232:$E$279,'DATOS MODELO'!$A$232:$A$279,A14,'DATOS MODELO'!$C$232:$C$279,B14)</f>
        <v>515.651</v>
      </c>
      <c r="E14" s="24" t="n">
        <f aca="false">D14*INDEX(PARÁMETROS!$B$93:$B$97,MATCH(B14,PARÁMETROS!$A$93:$A$97,0))</f>
        <v>800.290352</v>
      </c>
      <c r="F14" s="22" t="n">
        <f aca="false">COUNTIFS('PLAN DE CORTE'!$A$5:$A$2516,A14,'PLAN DE CORTE'!$B$5:$B$2516,B14)</f>
        <v>68</v>
      </c>
      <c r="G14" s="20" t="n">
        <f aca="false">F14*9</f>
        <v>612</v>
      </c>
      <c r="H14" s="33" t="n">
        <f aca="false">SUMIFS('PLAN DE CORTE'!$F$5:$F$2516,'PLAN DE CORTE'!$A$5:$A$2516,A14,'PLAN DE CORTE'!$B$5:$B$2516,B14)</f>
        <v>515.651322443426</v>
      </c>
      <c r="I14" s="20" t="n">
        <f aca="false">H14-D14</f>
        <v>0.000322443425829988</v>
      </c>
      <c r="J14" s="20" t="n">
        <f aca="false">G14-H14</f>
        <v>96.3486775565742</v>
      </c>
      <c r="K14" s="33" t="n">
        <f aca="false">SUMIFS('PLAN DE CORTE'!$H$5:$H$2516,'PLAN DE CORTE'!$A$5:$A$2516,A14,'PLAN DE CORTE'!$B$5:$B$2516,B14)</f>
        <v>96.3486775565742</v>
      </c>
      <c r="L14" s="23" t="n">
        <f aca="false">IF(G14&gt;0,J14/G14,0)</f>
        <v>0.157432479667605</v>
      </c>
      <c r="M14" s="24" t="n">
        <f aca="false">G14*INDEX(PARÁMETROS!$B$93:$B$97,MATCH(B14,PARÁMETROS!$A$93:$A$97,0))</f>
        <v>949.824</v>
      </c>
    </row>
    <row r="15" customFormat="false" ht="15" hidden="false" customHeight="false" outlineLevel="0" collapsed="false">
      <c r="A15" s="5" t="s">
        <v>212</v>
      </c>
      <c r="B15" s="32" t="s">
        <v>172</v>
      </c>
      <c r="C15" s="22" t="n">
        <f aca="false">SUMIFS('DATOS MODELO'!$D$232:$D$279,'DATOS MODELO'!$A$232:$A$279,A15,'DATOS MODELO'!$C$232:$C$279,B15)</f>
        <v>0</v>
      </c>
      <c r="D15" s="33" t="n">
        <f aca="false">SUMIFS('DATOS MODELO'!$E$232:$E$279,'DATOS MODELO'!$A$232:$A$279,A15,'DATOS MODELO'!$C$232:$C$279,B15)</f>
        <v>0</v>
      </c>
      <c r="E15" s="24" t="n">
        <f aca="false">D15*INDEX(PARÁMETROS!$B$93:$B$97,MATCH(B15,PARÁMETROS!$A$93:$A$97,0))</f>
        <v>0</v>
      </c>
      <c r="F15" s="22" t="n">
        <f aca="false">COUNTIFS('PLAN DE CORTE'!$A$5:$A$2516,A15,'PLAN DE CORTE'!$B$5:$B$2516,B15)</f>
        <v>0</v>
      </c>
      <c r="G15" s="20" t="n">
        <f aca="false">F15*9</f>
        <v>0</v>
      </c>
      <c r="H15" s="33" t="n">
        <f aca="false">SUMIFS('PLAN DE CORTE'!$F$5:$F$2516,'PLAN DE CORTE'!$A$5:$A$2516,A15,'PLAN DE CORTE'!$B$5:$B$2516,B15)</f>
        <v>0</v>
      </c>
      <c r="I15" s="20" t="n">
        <f aca="false">H15-D15</f>
        <v>0</v>
      </c>
      <c r="J15" s="20" t="n">
        <f aca="false">G15-H15</f>
        <v>0</v>
      </c>
      <c r="K15" s="33" t="n">
        <f aca="false">SUMIFS('PLAN DE CORTE'!$H$5:$H$2516,'PLAN DE CORTE'!$A$5:$A$2516,A15,'PLAN DE CORTE'!$B$5:$B$2516,B15)</f>
        <v>0</v>
      </c>
      <c r="L15" s="23" t="n">
        <f aca="false">IF(G15&gt;0,J15/G15,0)</f>
        <v>0</v>
      </c>
      <c r="M15" s="24" t="n">
        <f aca="false">G15*INDEX(PARÁMETROS!$B$93:$B$97,MATCH(B15,PARÁMETROS!$A$93:$A$97,0))</f>
        <v>0</v>
      </c>
    </row>
    <row r="16" customFormat="false" ht="15" hidden="false" customHeight="false" outlineLevel="0" collapsed="false">
      <c r="A16" s="29" t="s">
        <v>247</v>
      </c>
      <c r="B16" s="30"/>
      <c r="C16" s="34" t="n">
        <f aca="false">SUM(C11:C15)</f>
        <v>918</v>
      </c>
      <c r="D16" s="31" t="n">
        <f aca="false">SUM(D11:D15)</f>
        <v>1325.09</v>
      </c>
      <c r="E16" s="35" t="n">
        <f aca="false">SUM(E11:E15)</f>
        <v>1285.498628</v>
      </c>
      <c r="F16" s="31" t="n">
        <f aca="false">SUM(F11:F15)</f>
        <v>162</v>
      </c>
      <c r="G16" s="31" t="n">
        <f aca="false">SUM(G11:G15)</f>
        <v>1458</v>
      </c>
      <c r="H16" s="31" t="n">
        <f aca="false">SUM(H11:H15)</f>
        <v>1325.09063079676</v>
      </c>
      <c r="I16" s="31" t="n">
        <f aca="false">SUM(I11:I15)</f>
        <v>0.000630796763431363</v>
      </c>
      <c r="J16" s="31" t="n">
        <f aca="false">SUM(J11:J15)</f>
        <v>132.909369203237</v>
      </c>
      <c r="K16" s="31" t="n">
        <f aca="false">SUM(K11:K15)</f>
        <v>112.794739622054</v>
      </c>
      <c r="L16" s="36" t="n">
        <f aca="false">IF(G16&gt;0,J16/G16,0)</f>
        <v>0.0911586894398056</v>
      </c>
      <c r="M16" s="35" t="n">
        <f aca="false">SUM(M11:M15)</f>
        <v>1462.644</v>
      </c>
    </row>
    <row r="17" customFormat="false" ht="15" hidden="false" customHeight="false" outlineLevel="0" collapsed="false">
      <c r="A17" s="5" t="s">
        <v>216</v>
      </c>
      <c r="B17" s="32" t="s">
        <v>168</v>
      </c>
      <c r="C17" s="22" t="n">
        <f aca="false">SUMIFS('DATOS MODELO'!$D$232:$D$279,'DATOS MODELO'!$A$232:$A$279,A17,'DATOS MODELO'!$C$232:$C$279,B17)</f>
        <v>228</v>
      </c>
      <c r="D17" s="33" t="n">
        <f aca="false">SUMIFS('DATOS MODELO'!$E$232:$E$279,'DATOS MODELO'!$A$232:$A$279,A17,'DATOS MODELO'!$C$232:$C$279,B17)</f>
        <v>839.284</v>
      </c>
      <c r="E17" s="24" t="n">
        <f aca="false">D17*INDEX(PARÁMETROS!$B$93:$B$97,MATCH(B17,PARÁMETROS!$A$93:$A$97,0))</f>
        <v>209.821</v>
      </c>
      <c r="F17" s="22" t="n">
        <f aca="false">COUNTIFS('PLAN DE CORTE'!$A$5:$A$2516,A17,'PLAN DE CORTE'!$B$5:$B$2516,B17)</f>
        <v>110</v>
      </c>
      <c r="G17" s="20" t="n">
        <f aca="false">F17*9</f>
        <v>990</v>
      </c>
      <c r="H17" s="33" t="n">
        <f aca="false">SUMIFS('PLAN DE CORTE'!$F$5:$F$2516,'PLAN DE CORTE'!$A$5:$A$2516,A17,'PLAN DE CORTE'!$B$5:$B$2516,B17)</f>
        <v>839.283971158574</v>
      </c>
      <c r="I17" s="20" t="n">
        <f aca="false">H17-D17</f>
        <v>-2.88414257738623E-005</v>
      </c>
      <c r="J17" s="20" t="n">
        <f aca="false">G17-H17</f>
        <v>150.716028841426</v>
      </c>
      <c r="K17" s="33" t="n">
        <f aca="false">SUMIFS('PLAN DE CORTE'!$H$5:$H$2516,'PLAN DE CORTE'!$A$5:$A$2516,A17,'PLAN DE CORTE'!$B$5:$B$2516,B17)</f>
        <v>128.522857328428</v>
      </c>
      <c r="L17" s="23" t="n">
        <f aca="false">IF(G17&gt;0,J17/G17,0)</f>
        <v>0.152238412971137</v>
      </c>
      <c r="M17" s="24" t="n">
        <f aca="false">G17*INDEX(PARÁMETROS!$B$93:$B$97,MATCH(B17,PARÁMETROS!$A$93:$A$97,0))</f>
        <v>247.5</v>
      </c>
    </row>
    <row r="18" customFormat="false" ht="15" hidden="false" customHeight="false" outlineLevel="0" collapsed="false">
      <c r="A18" s="5" t="s">
        <v>216</v>
      </c>
      <c r="B18" s="32" t="s">
        <v>169</v>
      </c>
      <c r="C18" s="22" t="n">
        <f aca="false">SUMIFS('DATOS MODELO'!$D$232:$D$279,'DATOS MODELO'!$A$232:$A$279,A18,'DATOS MODELO'!$C$232:$C$279,B18)</f>
        <v>2130</v>
      </c>
      <c r="D18" s="33" t="n">
        <f aca="false">SUMIFS('DATOS MODELO'!$E$232:$E$279,'DATOS MODELO'!$A$232:$A$279,A18,'DATOS MODELO'!$C$232:$C$279,B18)</f>
        <v>2448.966</v>
      </c>
      <c r="E18" s="24" t="n">
        <f aca="false">D18*INDEX(PARÁMETROS!$B$93:$B$97,MATCH(B18,PARÁMETROS!$A$93:$A$97,0))</f>
        <v>1371.42096</v>
      </c>
      <c r="F18" s="22" t="n">
        <f aca="false">COUNTIFS('PLAN DE CORTE'!$A$5:$A$2516,A18,'PLAN DE CORTE'!$B$5:$B$2516,B18)</f>
        <v>278</v>
      </c>
      <c r="G18" s="20" t="n">
        <f aca="false">F18*9</f>
        <v>2502</v>
      </c>
      <c r="H18" s="33" t="n">
        <f aca="false">SUMIFS('PLAN DE CORTE'!$F$5:$F$2516,'PLAN DE CORTE'!$A$5:$A$2516,A18,'PLAN DE CORTE'!$B$5:$B$2516,B18)</f>
        <v>2448.96597747845</v>
      </c>
      <c r="I18" s="20" t="n">
        <f aca="false">H18-D18</f>
        <v>-2.25215530917922E-005</v>
      </c>
      <c r="J18" s="20" t="n">
        <f aca="false">G18-H18</f>
        <v>53.0340225215532</v>
      </c>
      <c r="K18" s="33" t="n">
        <f aca="false">SUMIFS('PLAN DE CORTE'!$H$5:$H$2516,'PLAN DE CORTE'!$A$5:$A$2516,A18,'PLAN DE CORTE'!$B$5:$B$2516,B18)</f>
        <v>1.93430227328261</v>
      </c>
      <c r="L18" s="23" t="n">
        <f aca="false">IF(G18&gt;0,J18/G18,0)</f>
        <v>0.0211966516872715</v>
      </c>
      <c r="M18" s="24" t="n">
        <f aca="false">G18*INDEX(PARÁMETROS!$B$93:$B$97,MATCH(B18,PARÁMETROS!$A$93:$A$97,0))</f>
        <v>1401.12</v>
      </c>
    </row>
    <row r="19" customFormat="false" ht="15" hidden="false" customHeight="false" outlineLevel="0" collapsed="false">
      <c r="A19" s="5" t="s">
        <v>216</v>
      </c>
      <c r="B19" s="32" t="s">
        <v>170</v>
      </c>
      <c r="C19" s="22" t="n">
        <f aca="false">SUMIFS('DATOS MODELO'!$D$232:$D$279,'DATOS MODELO'!$A$232:$A$279,A19,'DATOS MODELO'!$C$232:$C$279,B19)</f>
        <v>80</v>
      </c>
      <c r="D19" s="33" t="n">
        <f aca="false">SUMIFS('DATOS MODELO'!$E$232:$E$279,'DATOS MODELO'!$A$232:$A$279,A19,'DATOS MODELO'!$C$232:$C$279,B19)</f>
        <v>317.822</v>
      </c>
      <c r="E19" s="24" t="n">
        <f aca="false">D19*INDEX(PARÁMETROS!$B$93:$B$97,MATCH(B19,PARÁMETROS!$A$93:$A$97,0))</f>
        <v>315.915068</v>
      </c>
      <c r="F19" s="22" t="n">
        <f aca="false">COUNTIFS('PLAN DE CORTE'!$A$5:$A$2516,A19,'PLAN DE CORTE'!$B$5:$B$2516,B19)</f>
        <v>42</v>
      </c>
      <c r="G19" s="20" t="n">
        <f aca="false">F19*9</f>
        <v>378</v>
      </c>
      <c r="H19" s="33" t="n">
        <f aca="false">SUMIFS('PLAN DE CORTE'!$F$5:$F$2516,'PLAN DE CORTE'!$A$5:$A$2516,A19,'PLAN DE CORTE'!$B$5:$B$2516,B19)</f>
        <v>317.821833855525</v>
      </c>
      <c r="I19" s="20" t="n">
        <f aca="false">H19-D19</f>
        <v>-0.000166144475201691</v>
      </c>
      <c r="J19" s="20" t="n">
        <f aca="false">G19-H19</f>
        <v>60.1781661444752</v>
      </c>
      <c r="K19" s="33" t="n">
        <f aca="false">SUMIFS('PLAN DE CORTE'!$H$5:$H$2516,'PLAN DE CORTE'!$A$5:$A$2516,A19,'PLAN DE CORTE'!$B$5:$B$2516,B19)</f>
        <v>53.8362228523564</v>
      </c>
      <c r="L19" s="23" t="n">
        <f aca="false">IF(G19&gt;0,J19/G19,0)</f>
        <v>0.159201497736707</v>
      </c>
      <c r="M19" s="24" t="n">
        <f aca="false">G19*INDEX(PARÁMETROS!$B$93:$B$97,MATCH(B19,PARÁMETROS!$A$93:$A$97,0))</f>
        <v>375.732</v>
      </c>
    </row>
    <row r="20" customFormat="false" ht="15" hidden="false" customHeight="false" outlineLevel="0" collapsed="false">
      <c r="A20" s="5" t="s">
        <v>216</v>
      </c>
      <c r="B20" s="32" t="s">
        <v>171</v>
      </c>
      <c r="C20" s="22" t="n">
        <f aca="false">SUMIFS('DATOS MODELO'!$D$232:$D$279,'DATOS MODELO'!$A$232:$A$279,A20,'DATOS MODELO'!$C$232:$C$279,B20)</f>
        <v>142</v>
      </c>
      <c r="D20" s="33" t="n">
        <f aca="false">SUMIFS('DATOS MODELO'!$E$232:$E$279,'DATOS MODELO'!$A$232:$A$279,A20,'DATOS MODELO'!$C$232:$C$279,B20)</f>
        <v>522.368</v>
      </c>
      <c r="E20" s="24" t="n">
        <f aca="false">D20*INDEX(PARÁMETROS!$B$93:$B$97,MATCH(B20,PARÁMETROS!$A$93:$A$97,0))</f>
        <v>810.715136</v>
      </c>
      <c r="F20" s="22" t="n">
        <f aca="false">COUNTIFS('PLAN DE CORTE'!$A$5:$A$2516,A20,'PLAN DE CORTE'!$B$5:$B$2516,B20)</f>
        <v>71</v>
      </c>
      <c r="G20" s="20" t="n">
        <f aca="false">F20*9</f>
        <v>639</v>
      </c>
      <c r="H20" s="33" t="n">
        <f aca="false">SUMIFS('PLAN DE CORTE'!$F$5:$F$2516,'PLAN DE CORTE'!$A$5:$A$2516,A20,'PLAN DE CORTE'!$B$5:$B$2516,B20)</f>
        <v>522.367935883019</v>
      </c>
      <c r="I20" s="20" t="n">
        <f aca="false">H20-D20</f>
        <v>-6.41169813206943E-005</v>
      </c>
      <c r="J20" s="20" t="n">
        <f aca="false">G20-H20</f>
        <v>116.632064116981</v>
      </c>
      <c r="K20" s="33" t="n">
        <f aca="false">SUMIFS('PLAN DE CORTE'!$H$5:$H$2516,'PLAN DE CORTE'!$A$5:$A$2516,A20,'PLAN DE CORTE'!$B$5:$B$2516,B20)</f>
        <v>115.404492567872</v>
      </c>
      <c r="L20" s="23" t="n">
        <f aca="false">IF(G20&gt;0,J20/G20,0)</f>
        <v>0.182522792045354</v>
      </c>
      <c r="M20" s="24" t="n">
        <f aca="false">G20*INDEX(PARÁMETROS!$B$93:$B$97,MATCH(B20,PARÁMETROS!$A$93:$A$97,0))</f>
        <v>991.728</v>
      </c>
    </row>
    <row r="21" customFormat="false" ht="15" hidden="false" customHeight="false" outlineLevel="0" collapsed="false">
      <c r="A21" s="5" t="s">
        <v>216</v>
      </c>
      <c r="B21" s="32" t="s">
        <v>172</v>
      </c>
      <c r="C21" s="22" t="n">
        <f aca="false">SUMIFS('DATOS MODELO'!$D$232:$D$279,'DATOS MODELO'!$A$232:$A$279,A21,'DATOS MODELO'!$C$232:$C$279,B21)</f>
        <v>130</v>
      </c>
      <c r="D21" s="33" t="n">
        <f aca="false">SUMIFS('DATOS MODELO'!$E$232:$E$279,'DATOS MODELO'!$A$232:$A$279,A21,'DATOS MODELO'!$C$232:$C$279,B21)</f>
        <v>721.345</v>
      </c>
      <c r="E21" s="24" t="n">
        <f aca="false">D21*INDEX(PARÁMETROS!$B$93:$B$97,MATCH(B21,PARÁMETROS!$A$93:$A$97,0))</f>
        <v>1612.206075</v>
      </c>
      <c r="F21" s="22" t="n">
        <f aca="false">COUNTIFS('PLAN DE CORTE'!$A$5:$A$2516,A21,'PLAN DE CORTE'!$B$5:$B$2516,B21)</f>
        <v>90</v>
      </c>
      <c r="G21" s="20" t="n">
        <f aca="false">F21*9</f>
        <v>810</v>
      </c>
      <c r="H21" s="33" t="n">
        <f aca="false">SUMIFS('PLAN DE CORTE'!$F$5:$F$2516,'PLAN DE CORTE'!$A$5:$A$2516,A21,'PLAN DE CORTE'!$B$5:$B$2516,B21)</f>
        <v>735.144670734058</v>
      </c>
      <c r="I21" s="20" t="n">
        <f aca="false">H21-D21</f>
        <v>13.7996707340576</v>
      </c>
      <c r="J21" s="20" t="n">
        <f aca="false">G21-H21</f>
        <v>74.8553292659424</v>
      </c>
      <c r="K21" s="33" t="n">
        <f aca="false">SUMIFS('PLAN DE CORTE'!$H$5:$H$2516,'PLAN DE CORTE'!$A$5:$A$2516,A21,'PLAN DE CORTE'!$B$5:$B$2516,B21)</f>
        <v>57.8250264504491</v>
      </c>
      <c r="L21" s="23" t="n">
        <f aca="false">IF(G21&gt;0,J21/G21,0)</f>
        <v>0.092413986748077</v>
      </c>
      <c r="M21" s="24" t="n">
        <f aca="false">G21*INDEX(PARÁMETROS!$B$93:$B$97,MATCH(B21,PARÁMETROS!$A$93:$A$97,0))</f>
        <v>1810.35</v>
      </c>
    </row>
    <row r="22" customFormat="false" ht="15" hidden="false" customHeight="false" outlineLevel="0" collapsed="false">
      <c r="A22" s="29" t="s">
        <v>248</v>
      </c>
      <c r="B22" s="30"/>
      <c r="C22" s="34" t="n">
        <f aca="false">SUM(C17:C21)</f>
        <v>2710</v>
      </c>
      <c r="D22" s="31" t="n">
        <f aca="false">SUM(D17:D21)</f>
        <v>4849.785</v>
      </c>
      <c r="E22" s="35" t="n">
        <f aca="false">SUM(E17:E21)</f>
        <v>4320.078239</v>
      </c>
      <c r="F22" s="31" t="n">
        <f aca="false">SUM(F17:F21)</f>
        <v>591</v>
      </c>
      <c r="G22" s="31" t="n">
        <f aca="false">SUM(G17:G21)</f>
        <v>5319</v>
      </c>
      <c r="H22" s="31" t="n">
        <f aca="false">SUM(H17:H21)</f>
        <v>4863.58438910962</v>
      </c>
      <c r="I22" s="31" t="n">
        <f aca="false">SUM(I17:I21)</f>
        <v>13.7993891096222</v>
      </c>
      <c r="J22" s="31" t="n">
        <f aca="false">SUM(J17:J21)</f>
        <v>455.415610890378</v>
      </c>
      <c r="K22" s="31" t="n">
        <f aca="false">SUM(K17:K21)</f>
        <v>357.522901472388</v>
      </c>
      <c r="L22" s="36" t="n">
        <f aca="false">IF(G22&gt;0,J22/G22,0)</f>
        <v>0.0856205322222933</v>
      </c>
      <c r="M22" s="35" t="n">
        <f aca="false">SUM(M17:M21)</f>
        <v>4826.43</v>
      </c>
    </row>
    <row r="23" customFormat="false" ht="15" hidden="false" customHeight="false" outlineLevel="0" collapsed="false">
      <c r="A23" s="5" t="s">
        <v>227</v>
      </c>
      <c r="B23" s="32" t="s">
        <v>168</v>
      </c>
      <c r="C23" s="22" t="n">
        <f aca="false">SUMIFS('DATOS MODELO'!$D$232:$D$279,'DATOS MODELO'!$A$232:$A$279,A23,'DATOS MODELO'!$C$232:$C$279,B23)</f>
        <v>228</v>
      </c>
      <c r="D23" s="33" t="n">
        <f aca="false">SUMIFS('DATOS MODELO'!$E$232:$E$279,'DATOS MODELO'!$A$232:$A$279,A23,'DATOS MODELO'!$C$232:$C$279,B23)</f>
        <v>839.284</v>
      </c>
      <c r="E23" s="24" t="n">
        <f aca="false">D23*INDEX(PARÁMETROS!$B$93:$B$97,MATCH(B23,PARÁMETROS!$A$93:$A$97,0))</f>
        <v>209.821</v>
      </c>
      <c r="F23" s="22" t="n">
        <f aca="false">COUNTIFS('PLAN DE CORTE'!$A$5:$A$2516,A23,'PLAN DE CORTE'!$B$5:$B$2516,B23)</f>
        <v>110</v>
      </c>
      <c r="G23" s="20" t="n">
        <f aca="false">F23*9</f>
        <v>990</v>
      </c>
      <c r="H23" s="33" t="n">
        <f aca="false">SUMIFS('PLAN DE CORTE'!$F$5:$F$2516,'PLAN DE CORTE'!$A$5:$A$2516,A23,'PLAN DE CORTE'!$B$5:$B$2516,B23)</f>
        <v>839.283971158574</v>
      </c>
      <c r="I23" s="20" t="n">
        <f aca="false">H23-D23</f>
        <v>-2.88414257738623E-005</v>
      </c>
      <c r="J23" s="20" t="n">
        <f aca="false">G23-H23</f>
        <v>150.716028841426</v>
      </c>
      <c r="K23" s="33" t="n">
        <f aca="false">SUMIFS('PLAN DE CORTE'!$H$5:$H$2516,'PLAN DE CORTE'!$A$5:$A$2516,A23,'PLAN DE CORTE'!$B$5:$B$2516,B23)</f>
        <v>128.522857328428</v>
      </c>
      <c r="L23" s="23" t="n">
        <f aca="false">IF(G23&gt;0,J23/G23,0)</f>
        <v>0.152238412971137</v>
      </c>
      <c r="M23" s="24" t="n">
        <f aca="false">G23*INDEX(PARÁMETROS!$B$93:$B$97,MATCH(B23,PARÁMETROS!$A$93:$A$97,0))</f>
        <v>247.5</v>
      </c>
    </row>
    <row r="24" customFormat="false" ht="15" hidden="false" customHeight="false" outlineLevel="0" collapsed="false">
      <c r="A24" s="5" t="s">
        <v>227</v>
      </c>
      <c r="B24" s="32" t="s">
        <v>169</v>
      </c>
      <c r="C24" s="22" t="n">
        <f aca="false">SUMIFS('DATOS MODELO'!$D$232:$D$279,'DATOS MODELO'!$A$232:$A$279,A24,'DATOS MODELO'!$C$232:$C$279,B24)</f>
        <v>1856</v>
      </c>
      <c r="D24" s="33" t="n">
        <f aca="false">SUMIFS('DATOS MODELO'!$E$232:$E$279,'DATOS MODELO'!$A$232:$A$279,A24,'DATOS MODELO'!$C$232:$C$279,B24)</f>
        <v>2173.839</v>
      </c>
      <c r="E24" s="24" t="n">
        <f aca="false">D24*INDEX(PARÁMETROS!$B$93:$B$97,MATCH(B24,PARÁMETROS!$A$93:$A$97,0))</f>
        <v>1217.34984</v>
      </c>
      <c r="F24" s="22" t="n">
        <f aca="false">COUNTIFS('PLAN DE CORTE'!$A$5:$A$2516,A24,'PLAN DE CORTE'!$B$5:$B$2516,B24)</f>
        <v>247</v>
      </c>
      <c r="G24" s="20" t="n">
        <f aca="false">F24*9</f>
        <v>2223</v>
      </c>
      <c r="H24" s="33" t="n">
        <f aca="false">SUMIFS('PLAN DE CORTE'!$F$5:$F$2516,'PLAN DE CORTE'!$A$5:$A$2516,A24,'PLAN DE CORTE'!$B$5:$B$2516,B24)</f>
        <v>2173.83802662592</v>
      </c>
      <c r="I24" s="20" t="n">
        <f aca="false">H24-D24</f>
        <v>-0.000973374076238542</v>
      </c>
      <c r="J24" s="20" t="n">
        <f aca="false">G24-H24</f>
        <v>49.1619733740763</v>
      </c>
      <c r="K24" s="33" t="n">
        <f aca="false">SUMIFS('PLAN DE CORTE'!$H$5:$H$2516,'PLAN DE CORTE'!$A$5:$A$2516,A24,'PLAN DE CORTE'!$B$5:$B$2516,B24)</f>
        <v>4.28953484885507</v>
      </c>
      <c r="L24" s="23" t="n">
        <f aca="false">IF(G24&gt;0,J24/G24,0)</f>
        <v>0.0221151477166335</v>
      </c>
      <c r="M24" s="24" t="n">
        <f aca="false">G24*INDEX(PARÁMETROS!$B$93:$B$97,MATCH(B24,PARÁMETROS!$A$93:$A$97,0))</f>
        <v>1244.88</v>
      </c>
    </row>
    <row r="25" customFormat="false" ht="15" hidden="false" customHeight="false" outlineLevel="0" collapsed="false">
      <c r="A25" s="5" t="s">
        <v>227</v>
      </c>
      <c r="B25" s="32" t="s">
        <v>170</v>
      </c>
      <c r="C25" s="22" t="n">
        <f aca="false">SUMIFS('DATOS MODELO'!$D$232:$D$279,'DATOS MODELO'!$A$232:$A$279,A25,'DATOS MODELO'!$C$232:$C$279,B25)</f>
        <v>80</v>
      </c>
      <c r="D25" s="33" t="n">
        <f aca="false">SUMIFS('DATOS MODELO'!$E$232:$E$279,'DATOS MODELO'!$A$232:$A$279,A25,'DATOS MODELO'!$C$232:$C$279,B25)</f>
        <v>311.818</v>
      </c>
      <c r="E25" s="24" t="n">
        <f aca="false">D25*INDEX(PARÁMETROS!$B$93:$B$97,MATCH(B25,PARÁMETROS!$A$93:$A$97,0))</f>
        <v>309.947092</v>
      </c>
      <c r="F25" s="22" t="n">
        <f aca="false">COUNTIFS('PLAN DE CORTE'!$A$5:$A$2516,A25,'PLAN DE CORTE'!$B$5:$B$2516,B25)</f>
        <v>39</v>
      </c>
      <c r="G25" s="20" t="n">
        <f aca="false">F25*9</f>
        <v>351</v>
      </c>
      <c r="H25" s="33" t="n">
        <f aca="false">SUMIFS('PLAN DE CORTE'!$F$5:$F$2516,'PLAN DE CORTE'!$A$5:$A$2516,A25,'PLAN DE CORTE'!$B$5:$B$2516,B25)</f>
        <v>311.817618801761</v>
      </c>
      <c r="I25" s="20" t="n">
        <f aca="false">H25-D25</f>
        <v>-0.000381198238585512</v>
      </c>
      <c r="J25" s="20" t="n">
        <f aca="false">G25-H25</f>
        <v>39.1823811982386</v>
      </c>
      <c r="K25" s="33" t="n">
        <f aca="false">SUMIFS('PLAN DE CORTE'!$H$5:$H$2516,'PLAN DE CORTE'!$A$5:$A$2516,A25,'PLAN DE CORTE'!$B$5:$B$2516,B25)</f>
        <v>30.0634987301927</v>
      </c>
      <c r="L25" s="23" t="n">
        <f aca="false">IF(G25&gt;0,J25/G25,0)</f>
        <v>0.111630715664497</v>
      </c>
      <c r="M25" s="24" t="n">
        <f aca="false">G25*INDEX(PARÁMETROS!$B$93:$B$97,MATCH(B25,PARÁMETROS!$A$93:$A$97,0))</f>
        <v>348.894</v>
      </c>
    </row>
    <row r="26" customFormat="false" ht="15" hidden="false" customHeight="false" outlineLevel="0" collapsed="false">
      <c r="A26" s="5" t="s">
        <v>227</v>
      </c>
      <c r="B26" s="32" t="s">
        <v>171</v>
      </c>
      <c r="C26" s="22" t="n">
        <f aca="false">SUMIFS('DATOS MODELO'!$D$232:$D$279,'DATOS MODELO'!$A$232:$A$279,A26,'DATOS MODELO'!$C$232:$C$279,B26)</f>
        <v>142</v>
      </c>
      <c r="D26" s="33" t="n">
        <f aca="false">SUMIFS('DATOS MODELO'!$E$232:$E$279,'DATOS MODELO'!$A$232:$A$279,A26,'DATOS MODELO'!$C$232:$C$279,B26)</f>
        <v>481.568</v>
      </c>
      <c r="E26" s="24" t="n">
        <f aca="false">D26*INDEX(PARÁMETROS!$B$93:$B$97,MATCH(B26,PARÁMETROS!$A$93:$A$97,0))</f>
        <v>747.393536</v>
      </c>
      <c r="F26" s="22" t="n">
        <f aca="false">COUNTIFS('PLAN DE CORTE'!$A$5:$A$2516,A26,'PLAN DE CORTE'!$B$5:$B$2516,B26)</f>
        <v>71</v>
      </c>
      <c r="G26" s="20" t="n">
        <f aca="false">F26*9</f>
        <v>639</v>
      </c>
      <c r="H26" s="33" t="n">
        <f aca="false">SUMIFS('PLAN DE CORTE'!$F$5:$F$2516,'PLAN DE CORTE'!$A$5:$A$2516,A26,'PLAN DE CORTE'!$B$5:$B$2516,B26)</f>
        <v>481.567935883019</v>
      </c>
      <c r="I26" s="20" t="n">
        <f aca="false">H26-D26</f>
        <v>-6.41169813775377E-005</v>
      </c>
      <c r="J26" s="20" t="n">
        <f aca="false">G26-H26</f>
        <v>157.432064116981</v>
      </c>
      <c r="K26" s="33" t="n">
        <f aca="false">SUMIFS('PLAN DE CORTE'!$H$5:$H$2516,'PLAN DE CORTE'!$A$5:$A$2516,A26,'PLAN DE CORTE'!$B$5:$B$2516,B26)</f>
        <v>156.204492567872</v>
      </c>
      <c r="L26" s="23" t="n">
        <f aca="false">IF(G26&gt;0,J26/G26,0)</f>
        <v>0.24637255730357</v>
      </c>
      <c r="M26" s="24" t="n">
        <f aca="false">G26*INDEX(PARÁMETROS!$B$93:$B$97,MATCH(B26,PARÁMETROS!$A$93:$A$97,0))</f>
        <v>991.728</v>
      </c>
    </row>
    <row r="27" customFormat="false" ht="15" hidden="false" customHeight="false" outlineLevel="0" collapsed="false">
      <c r="A27" s="5" t="s">
        <v>227</v>
      </c>
      <c r="B27" s="32" t="s">
        <v>172</v>
      </c>
      <c r="C27" s="22" t="n">
        <f aca="false">SUMIFS('DATOS MODELO'!$D$232:$D$279,'DATOS MODELO'!$A$232:$A$279,A27,'DATOS MODELO'!$C$232:$C$279,B27)</f>
        <v>102</v>
      </c>
      <c r="D27" s="33" t="n">
        <f aca="false">SUMIFS('DATOS MODELO'!$E$232:$E$279,'DATOS MODELO'!$A$232:$A$279,A27,'DATOS MODELO'!$C$232:$C$279,B27)</f>
        <v>560.78</v>
      </c>
      <c r="E27" s="24" t="n">
        <f aca="false">D27*INDEX(PARÁMETROS!$B$93:$B$97,MATCH(B27,PARÁMETROS!$A$93:$A$97,0))</f>
        <v>1253.3433</v>
      </c>
      <c r="F27" s="22" t="n">
        <f aca="false">COUNTIFS('PLAN DE CORTE'!$A$5:$A$2516,A27,'PLAN DE CORTE'!$B$5:$B$2516,B27)</f>
        <v>71</v>
      </c>
      <c r="G27" s="20" t="n">
        <f aca="false">F27*9</f>
        <v>639</v>
      </c>
      <c r="H27" s="33" t="n">
        <f aca="false">SUMIFS('PLAN DE CORTE'!$F$5:$F$2516,'PLAN DE CORTE'!$A$5:$A$2516,A27,'PLAN DE CORTE'!$B$5:$B$2516,B27)</f>
        <v>569.979575720422</v>
      </c>
      <c r="I27" s="20" t="n">
        <f aca="false">H27-D27</f>
        <v>9.19957572042188</v>
      </c>
      <c r="J27" s="20" t="n">
        <f aca="false">G27-H27</f>
        <v>69.0204242795782</v>
      </c>
      <c r="K27" s="33" t="n">
        <f aca="false">SUMIFS('PLAN DE CORTE'!$H$5:$H$2516,'PLAN DE CORTE'!$A$5:$A$2516,A27,'PLAN DE CORTE'!$B$5:$B$2516,B27)</f>
        <v>53.7897512561036</v>
      </c>
      <c r="L27" s="23" t="n">
        <f aca="false">IF(G27&gt;0,J27/G27,0)</f>
        <v>0.108013183536116</v>
      </c>
      <c r="M27" s="24" t="n">
        <f aca="false">G27*INDEX(PARÁMETROS!$B$93:$B$97,MATCH(B27,PARÁMETROS!$A$93:$A$97,0))</f>
        <v>1428.165</v>
      </c>
    </row>
    <row r="28" customFormat="false" ht="15" hidden="false" customHeight="false" outlineLevel="0" collapsed="false">
      <c r="A28" s="29" t="s">
        <v>249</v>
      </c>
      <c r="B28" s="30"/>
      <c r="C28" s="34" t="n">
        <f aca="false">SUM(C23:C27)</f>
        <v>2408</v>
      </c>
      <c r="D28" s="31" t="n">
        <f aca="false">SUM(D23:D27)</f>
        <v>4367.289</v>
      </c>
      <c r="E28" s="35" t="n">
        <f aca="false">SUM(E23:E27)</f>
        <v>3737.854768</v>
      </c>
      <c r="F28" s="31" t="n">
        <f aca="false">SUM(F23:F27)</f>
        <v>538</v>
      </c>
      <c r="G28" s="31" t="n">
        <f aca="false">SUM(G23:G27)</f>
        <v>4842</v>
      </c>
      <c r="H28" s="31" t="n">
        <f aca="false">SUM(H23:H27)</f>
        <v>4376.4871281897</v>
      </c>
      <c r="I28" s="31" t="n">
        <f aca="false">SUM(I23:I27)</f>
        <v>9.1981281896999</v>
      </c>
      <c r="J28" s="31" t="n">
        <f aca="false">SUM(J23:J27)</f>
        <v>465.5128718103</v>
      </c>
      <c r="K28" s="31" t="n">
        <f aca="false">SUM(K23:K27)</f>
        <v>372.870134731451</v>
      </c>
      <c r="L28" s="36" t="n">
        <f aca="false">IF(G28&gt;0,J28/G28,0)</f>
        <v>0.0961406178872987</v>
      </c>
      <c r="M28" s="35" t="n">
        <f aca="false">SUM(M23:M27)</f>
        <v>4261.167</v>
      </c>
    </row>
    <row r="29" customFormat="false" ht="15" hidden="false" customHeight="false" outlineLevel="0" collapsed="false">
      <c r="A29" s="5" t="s">
        <v>229</v>
      </c>
      <c r="B29" s="32" t="s">
        <v>168</v>
      </c>
      <c r="C29" s="22" t="n">
        <f aca="false">SUMIFS('DATOS MODELO'!$D$232:$D$279,'DATOS MODELO'!$A$232:$A$279,A29,'DATOS MODELO'!$C$232:$C$279,B29)</f>
        <v>228</v>
      </c>
      <c r="D29" s="33" t="n">
        <f aca="false">SUMIFS('DATOS MODELO'!$E$232:$E$279,'DATOS MODELO'!$A$232:$A$279,A29,'DATOS MODELO'!$C$232:$C$279,B29)</f>
        <v>839.284</v>
      </c>
      <c r="E29" s="24" t="n">
        <f aca="false">D29*INDEX(PARÁMETROS!$B$93:$B$97,MATCH(B29,PARÁMETROS!$A$93:$A$97,0))</f>
        <v>209.821</v>
      </c>
      <c r="F29" s="22" t="n">
        <f aca="false">COUNTIFS('PLAN DE CORTE'!$A$5:$A$2516,A29,'PLAN DE CORTE'!$B$5:$B$2516,B29)</f>
        <v>110</v>
      </c>
      <c r="G29" s="20" t="n">
        <f aca="false">F29*9</f>
        <v>990</v>
      </c>
      <c r="H29" s="33" t="n">
        <f aca="false">SUMIFS('PLAN DE CORTE'!$F$5:$F$2516,'PLAN DE CORTE'!$A$5:$A$2516,A29,'PLAN DE CORTE'!$B$5:$B$2516,B29)</f>
        <v>839.283971158574</v>
      </c>
      <c r="I29" s="20" t="n">
        <f aca="false">H29-D29</f>
        <v>-2.88414257738623E-005</v>
      </c>
      <c r="J29" s="20" t="n">
        <f aca="false">G29-H29</f>
        <v>150.716028841426</v>
      </c>
      <c r="K29" s="33" t="n">
        <f aca="false">SUMIFS('PLAN DE CORTE'!$H$5:$H$2516,'PLAN DE CORTE'!$A$5:$A$2516,A29,'PLAN DE CORTE'!$B$5:$B$2516,B29)</f>
        <v>128.522857328428</v>
      </c>
      <c r="L29" s="23" t="n">
        <f aca="false">IF(G29&gt;0,J29/G29,0)</f>
        <v>0.152238412971137</v>
      </c>
      <c r="M29" s="24" t="n">
        <f aca="false">G29*INDEX(PARÁMETROS!$B$93:$B$97,MATCH(B29,PARÁMETROS!$A$93:$A$97,0))</f>
        <v>247.5</v>
      </c>
    </row>
    <row r="30" customFormat="false" ht="15" hidden="false" customHeight="false" outlineLevel="0" collapsed="false">
      <c r="A30" s="5" t="s">
        <v>229</v>
      </c>
      <c r="B30" s="32" t="s">
        <v>169</v>
      </c>
      <c r="C30" s="22" t="n">
        <f aca="false">SUMIFS('DATOS MODELO'!$D$232:$D$279,'DATOS MODELO'!$A$232:$A$279,A30,'DATOS MODELO'!$C$232:$C$279,B30)</f>
        <v>1856</v>
      </c>
      <c r="D30" s="33" t="n">
        <f aca="false">SUMIFS('DATOS MODELO'!$E$232:$E$279,'DATOS MODELO'!$A$232:$A$279,A30,'DATOS MODELO'!$C$232:$C$279,B30)</f>
        <v>2175.53</v>
      </c>
      <c r="E30" s="24" t="n">
        <f aca="false">D30*INDEX(PARÁMETROS!$B$93:$B$97,MATCH(B30,PARÁMETROS!$A$93:$A$97,0))</f>
        <v>1218.2968</v>
      </c>
      <c r="F30" s="22" t="n">
        <f aca="false">COUNTIFS('PLAN DE CORTE'!$A$5:$A$2516,A30,'PLAN DE CORTE'!$B$5:$B$2516,B30)</f>
        <v>247</v>
      </c>
      <c r="G30" s="20" t="n">
        <f aca="false">F30*9</f>
        <v>2223</v>
      </c>
      <c r="H30" s="33" t="n">
        <f aca="false">SUMIFS('PLAN DE CORTE'!$F$5:$F$2516,'PLAN DE CORTE'!$A$5:$A$2516,A30,'PLAN DE CORTE'!$B$5:$B$2516,B30)</f>
        <v>2175.52908938664</v>
      </c>
      <c r="I30" s="20" t="n">
        <f aca="false">H30-D30</f>
        <v>-0.000910613363885204</v>
      </c>
      <c r="J30" s="20" t="n">
        <f aca="false">G30-H30</f>
        <v>47.4709106133641</v>
      </c>
      <c r="K30" s="33" t="n">
        <f aca="false">SUMIFS('PLAN DE CORTE'!$H$5:$H$2516,'PLAN DE CORTE'!$A$5:$A$2516,A30,'PLAN DE CORTE'!$B$5:$B$2516,B30)</f>
        <v>3.11191856106884</v>
      </c>
      <c r="L30" s="23" t="n">
        <f aca="false">IF(G30&gt;0,J30/G30,0)</f>
        <v>0.0213544357235106</v>
      </c>
      <c r="M30" s="24" t="n">
        <f aca="false">G30*INDEX(PARÁMETROS!$B$93:$B$97,MATCH(B30,PARÁMETROS!$A$93:$A$97,0))</f>
        <v>1244.88</v>
      </c>
    </row>
    <row r="31" customFormat="false" ht="15" hidden="false" customHeight="false" outlineLevel="0" collapsed="false">
      <c r="A31" s="5" t="s">
        <v>229</v>
      </c>
      <c r="B31" s="32" t="s">
        <v>170</v>
      </c>
      <c r="C31" s="22" t="n">
        <f aca="false">SUMIFS('DATOS MODELO'!$D$232:$D$279,'DATOS MODELO'!$A$232:$A$279,A31,'DATOS MODELO'!$C$232:$C$279,B31)</f>
        <v>80</v>
      </c>
      <c r="D31" s="33" t="n">
        <f aca="false">SUMIFS('DATOS MODELO'!$E$232:$E$279,'DATOS MODELO'!$A$232:$A$279,A31,'DATOS MODELO'!$C$232:$C$279,B31)</f>
        <v>311.818</v>
      </c>
      <c r="E31" s="24" t="n">
        <f aca="false">D31*INDEX(PARÁMETROS!$B$93:$B$97,MATCH(B31,PARÁMETROS!$A$93:$A$97,0))</f>
        <v>309.947092</v>
      </c>
      <c r="F31" s="22" t="n">
        <f aca="false">COUNTIFS('PLAN DE CORTE'!$A$5:$A$2516,A31,'PLAN DE CORTE'!$B$5:$B$2516,B31)</f>
        <v>39</v>
      </c>
      <c r="G31" s="20" t="n">
        <f aca="false">F31*9</f>
        <v>351</v>
      </c>
      <c r="H31" s="33" t="n">
        <f aca="false">SUMIFS('PLAN DE CORTE'!$F$5:$F$2516,'PLAN DE CORTE'!$A$5:$A$2516,A31,'PLAN DE CORTE'!$B$5:$B$2516,B31)</f>
        <v>311.817618801761</v>
      </c>
      <c r="I31" s="20" t="n">
        <f aca="false">H31-D31</f>
        <v>-0.000381198238585512</v>
      </c>
      <c r="J31" s="20" t="n">
        <f aca="false">G31-H31</f>
        <v>39.1823811982386</v>
      </c>
      <c r="K31" s="33" t="n">
        <f aca="false">SUMIFS('PLAN DE CORTE'!$H$5:$H$2516,'PLAN DE CORTE'!$A$5:$A$2516,A31,'PLAN DE CORTE'!$B$5:$B$2516,B31)</f>
        <v>30.0634987301927</v>
      </c>
      <c r="L31" s="23" t="n">
        <f aca="false">IF(G31&gt;0,J31/G31,0)</f>
        <v>0.111630715664497</v>
      </c>
      <c r="M31" s="24" t="n">
        <f aca="false">G31*INDEX(PARÁMETROS!$B$93:$B$97,MATCH(B31,PARÁMETROS!$A$93:$A$97,0))</f>
        <v>348.894</v>
      </c>
    </row>
    <row r="32" customFormat="false" ht="15" hidden="false" customHeight="false" outlineLevel="0" collapsed="false">
      <c r="A32" s="5" t="s">
        <v>229</v>
      </c>
      <c r="B32" s="32" t="s">
        <v>171</v>
      </c>
      <c r="C32" s="22" t="n">
        <f aca="false">SUMIFS('DATOS MODELO'!$D$232:$D$279,'DATOS MODELO'!$A$232:$A$279,A32,'DATOS MODELO'!$C$232:$C$279,B32)</f>
        <v>142</v>
      </c>
      <c r="D32" s="33" t="n">
        <f aca="false">SUMIFS('DATOS MODELO'!$E$232:$E$279,'DATOS MODELO'!$A$232:$A$279,A32,'DATOS MODELO'!$C$232:$C$279,B32)</f>
        <v>481.568</v>
      </c>
      <c r="E32" s="24" t="n">
        <f aca="false">D32*INDEX(PARÁMETROS!$B$93:$B$97,MATCH(B32,PARÁMETROS!$A$93:$A$97,0))</f>
        <v>747.393536</v>
      </c>
      <c r="F32" s="22" t="n">
        <f aca="false">COUNTIFS('PLAN DE CORTE'!$A$5:$A$2516,A32,'PLAN DE CORTE'!$B$5:$B$2516,B32)</f>
        <v>71</v>
      </c>
      <c r="G32" s="20" t="n">
        <f aca="false">F32*9</f>
        <v>639</v>
      </c>
      <c r="H32" s="33" t="n">
        <f aca="false">SUMIFS('PLAN DE CORTE'!$F$5:$F$2516,'PLAN DE CORTE'!$A$5:$A$2516,A32,'PLAN DE CORTE'!$B$5:$B$2516,B32)</f>
        <v>481.567935883019</v>
      </c>
      <c r="I32" s="20" t="n">
        <f aca="false">H32-D32</f>
        <v>-6.41169813775377E-005</v>
      </c>
      <c r="J32" s="20" t="n">
        <f aca="false">G32-H32</f>
        <v>157.432064116981</v>
      </c>
      <c r="K32" s="33" t="n">
        <f aca="false">SUMIFS('PLAN DE CORTE'!$H$5:$H$2516,'PLAN DE CORTE'!$A$5:$A$2516,A32,'PLAN DE CORTE'!$B$5:$B$2516,B32)</f>
        <v>156.204492567872</v>
      </c>
      <c r="L32" s="23" t="n">
        <f aca="false">IF(G32&gt;0,J32/G32,0)</f>
        <v>0.24637255730357</v>
      </c>
      <c r="M32" s="24" t="n">
        <f aca="false">G32*INDEX(PARÁMETROS!$B$93:$B$97,MATCH(B32,PARÁMETROS!$A$93:$A$97,0))</f>
        <v>991.728</v>
      </c>
    </row>
    <row r="33" customFormat="false" ht="15" hidden="false" customHeight="false" outlineLevel="0" collapsed="false">
      <c r="A33" s="5" t="s">
        <v>229</v>
      </c>
      <c r="B33" s="32" t="s">
        <v>172</v>
      </c>
      <c r="C33" s="22" t="n">
        <f aca="false">SUMIFS('DATOS MODELO'!$D$232:$D$279,'DATOS MODELO'!$A$232:$A$279,A33,'DATOS MODELO'!$C$232:$C$279,B33)</f>
        <v>100</v>
      </c>
      <c r="D33" s="33" t="n">
        <f aca="false">SUMIFS('DATOS MODELO'!$E$232:$E$279,'DATOS MODELO'!$A$232:$A$279,A33,'DATOS MODELO'!$C$232:$C$279,B33)</f>
        <v>548.913</v>
      </c>
      <c r="E33" s="24" t="n">
        <f aca="false">D33*INDEX(PARÁMETROS!$B$93:$B$97,MATCH(B33,PARÁMETROS!$A$93:$A$97,0))</f>
        <v>1226.820555</v>
      </c>
      <c r="F33" s="22" t="n">
        <f aca="false">COUNTIFS('PLAN DE CORTE'!$A$5:$A$2516,A33,'PLAN DE CORTE'!$B$5:$B$2516,B33)</f>
        <v>69</v>
      </c>
      <c r="G33" s="20" t="n">
        <f aca="false">F33*9</f>
        <v>621</v>
      </c>
      <c r="H33" s="33" t="n">
        <f aca="false">SUMIFS('PLAN DE CORTE'!$F$5:$F$2516,'PLAN DE CORTE'!$A$5:$A$2516,A33,'PLAN DE CORTE'!$B$5:$B$2516,B33)</f>
        <v>558.112905972904</v>
      </c>
      <c r="I33" s="20" t="n">
        <f aca="false">H33-D33</f>
        <v>9.19990597290405</v>
      </c>
      <c r="J33" s="20" t="n">
        <f aca="false">G33-H33</f>
        <v>62.8870940270959</v>
      </c>
      <c r="K33" s="33" t="n">
        <f aca="false">SUMIFS('PLAN DE CORTE'!$H$5:$H$2516,'PLAN DE CORTE'!$A$5:$A$2516,A33,'PLAN DE CORTE'!$B$5:$B$2516,B33)</f>
        <v>48.5145421406274</v>
      </c>
      <c r="L33" s="23" t="n">
        <f aca="false">IF(G33&gt;0,J33/G33,0)</f>
        <v>0.101267462201443</v>
      </c>
      <c r="M33" s="24" t="n">
        <f aca="false">G33*INDEX(PARÁMETROS!$B$93:$B$97,MATCH(B33,PARÁMETROS!$A$93:$A$97,0))</f>
        <v>1387.935</v>
      </c>
    </row>
    <row r="34" customFormat="false" ht="15" hidden="false" customHeight="false" outlineLevel="0" collapsed="false">
      <c r="A34" s="29" t="s">
        <v>250</v>
      </c>
      <c r="B34" s="30"/>
      <c r="C34" s="34" t="n">
        <f aca="false">SUM(C29:C33)</f>
        <v>2406</v>
      </c>
      <c r="D34" s="31" t="n">
        <f aca="false">SUM(D29:D33)</f>
        <v>4357.113</v>
      </c>
      <c r="E34" s="35" t="n">
        <f aca="false">SUM(E29:E33)</f>
        <v>3712.278983</v>
      </c>
      <c r="F34" s="31" t="n">
        <f aca="false">SUM(F29:F33)</f>
        <v>536</v>
      </c>
      <c r="G34" s="31" t="n">
        <f aca="false">SUM(G29:G33)</f>
        <v>4824</v>
      </c>
      <c r="H34" s="31" t="n">
        <f aca="false">SUM(H29:H33)</f>
        <v>4366.31152120289</v>
      </c>
      <c r="I34" s="31" t="n">
        <f aca="false">SUM(I29:I33)</f>
        <v>9.19852120289443</v>
      </c>
      <c r="J34" s="31" t="n">
        <f aca="false">SUM(J29:J33)</f>
        <v>457.688478797106</v>
      </c>
      <c r="K34" s="31" t="n">
        <f aca="false">SUM(K29:K33)</f>
        <v>366.417309328189</v>
      </c>
      <c r="L34" s="36" t="n">
        <f aca="false">IF(G34&gt;0,J34/G34,0)</f>
        <v>0.0948773795184714</v>
      </c>
      <c r="M34" s="35" t="n">
        <f aca="false">SUM(M29:M33)</f>
        <v>4220.937</v>
      </c>
    </row>
    <row r="35" customFormat="false" ht="15" hidden="false" customHeight="false" outlineLevel="0" collapsed="false">
      <c r="A35" s="5" t="s">
        <v>231</v>
      </c>
      <c r="B35" s="32" t="s">
        <v>168</v>
      </c>
      <c r="C35" s="22" t="n">
        <f aca="false">SUMIFS('DATOS MODELO'!$D$232:$D$279,'DATOS MODELO'!$A$232:$A$279,A35,'DATOS MODELO'!$C$232:$C$279,B35)</f>
        <v>228</v>
      </c>
      <c r="D35" s="33" t="n">
        <f aca="false">SUMIFS('DATOS MODELO'!$E$232:$E$279,'DATOS MODELO'!$A$232:$A$279,A35,'DATOS MODELO'!$C$232:$C$279,B35)</f>
        <v>839.282</v>
      </c>
      <c r="E35" s="24" t="n">
        <f aca="false">D35*INDEX(PARÁMETROS!$B$93:$B$97,MATCH(B35,PARÁMETROS!$A$93:$A$97,0))</f>
        <v>209.8205</v>
      </c>
      <c r="F35" s="22" t="n">
        <f aca="false">COUNTIFS('PLAN DE CORTE'!$A$5:$A$2516,A35,'PLAN DE CORTE'!$B$5:$B$2516,B35)</f>
        <v>110</v>
      </c>
      <c r="G35" s="20" t="n">
        <f aca="false">F35*9</f>
        <v>990</v>
      </c>
      <c r="H35" s="33" t="n">
        <f aca="false">SUMIFS('PLAN DE CORTE'!$F$5:$F$2516,'PLAN DE CORTE'!$A$5:$A$2516,A35,'PLAN DE CORTE'!$B$5:$B$2516,B35)</f>
        <v>839.28246578223</v>
      </c>
      <c r="I35" s="20" t="n">
        <f aca="false">H35-D35</f>
        <v>0.000465782230207878</v>
      </c>
      <c r="J35" s="20" t="n">
        <f aca="false">G35-H35</f>
        <v>150.71753421777</v>
      </c>
      <c r="K35" s="33" t="n">
        <f aca="false">SUMIFS('PLAN DE CORTE'!$H$5:$H$2516,'PLAN DE CORTE'!$A$5:$A$2516,A35,'PLAN DE CORTE'!$B$5:$B$2516,B35)</f>
        <v>128.524362704772</v>
      </c>
      <c r="L35" s="23" t="n">
        <f aca="false">IF(G35&gt;0,J35/G35,0)</f>
        <v>0.152239933553303</v>
      </c>
      <c r="M35" s="24" t="n">
        <f aca="false">G35*INDEX(PARÁMETROS!$B$93:$B$97,MATCH(B35,PARÁMETROS!$A$93:$A$97,0))</f>
        <v>247.5</v>
      </c>
    </row>
    <row r="36" customFormat="false" ht="15" hidden="false" customHeight="false" outlineLevel="0" collapsed="false">
      <c r="A36" s="5" t="s">
        <v>231</v>
      </c>
      <c r="B36" s="32" t="s">
        <v>169</v>
      </c>
      <c r="C36" s="22" t="n">
        <f aca="false">SUMIFS('DATOS MODELO'!$D$232:$D$279,'DATOS MODELO'!$A$232:$A$279,A36,'DATOS MODELO'!$C$232:$C$279,B36)</f>
        <v>1856</v>
      </c>
      <c r="D36" s="33" t="n">
        <f aca="false">SUMIFS('DATOS MODELO'!$E$232:$E$279,'DATOS MODELO'!$A$232:$A$279,A36,'DATOS MODELO'!$C$232:$C$279,B36)</f>
        <v>2175.53</v>
      </c>
      <c r="E36" s="24" t="n">
        <f aca="false">D36*INDEX(PARÁMETROS!$B$93:$B$97,MATCH(B36,PARÁMETROS!$A$93:$A$97,0))</f>
        <v>1218.2968</v>
      </c>
      <c r="F36" s="22" t="n">
        <f aca="false">COUNTIFS('PLAN DE CORTE'!$A$5:$A$2516,A36,'PLAN DE CORTE'!$B$5:$B$2516,B36)</f>
        <v>247</v>
      </c>
      <c r="G36" s="20" t="n">
        <f aca="false">F36*9</f>
        <v>2223</v>
      </c>
      <c r="H36" s="33" t="n">
        <f aca="false">SUMIFS('PLAN DE CORTE'!$F$5:$F$2516,'PLAN DE CORTE'!$A$5:$A$2516,A36,'PLAN DE CORTE'!$B$5:$B$2516,B36)</f>
        <v>2175.52908938664</v>
      </c>
      <c r="I36" s="20" t="n">
        <f aca="false">H36-D36</f>
        <v>-0.000910613363885204</v>
      </c>
      <c r="J36" s="20" t="n">
        <f aca="false">G36-H36</f>
        <v>47.4709106133641</v>
      </c>
      <c r="K36" s="33" t="n">
        <f aca="false">SUMIFS('PLAN DE CORTE'!$H$5:$H$2516,'PLAN DE CORTE'!$A$5:$A$2516,A36,'PLAN DE CORTE'!$B$5:$B$2516,B36)</f>
        <v>3.11191856106884</v>
      </c>
      <c r="L36" s="23" t="n">
        <f aca="false">IF(G36&gt;0,J36/G36,0)</f>
        <v>0.0213544357235106</v>
      </c>
      <c r="M36" s="24" t="n">
        <f aca="false">G36*INDEX(PARÁMETROS!$B$93:$B$97,MATCH(B36,PARÁMETROS!$A$93:$A$97,0))</f>
        <v>1244.88</v>
      </c>
    </row>
    <row r="37" customFormat="false" ht="15" hidden="false" customHeight="false" outlineLevel="0" collapsed="false">
      <c r="A37" s="5" t="s">
        <v>231</v>
      </c>
      <c r="B37" s="32" t="s">
        <v>170</v>
      </c>
      <c r="C37" s="22" t="n">
        <f aca="false">SUMIFS('DATOS MODELO'!$D$232:$D$279,'DATOS MODELO'!$A$232:$A$279,A37,'DATOS MODELO'!$C$232:$C$279,B37)</f>
        <v>80</v>
      </c>
      <c r="D37" s="33" t="n">
        <f aca="false">SUMIFS('DATOS MODELO'!$E$232:$E$279,'DATOS MODELO'!$A$232:$A$279,A37,'DATOS MODELO'!$C$232:$C$279,B37)</f>
        <v>284.36</v>
      </c>
      <c r="E37" s="24" t="n">
        <f aca="false">D37*INDEX(PARÁMETROS!$B$93:$B$97,MATCH(B37,PARÁMETROS!$A$93:$A$97,0))</f>
        <v>282.65384</v>
      </c>
      <c r="F37" s="22" t="n">
        <f aca="false">COUNTIFS('PLAN DE CORTE'!$A$5:$A$2516,A37,'PLAN DE CORTE'!$B$5:$B$2516,B37)</f>
        <v>35</v>
      </c>
      <c r="G37" s="20" t="n">
        <f aca="false">F37*9</f>
        <v>315</v>
      </c>
      <c r="H37" s="33" t="n">
        <f aca="false">SUMIFS('PLAN DE CORTE'!$F$5:$F$2516,'PLAN DE CORTE'!$A$5:$A$2516,A37,'PLAN DE CORTE'!$B$5:$B$2516,B37)</f>
        <v>284.360271790046</v>
      </c>
      <c r="I37" s="20" t="n">
        <f aca="false">H37-D37</f>
        <v>0.000271790045474063</v>
      </c>
      <c r="J37" s="20" t="n">
        <f aca="false">G37-H37</f>
        <v>30.6397282099545</v>
      </c>
      <c r="K37" s="33" t="n">
        <f aca="false">SUMIFS('PLAN DE CORTE'!$H$5:$H$2516,'PLAN DE CORTE'!$A$5:$A$2516,A37,'PLAN DE CORTE'!$B$5:$B$2516,B37)</f>
        <v>23.1980868916711</v>
      </c>
      <c r="L37" s="23" t="n">
        <f aca="false">IF(G37&gt;0,J37/G37,0)</f>
        <v>0.0972689784443</v>
      </c>
      <c r="M37" s="24" t="n">
        <f aca="false">G37*INDEX(PARÁMETROS!$B$93:$B$97,MATCH(B37,PARÁMETROS!$A$93:$A$97,0))</f>
        <v>313.11</v>
      </c>
    </row>
    <row r="38" customFormat="false" ht="15" hidden="false" customHeight="false" outlineLevel="0" collapsed="false">
      <c r="A38" s="5" t="s">
        <v>231</v>
      </c>
      <c r="B38" s="32" t="s">
        <v>171</v>
      </c>
      <c r="C38" s="22" t="n">
        <f aca="false">SUMIFS('DATOS MODELO'!$D$232:$D$279,'DATOS MODELO'!$A$232:$A$279,A38,'DATOS MODELO'!$C$232:$C$279,B38)</f>
        <v>142</v>
      </c>
      <c r="D38" s="33" t="n">
        <f aca="false">SUMIFS('DATOS MODELO'!$E$232:$E$279,'DATOS MODELO'!$A$232:$A$279,A38,'DATOS MODELO'!$C$232:$C$279,B38)</f>
        <v>280.154</v>
      </c>
      <c r="E38" s="24" t="n">
        <f aca="false">D38*INDEX(PARÁMETROS!$B$93:$B$97,MATCH(B38,PARÁMETROS!$A$93:$A$97,0))</f>
        <v>434.799008</v>
      </c>
      <c r="F38" s="22" t="n">
        <f aca="false">COUNTIFS('PLAN DE CORTE'!$A$5:$A$2516,A38,'PLAN DE CORTE'!$B$5:$B$2516,B38)</f>
        <v>35</v>
      </c>
      <c r="G38" s="20" t="n">
        <f aca="false">F38*9</f>
        <v>315</v>
      </c>
      <c r="H38" s="33" t="n">
        <f aca="false">SUMIFS('PLAN DE CORTE'!$F$5:$F$2516,'PLAN DE CORTE'!$A$5:$A$2516,A38,'PLAN DE CORTE'!$B$5:$B$2516,B38)</f>
        <v>280.154354006512</v>
      </c>
      <c r="I38" s="20" t="n">
        <f aca="false">H38-D38</f>
        <v>0.000354006512338856</v>
      </c>
      <c r="J38" s="20" t="n">
        <f aca="false">G38-H38</f>
        <v>34.8456459934877</v>
      </c>
      <c r="K38" s="33" t="n">
        <f aca="false">SUMIFS('PLAN DE CORTE'!$H$5:$H$2516,'PLAN DE CORTE'!$A$5:$A$2516,A38,'PLAN DE CORTE'!$B$5:$B$2516,B38)</f>
        <v>30.8139363325204</v>
      </c>
      <c r="L38" s="23" t="n">
        <f aca="false">IF(G38&gt;0,J38/G38,0)</f>
        <v>0.110621098392024</v>
      </c>
      <c r="M38" s="24" t="n">
        <f aca="false">G38*INDEX(PARÁMETROS!$B$93:$B$97,MATCH(B38,PARÁMETROS!$A$93:$A$97,0))</f>
        <v>488.88</v>
      </c>
    </row>
    <row r="39" customFormat="false" ht="15" hidden="false" customHeight="false" outlineLevel="0" collapsed="false">
      <c r="A39" s="5" t="s">
        <v>231</v>
      </c>
      <c r="B39" s="32" t="s">
        <v>172</v>
      </c>
      <c r="C39" s="22" t="n">
        <f aca="false">SUMIFS('DATOS MODELO'!$D$232:$D$279,'DATOS MODELO'!$A$232:$A$279,A39,'DATOS MODELO'!$C$232:$C$279,B39)</f>
        <v>98</v>
      </c>
      <c r="D39" s="33" t="n">
        <f aca="false">SUMIFS('DATOS MODELO'!$E$232:$E$279,'DATOS MODELO'!$A$232:$A$279,A39,'DATOS MODELO'!$C$232:$C$279,B39)</f>
        <v>537.465</v>
      </c>
      <c r="E39" s="24" t="n">
        <f aca="false">D39*INDEX(PARÁMETROS!$B$93:$B$97,MATCH(B39,PARÁMETROS!$A$93:$A$97,0))</f>
        <v>1201.234275</v>
      </c>
      <c r="F39" s="22" t="n">
        <f aca="false">COUNTIFS('PLAN DE CORTE'!$A$5:$A$2516,A39,'PLAN DE CORTE'!$B$5:$B$2516,B39)</f>
        <v>67</v>
      </c>
      <c r="G39" s="20" t="n">
        <f aca="false">F39*9</f>
        <v>603</v>
      </c>
      <c r="H39" s="33" t="n">
        <f aca="false">SUMIFS('PLAN DE CORTE'!$F$5:$F$2516,'PLAN DE CORTE'!$A$5:$A$2516,A39,'PLAN DE CORTE'!$B$5:$B$2516,B39)</f>
        <v>546.664775048742</v>
      </c>
      <c r="I39" s="20" t="n">
        <f aca="false">H39-D39</f>
        <v>9.1997750487418</v>
      </c>
      <c r="J39" s="20" t="n">
        <f aca="false">G39-H39</f>
        <v>56.3352249512582</v>
      </c>
      <c r="K39" s="33" t="n">
        <f aca="false">SUMIFS('PLAN DE CORTE'!$H$5:$H$2516,'PLAN DE CORTE'!$A$5:$A$2516,A39,'PLAN DE CORTE'!$B$5:$B$2516,B39)</f>
        <v>41.8738643380042</v>
      </c>
      <c r="L39" s="23" t="n">
        <f aca="false">IF(G39&gt;0,J39/G39,0)</f>
        <v>0.0934249170004281</v>
      </c>
      <c r="M39" s="24" t="n">
        <f aca="false">G39*INDEX(PARÁMETROS!$B$93:$B$97,MATCH(B39,PARÁMETROS!$A$93:$A$97,0))</f>
        <v>1347.705</v>
      </c>
    </row>
    <row r="40" customFormat="false" ht="15" hidden="false" customHeight="false" outlineLevel="0" collapsed="false">
      <c r="A40" s="29" t="s">
        <v>251</v>
      </c>
      <c r="B40" s="30"/>
      <c r="C40" s="34" t="n">
        <f aca="false">SUM(C35:C39)</f>
        <v>2404</v>
      </c>
      <c r="D40" s="31" t="n">
        <f aca="false">SUM(D35:D39)</f>
        <v>4116.791</v>
      </c>
      <c r="E40" s="35" t="n">
        <f aca="false">SUM(E35:E39)</f>
        <v>3346.804423</v>
      </c>
      <c r="F40" s="31" t="n">
        <f aca="false">SUM(F35:F39)</f>
        <v>494</v>
      </c>
      <c r="G40" s="31" t="n">
        <f aca="false">SUM(G35:G39)</f>
        <v>4446</v>
      </c>
      <c r="H40" s="31" t="n">
        <f aca="false">SUM(H35:H39)</f>
        <v>4125.99095601417</v>
      </c>
      <c r="I40" s="31" t="n">
        <f aca="false">SUM(I35:I39)</f>
        <v>9.19995601416593</v>
      </c>
      <c r="J40" s="31" t="n">
        <f aca="false">SUM(J35:J39)</f>
        <v>320.009043985834</v>
      </c>
      <c r="K40" s="31" t="n">
        <f aca="false">SUM(K35:K39)</f>
        <v>227.522168828036</v>
      </c>
      <c r="L40" s="36" t="n">
        <f aca="false">IF(G40&gt;0,J40/G40,0)</f>
        <v>0.0719768430017621</v>
      </c>
      <c r="M40" s="35" t="n">
        <f aca="false">SUM(M35:M39)</f>
        <v>3642.075</v>
      </c>
    </row>
    <row r="42" customFormat="false" ht="15" hidden="false" customHeight="false" outlineLevel="0" collapsed="false">
      <c r="A42" s="3" t="s">
        <v>252</v>
      </c>
    </row>
    <row r="43" customFormat="false" ht="42" hidden="false" customHeight="true" outlineLevel="0" collapsed="false">
      <c r="A43" s="4" t="s">
        <v>177</v>
      </c>
      <c r="B43" s="4" t="s">
        <v>165</v>
      </c>
      <c r="C43" s="4" t="s">
        <v>235</v>
      </c>
      <c r="D43" s="4" t="s">
        <v>236</v>
      </c>
      <c r="E43" s="4" t="s">
        <v>237</v>
      </c>
      <c r="F43" s="4" t="s">
        <v>238</v>
      </c>
      <c r="G43" s="4" t="s">
        <v>239</v>
      </c>
      <c r="H43" s="4" t="s">
        <v>240</v>
      </c>
      <c r="I43" s="4" t="s">
        <v>241</v>
      </c>
      <c r="J43" s="4" t="s">
        <v>242</v>
      </c>
      <c r="K43" s="4" t="s">
        <v>243</v>
      </c>
      <c r="L43" s="4" t="s">
        <v>244</v>
      </c>
      <c r="M43" s="4" t="s">
        <v>245</v>
      </c>
    </row>
    <row r="44" customFormat="false" ht="15" hidden="false" customHeight="false" outlineLevel="0" collapsed="false">
      <c r="A44" s="12" t="s">
        <v>253</v>
      </c>
      <c r="B44" s="32" t="s">
        <v>168</v>
      </c>
      <c r="C44" s="25" t="n">
        <f aca="false">SUMIFS(C$5:C$41,$B$5:$B$41,B44,$A$5:$A$41,"&lt;&gt;Subtotal*")</f>
        <v>912</v>
      </c>
      <c r="D44" s="20" t="n">
        <f aca="false">SUMIFS(D$5:D$41,$B$5:$B$41,B44,$A$5:$A$41,"&lt;&gt;Subtotal*")</f>
        <v>3357.134</v>
      </c>
      <c r="E44" s="24" t="n">
        <f aca="false">SUMIFS(E$5:E$41,$B$5:$B$41,B44,$A$5:$A$41,"&lt;&gt;Subtotal*")</f>
        <v>839.2835</v>
      </c>
      <c r="F44" s="25" t="n">
        <f aca="false">SUMIFS(F$5:F$41,$B$5:$B$41,B44,$A$5:$A$41,"&lt;&gt;Subtotal*")</f>
        <v>440</v>
      </c>
      <c r="G44" s="20" t="n">
        <f aca="false">SUMIFS(G$5:G$41,$B$5:$B$41,B44,$A$5:$A$41,"&lt;&gt;Subtotal*")</f>
        <v>3960</v>
      </c>
      <c r="H44" s="20" t="n">
        <f aca="false">SUMIFS(H$5:H$41,$B$5:$B$41,B44,$A$5:$A$41,"&lt;&gt;Subtotal*")</f>
        <v>3357.13437925795</v>
      </c>
      <c r="I44" s="20" t="n">
        <f aca="false">SUMIFS(I$5:I$41,$B$5:$B$41,B44,$A$5:$A$41,"&lt;&gt;Subtotal*")</f>
        <v>0.000379257952886292</v>
      </c>
      <c r="J44" s="20" t="n">
        <f aca="false">SUMIFS(J$5:J$41,$B$5:$B$41,B44,$A$5:$A$41,"&lt;&gt;Subtotal*")</f>
        <v>602.865620742047</v>
      </c>
      <c r="K44" s="20" t="n">
        <f aca="false">SUMIFS(K$5:K$41,$B$5:$B$41,B44,$A$5:$A$41,"&lt;&gt;Subtotal*")</f>
        <v>514.092934690056</v>
      </c>
      <c r="L44" s="23" t="n">
        <f aca="false">IF(G44&gt;0,J44/G44,0)</f>
        <v>0.152238793116679</v>
      </c>
      <c r="M44" s="24" t="n">
        <f aca="false">SUMIFS(M$5:M$41,$B$5:$B$41,B44,$A$5:$A$41,"&lt;&gt;Subtotal*")</f>
        <v>990</v>
      </c>
    </row>
    <row r="45" customFormat="false" ht="15" hidden="false" customHeight="false" outlineLevel="0" collapsed="false">
      <c r="A45" s="12" t="s">
        <v>253</v>
      </c>
      <c r="B45" s="32" t="s">
        <v>169</v>
      </c>
      <c r="C45" s="25" t="n">
        <f aca="false">SUMIFS(C$5:C$41,$B$5:$B$41,B45,$A$5:$A$41,"&lt;&gt;Subtotal*")</f>
        <v>8847</v>
      </c>
      <c r="D45" s="20" t="n">
        <f aca="false">SUMIFS(D$5:D$41,$B$5:$B$41,B45,$A$5:$A$41,"&lt;&gt;Subtotal*")</f>
        <v>10143.624</v>
      </c>
      <c r="E45" s="24" t="n">
        <f aca="false">SUMIFS(E$5:E$41,$B$5:$B$41,B45,$A$5:$A$41,"&lt;&gt;Subtotal*")</f>
        <v>5680.42944</v>
      </c>
      <c r="F45" s="25" t="n">
        <f aca="false">SUMIFS(F$5:F$41,$B$5:$B$41,B45,$A$5:$A$41,"&lt;&gt;Subtotal*")</f>
        <v>1152</v>
      </c>
      <c r="G45" s="20" t="n">
        <f aca="false">SUMIFS(G$5:G$41,$B$5:$B$41,B45,$A$5:$A$41,"&lt;&gt;Subtotal*")</f>
        <v>10368</v>
      </c>
      <c r="H45" s="20" t="n">
        <f aca="false">SUMIFS(H$5:H$41,$B$5:$B$41,B45,$A$5:$A$41,"&lt;&gt;Subtotal*")</f>
        <v>10143.6219967074</v>
      </c>
      <c r="I45" s="20" t="n">
        <f aca="false">SUMIFS(I$5:I$41,$B$5:$B$41,B45,$A$5:$A$41,"&lt;&gt;Subtotal*")</f>
        <v>-0.00200329256819032</v>
      </c>
      <c r="J45" s="20" t="n">
        <f aca="false">SUMIFS(J$5:J$41,$B$5:$B$41,B45,$A$5:$A$41,"&lt;&gt;Subtotal*")</f>
        <v>224.378003292569</v>
      </c>
      <c r="K45" s="20" t="n">
        <f aca="false">SUMIFS(K$5:K$41,$B$5:$B$41,B45,$A$5:$A$41,"&lt;&gt;Subtotal*")</f>
        <v>16.9728641435121</v>
      </c>
      <c r="L45" s="23" t="n">
        <f aca="false">IF(G45&gt;0,J45/G45,0)</f>
        <v>0.0216413969225086</v>
      </c>
      <c r="M45" s="24" t="n">
        <f aca="false">SUMIFS(M$5:M$41,$B$5:$B$41,B45,$A$5:$A$41,"&lt;&gt;Subtotal*")</f>
        <v>5806.08</v>
      </c>
    </row>
    <row r="46" customFormat="false" ht="15" hidden="false" customHeight="false" outlineLevel="0" collapsed="false">
      <c r="A46" s="12" t="s">
        <v>253</v>
      </c>
      <c r="B46" s="32" t="s">
        <v>170</v>
      </c>
      <c r="C46" s="25" t="n">
        <f aca="false">SUMIFS(C$5:C$41,$B$5:$B$41,B46,$A$5:$A$41,"&lt;&gt;Subtotal*")</f>
        <v>372</v>
      </c>
      <c r="D46" s="20" t="n">
        <f aca="false">SUMIFS(D$5:D$41,$B$5:$B$41,B46,$A$5:$A$41,"&lt;&gt;Subtotal*")</f>
        <v>1344.145</v>
      </c>
      <c r="E46" s="24" t="n">
        <f aca="false">SUMIFS(E$5:E$41,$B$5:$B$41,B46,$A$5:$A$41,"&lt;&gt;Subtotal*")</f>
        <v>1336.08013</v>
      </c>
      <c r="F46" s="25" t="n">
        <f aca="false">SUMIFS(F$5:F$41,$B$5:$B$41,B46,$A$5:$A$41,"&lt;&gt;Subtotal*")</f>
        <v>171</v>
      </c>
      <c r="G46" s="20" t="n">
        <f aca="false">SUMIFS(G$5:G$41,$B$5:$B$41,B46,$A$5:$A$41,"&lt;&gt;Subtotal*")</f>
        <v>1539</v>
      </c>
      <c r="H46" s="20" t="n">
        <f aca="false">SUMIFS(H$5:H$41,$B$5:$B$41,B46,$A$5:$A$41,"&lt;&gt;Subtotal*")</f>
        <v>1344.14388257408</v>
      </c>
      <c r="I46" s="20" t="n">
        <f aca="false">SUMIFS(I$5:I$41,$B$5:$B$41,B46,$A$5:$A$41,"&lt;&gt;Subtotal*")</f>
        <v>-0.00111742592009989</v>
      </c>
      <c r="J46" s="20" t="n">
        <f aca="false">SUMIFS(J$5:J$41,$B$5:$B$41,B46,$A$5:$A$41,"&lt;&gt;Subtotal*")</f>
        <v>194.85611742592</v>
      </c>
      <c r="K46" s="20" t="n">
        <f aca="false">SUMIFS(K$5:K$41,$B$5:$B$41,B46,$A$5:$A$41,"&lt;&gt;Subtotal*")</f>
        <v>159.809081682988</v>
      </c>
      <c r="L46" s="23" t="n">
        <f aca="false">IF(G46&gt;0,J46/G46,0)</f>
        <v>0.126612162070124</v>
      </c>
      <c r="M46" s="24" t="n">
        <f aca="false">SUMIFS(M$5:M$41,$B$5:$B$41,B46,$A$5:$A$41,"&lt;&gt;Subtotal*")</f>
        <v>1529.766</v>
      </c>
    </row>
    <row r="47" customFormat="false" ht="15" hidden="false" customHeight="false" outlineLevel="0" collapsed="false">
      <c r="A47" s="12" t="s">
        <v>253</v>
      </c>
      <c r="B47" s="32" t="s">
        <v>171</v>
      </c>
      <c r="C47" s="25" t="n">
        <f aca="false">SUMIFS(C$5:C$41,$B$5:$B$41,B47,$A$5:$A$41,"&lt;&gt;Subtotal*")</f>
        <v>948</v>
      </c>
      <c r="D47" s="20" t="n">
        <f aca="false">SUMIFS(D$5:D$41,$B$5:$B$41,B47,$A$5:$A$41,"&lt;&gt;Subtotal*")</f>
        <v>2801.598</v>
      </c>
      <c r="E47" s="24" t="n">
        <f aca="false">SUMIFS(E$5:E$41,$B$5:$B$41,B47,$A$5:$A$41,"&lt;&gt;Subtotal*")</f>
        <v>4348.080096</v>
      </c>
      <c r="F47" s="25" t="n">
        <f aca="false">SUMIFS(F$5:F$41,$B$5:$B$41,B47,$A$5:$A$41,"&lt;&gt;Subtotal*")</f>
        <v>377</v>
      </c>
      <c r="G47" s="20" t="n">
        <f aca="false">SUMIFS(G$5:G$41,$B$5:$B$41,B47,$A$5:$A$41,"&lt;&gt;Subtotal*")</f>
        <v>3393</v>
      </c>
      <c r="H47" s="20" t="n">
        <f aca="false">SUMIFS(H$5:H$41,$B$5:$B$41,B47,$A$5:$A$41,"&lt;&gt;Subtotal*")</f>
        <v>2801.59834110187</v>
      </c>
      <c r="I47" s="20" t="n">
        <f aca="false">SUMIFS(I$5:I$41,$B$5:$B$41,B47,$A$5:$A$41,"&lt;&gt;Subtotal*")</f>
        <v>0.000341101874255401</v>
      </c>
      <c r="J47" s="20" t="n">
        <f aca="false">SUMIFS(J$5:J$41,$B$5:$B$41,B47,$A$5:$A$41,"&lt;&gt;Subtotal*")</f>
        <v>591.401658898126</v>
      </c>
      <c r="K47" s="20" t="n">
        <f aca="false">SUMIFS(K$5:K$41,$B$5:$B$41,B47,$A$5:$A$41,"&lt;&gt;Subtotal*")</f>
        <v>574.936026051065</v>
      </c>
      <c r="L47" s="23" t="n">
        <f aca="false">IF(G47&gt;0,J47/G47,0)</f>
        <v>0.174300518390252</v>
      </c>
      <c r="M47" s="24" t="n">
        <f aca="false">SUMIFS(M$5:M$41,$B$5:$B$41,B47,$A$5:$A$41,"&lt;&gt;Subtotal*")</f>
        <v>5265.936</v>
      </c>
    </row>
    <row r="48" customFormat="false" ht="15" hidden="false" customHeight="false" outlineLevel="0" collapsed="false">
      <c r="A48" s="12" t="s">
        <v>253</v>
      </c>
      <c r="B48" s="32" t="s">
        <v>172</v>
      </c>
      <c r="C48" s="25" t="n">
        <f aca="false">SUMIFS(C$5:C$41,$B$5:$B$41,B48,$A$5:$A$41,"&lt;&gt;Subtotal*")</f>
        <v>520</v>
      </c>
      <c r="D48" s="20" t="n">
        <f aca="false">SUMIFS(D$5:D$41,$B$5:$B$41,B48,$A$5:$A$41,"&lt;&gt;Subtotal*")</f>
        <v>2948.219</v>
      </c>
      <c r="E48" s="24" t="n">
        <f aca="false">SUMIFS(E$5:E$41,$B$5:$B$41,B48,$A$5:$A$41,"&lt;&gt;Subtotal*")</f>
        <v>6589.269465</v>
      </c>
      <c r="F48" s="25" t="n">
        <f aca="false">SUMIFS(F$5:F$41,$B$5:$B$41,B48,$A$5:$A$41,"&lt;&gt;Subtotal*")</f>
        <v>372</v>
      </c>
      <c r="G48" s="20" t="n">
        <f aca="false">SUMIFS(G$5:G$41,$B$5:$B$41,B48,$A$5:$A$41,"&lt;&gt;Subtotal*")</f>
        <v>3348</v>
      </c>
      <c r="H48" s="20" t="n">
        <f aca="false">SUMIFS(H$5:H$41,$B$5:$B$41,B48,$A$5:$A$41,"&lt;&gt;Subtotal*")</f>
        <v>2996.51834973638</v>
      </c>
      <c r="I48" s="20" t="n">
        <f aca="false">SUMIFS(I$5:I$41,$B$5:$B$41,B48,$A$5:$A$41,"&lt;&gt;Subtotal*")</f>
        <v>48.2993497363793</v>
      </c>
      <c r="J48" s="20" t="n">
        <f aca="false">SUMIFS(J$5:J$41,$B$5:$B$41,B48,$A$5:$A$41,"&lt;&gt;Subtotal*")</f>
        <v>351.481650263621</v>
      </c>
      <c r="K48" s="20" t="n">
        <f aca="false">SUMIFS(K$5:K$41,$B$5:$B$41,B48,$A$5:$A$41,"&lt;&gt;Subtotal*")</f>
        <v>270.128527311823</v>
      </c>
      <c r="L48" s="23" t="n">
        <f aca="false">IF(G48&gt;0,J48/G48,0)</f>
        <v>0.104982571763328</v>
      </c>
      <c r="M48" s="24" t="n">
        <f aca="false">SUMIFS(M$5:M$41,$B$5:$B$41,B48,$A$5:$A$41,"&lt;&gt;Subtotal*")</f>
        <v>7482.78</v>
      </c>
    </row>
    <row r="49" customFormat="false" ht="15" hidden="false" customHeight="false" outlineLevel="0" collapsed="false">
      <c r="A49" s="26" t="s">
        <v>254</v>
      </c>
      <c r="B49" s="27"/>
      <c r="C49" s="37" t="n">
        <f aca="false">SUM(C44:C48)</f>
        <v>11599</v>
      </c>
      <c r="D49" s="28" t="n">
        <f aca="false">SUM(D44:D48)</f>
        <v>20594.72</v>
      </c>
      <c r="E49" s="28" t="n">
        <f aca="false">SUM(E44:E48)</f>
        <v>18793.142631</v>
      </c>
      <c r="F49" s="37" t="n">
        <f aca="false">SUM(F44:F48)</f>
        <v>2512</v>
      </c>
      <c r="G49" s="28" t="n">
        <f aca="false">SUM(G44:G48)</f>
        <v>22608</v>
      </c>
      <c r="H49" s="28" t="n">
        <f aca="false">SUM(H44:H48)</f>
        <v>20643.0169493777</v>
      </c>
      <c r="I49" s="28" t="n">
        <f aca="false">SUM(I44:I48)</f>
        <v>48.2969493777182</v>
      </c>
      <c r="J49" s="28" t="n">
        <f aca="false">SUM(J44:J48)</f>
        <v>1964.98305062228</v>
      </c>
      <c r="K49" s="28" t="n">
        <f aca="false">SUM(K44:K48)</f>
        <v>1535.93943387944</v>
      </c>
      <c r="L49" s="38" t="n">
        <f aca="false">IF(G49&gt;0,J49/G49,0)</f>
        <v>0.0869153861740217</v>
      </c>
      <c r="M49" s="28" t="n">
        <f aca="false">SUM(M44:M48)</f>
        <v>21074.562</v>
      </c>
    </row>
    <row r="51" customFormat="false" ht="15" hidden="false" customHeight="false" outlineLevel="0" collapsed="false">
      <c r="A51" s="3" t="s">
        <v>255</v>
      </c>
    </row>
    <row r="52" customFormat="false" ht="30" hidden="false" customHeight="true" outlineLevel="0" collapsed="false">
      <c r="A52" s="4" t="s">
        <v>256</v>
      </c>
      <c r="B52" s="4" t="s">
        <v>257</v>
      </c>
      <c r="C52" s="4" t="s">
        <v>258</v>
      </c>
      <c r="D52" s="4" t="s">
        <v>259</v>
      </c>
      <c r="E52" s="4" t="s">
        <v>260</v>
      </c>
      <c r="F52" s="4" t="s">
        <v>261</v>
      </c>
    </row>
    <row r="53" customFormat="false" ht="15" hidden="false" customHeight="false" outlineLevel="0" collapsed="false">
      <c r="A53" s="5" t="s">
        <v>262</v>
      </c>
      <c r="B53" s="5" t="s">
        <v>169</v>
      </c>
      <c r="C53" s="9" t="n">
        <v>8847</v>
      </c>
      <c r="D53" s="25" t="n">
        <f aca="false">SUMIFS(C44:C48,B44:B48,B53)</f>
        <v>8847</v>
      </c>
      <c r="E53" s="25" t="n">
        <f aca="false">D53-C53</f>
        <v>0</v>
      </c>
      <c r="F53" s="12" t="str">
        <f aca="false">IF(ABS(E53)&lt;0.5,"OK","REVISAR")</f>
        <v>OK</v>
      </c>
    </row>
    <row r="54" customFormat="false" ht="15" hidden="false" customHeight="false" outlineLevel="0" collapsed="false">
      <c r="A54" s="5" t="s">
        <v>262</v>
      </c>
      <c r="B54" s="5" t="s">
        <v>171</v>
      </c>
      <c r="C54" s="9" t="n">
        <v>948</v>
      </c>
      <c r="D54" s="25" t="n">
        <f aca="false">SUMIFS(C44:C48,B44:B48,B54)</f>
        <v>948</v>
      </c>
      <c r="E54" s="25" t="n">
        <f aca="false">D54-C54</f>
        <v>0</v>
      </c>
      <c r="F54" s="12" t="str">
        <f aca="false">IF(ABS(E54)&lt;0.5,"OK","REVISAR")</f>
        <v>OK</v>
      </c>
    </row>
    <row r="55" customFormat="false" ht="15" hidden="false" customHeight="false" outlineLevel="0" collapsed="false">
      <c r="A55" s="5" t="s">
        <v>262</v>
      </c>
      <c r="B55" s="5" t="s">
        <v>168</v>
      </c>
      <c r="C55" s="9" t="n">
        <v>912</v>
      </c>
      <c r="D55" s="25" t="n">
        <f aca="false">SUMIFS(C44:C48,B44:B48,B55)</f>
        <v>912</v>
      </c>
      <c r="E55" s="25" t="n">
        <f aca="false">D55-C55</f>
        <v>0</v>
      </c>
      <c r="F55" s="12" t="str">
        <f aca="false">IF(ABS(E55)&lt;0.5,"OK","REVISAR")</f>
        <v>OK</v>
      </c>
    </row>
    <row r="56" customFormat="false" ht="15" hidden="false" customHeight="false" outlineLevel="0" collapsed="false">
      <c r="A56" s="5" t="s">
        <v>262</v>
      </c>
      <c r="B56" s="5" t="s">
        <v>172</v>
      </c>
      <c r="C56" s="9" t="n">
        <v>520</v>
      </c>
      <c r="D56" s="25" t="n">
        <f aca="false">SUMIFS(C44:C48,B44:B48,B56)</f>
        <v>520</v>
      </c>
      <c r="E56" s="25" t="n">
        <f aca="false">D56-C56</f>
        <v>0</v>
      </c>
      <c r="F56" s="12" t="str">
        <f aca="false">IF(ABS(E56)&lt;0.5,"OK","REVISAR")</f>
        <v>OK</v>
      </c>
    </row>
    <row r="57" customFormat="false" ht="15" hidden="false" customHeight="false" outlineLevel="0" collapsed="false">
      <c r="A57" s="5" t="s">
        <v>262</v>
      </c>
      <c r="B57" s="5" t="s">
        <v>170</v>
      </c>
      <c r="C57" s="9" t="n">
        <v>372</v>
      </c>
      <c r="D57" s="25" t="n">
        <f aca="false">SUMIFS(C44:C48,B44:B48,B57)</f>
        <v>372</v>
      </c>
      <c r="E57" s="25" t="n">
        <f aca="false">D57-C57</f>
        <v>0</v>
      </c>
      <c r="F57" s="12" t="str">
        <f aca="false">IF(ABS(E57)&lt;0.5,"OK","REVISAR")</f>
        <v>OK</v>
      </c>
    </row>
    <row r="58" customFormat="false" ht="15" hidden="false" customHeight="false" outlineLevel="0" collapsed="false">
      <c r="A58" s="5" t="s">
        <v>263</v>
      </c>
      <c r="B58" s="5" t="s">
        <v>72</v>
      </c>
      <c r="C58" s="9" t="n">
        <v>580</v>
      </c>
      <c r="D58" s="24" t="n">
        <f aca="false">SUMIFS('DATOS MODELO'!$E$232:$E$279,'DATOS MODELO'!$A$232:$A$279,"CIMENTACIÓN",'DATOS MODELO'!$B$232:$B$279,"Vigas de conexión",'DATOS MODELO'!$C$232:$C$279,"3/4")</f>
        <v>579.716</v>
      </c>
      <c r="E58" s="24" t="n">
        <f aca="false">D58-C58</f>
        <v>-0.283999999999992</v>
      </c>
      <c r="F58" s="12" t="str">
        <f aca="false">IF(ABS(E58)&lt;=1,"OK","REVISAR")</f>
        <v>OK</v>
      </c>
    </row>
    <row r="59" customFormat="false" ht="15" hidden="false" customHeight="false" outlineLevel="0" collapsed="false">
      <c r="A59" s="5" t="s">
        <v>263</v>
      </c>
      <c r="B59" s="5" t="s">
        <v>264</v>
      </c>
      <c r="C59" s="9" t="n">
        <v>721</v>
      </c>
      <c r="D59" s="24" t="n">
        <f aca="false">SUMIFS('DATOS MODELO'!$E$232:$E$279,'DATOS MODELO'!$A$232:$A$279,"NIVEL 2",'DATOS MODELO'!$B$232:$B$279,"Vigas",'DATOS MODELO'!$C$232:$C$279,"3/4")</f>
        <v>721.345</v>
      </c>
      <c r="E59" s="24" t="n">
        <f aca="false">D59-C59</f>
        <v>0.345000000000027</v>
      </c>
      <c r="F59" s="12" t="str">
        <f aca="false">IF(ABS(E59)&lt;=1,"OK","REVISAR")</f>
        <v>OK</v>
      </c>
    </row>
    <row r="60" customFormat="false" ht="15" hidden="false" customHeight="false" outlineLevel="0" collapsed="false">
      <c r="A60" s="5" t="s">
        <v>263</v>
      </c>
      <c r="B60" s="5" t="s">
        <v>265</v>
      </c>
      <c r="C60" s="9" t="n">
        <v>561</v>
      </c>
      <c r="D60" s="24" t="n">
        <f aca="false">SUMIFS('DATOS MODELO'!$E$232:$E$279,'DATOS MODELO'!$A$232:$A$279,"NIVEL 3",'DATOS MODELO'!$B$232:$B$279,"Vigas",'DATOS MODELO'!$C$232:$C$279,"3/4")</f>
        <v>560.78</v>
      </c>
      <c r="E60" s="24" t="n">
        <f aca="false">D60-C60</f>
        <v>-0.220000000000027</v>
      </c>
      <c r="F60" s="12" t="str">
        <f aca="false">IF(ABS(E60)&lt;=1,"OK","REVISAR")</f>
        <v>OK</v>
      </c>
    </row>
    <row r="61" customFormat="false" ht="15" hidden="false" customHeight="false" outlineLevel="0" collapsed="false">
      <c r="A61" s="5" t="s">
        <v>263</v>
      </c>
      <c r="B61" s="5" t="s">
        <v>266</v>
      </c>
      <c r="C61" s="9" t="n">
        <v>549</v>
      </c>
      <c r="D61" s="24" t="n">
        <f aca="false">SUMIFS('DATOS MODELO'!$E$232:$E$279,'DATOS MODELO'!$A$232:$A$279,"NIVEL 4",'DATOS MODELO'!$B$232:$B$279,"Vigas",'DATOS MODELO'!$C$232:$C$279,"3/4")</f>
        <v>548.913</v>
      </c>
      <c r="E61" s="24" t="n">
        <f aca="false">D61-C61</f>
        <v>-0.0869999999999891</v>
      </c>
      <c r="F61" s="12" t="str">
        <f aca="false">IF(ABS(E61)&lt;=1,"OK","REVISAR")</f>
        <v>OK</v>
      </c>
    </row>
    <row r="62" customFormat="false" ht="15" hidden="false" customHeight="false" outlineLevel="0" collapsed="false">
      <c r="A62" s="5" t="s">
        <v>263</v>
      </c>
      <c r="B62" s="5" t="s">
        <v>267</v>
      </c>
      <c r="C62" s="9" t="n">
        <v>538</v>
      </c>
      <c r="D62" s="24" t="n">
        <f aca="false">SUMIFS('DATOS MODELO'!$E$232:$E$279,'DATOS MODELO'!$A$232:$A$279,"NIVEL 5",'DATOS MODELO'!$B$232:$B$279,"Vigas",'DATOS MODELO'!$C$232:$C$279,"3/4")</f>
        <v>537.465</v>
      </c>
      <c r="E62" s="24" t="n">
        <f aca="false">D62-C62</f>
        <v>-0.534999999999968</v>
      </c>
      <c r="F62" s="12" t="str">
        <f aca="false">IF(ABS(E62)&lt;=1,"OK","REVISAR")</f>
        <v>OK</v>
      </c>
    </row>
    <row r="63" customFormat="false" ht="15" hidden="false" customHeight="false" outlineLevel="0" collapsed="false">
      <c r="A63" s="5" t="s">
        <v>268</v>
      </c>
      <c r="B63" s="5" t="s">
        <v>269</v>
      </c>
      <c r="C63" s="9" t="n">
        <v>2948</v>
      </c>
      <c r="D63" s="24" t="n">
        <f aca="false">SUMIFS('DATOS MODELO'!$E$232:$E$279,'DATOS MODELO'!$C$232:$C$279,"3/4")</f>
        <v>2948.219</v>
      </c>
      <c r="E63" s="24" t="n">
        <f aca="false">D63-C63</f>
        <v>0.219000000000051</v>
      </c>
      <c r="F63" s="12" t="str">
        <f aca="false">IF(ABS(E63)&lt;=1,"OK","REVISAR")</f>
        <v>OK</v>
      </c>
    </row>
  </sheetData>
  <conditionalFormatting sqref="F53:F63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"REVISAR"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30"/>
    <col collapsed="false" customWidth="true" hidden="false" outlineLevel="0" max="4" min="4" style="0" width="12"/>
    <col collapsed="false" customWidth="true" hidden="false" outlineLevel="0" max="7" min="5" style="0" width="13"/>
    <col collapsed="false" customWidth="true" hidden="false" outlineLevel="0" max="8" min="8" style="0" width="15"/>
    <col collapsed="false" customWidth="true" hidden="false" outlineLevel="0" max="9" min="9" style="0" width="14"/>
    <col collapsed="false" customWidth="true" hidden="false" outlineLevel="0" max="10" min="10" style="0" width="34"/>
  </cols>
  <sheetData>
    <row r="1" customFormat="false" ht="17.35" hidden="false" customHeight="false" outlineLevel="0" collapsed="false">
      <c r="A1" s="1" t="s">
        <v>270</v>
      </c>
    </row>
    <row r="2" customFormat="false" ht="15" hidden="false" customHeight="false" outlineLevel="0" collapsed="false">
      <c r="A2" s="2" t="s">
        <v>271</v>
      </c>
    </row>
    <row r="4" customFormat="false" ht="15" hidden="false" customHeight="false" outlineLevel="0" collapsed="false">
      <c r="A4" s="3" t="s">
        <v>272</v>
      </c>
    </row>
    <row r="5" customFormat="false" ht="36" hidden="false" customHeight="true" outlineLevel="0" collapsed="false">
      <c r="A5" s="4"/>
      <c r="B5" s="4" t="s">
        <v>112</v>
      </c>
      <c r="C5" s="4" t="s">
        <v>107</v>
      </c>
      <c r="D5" s="4" t="s">
        <v>108</v>
      </c>
      <c r="E5" s="4" t="s">
        <v>273</v>
      </c>
      <c r="F5" s="4" t="s">
        <v>274</v>
      </c>
      <c r="G5" s="4" t="s">
        <v>275</v>
      </c>
      <c r="H5" s="4" t="s">
        <v>276</v>
      </c>
      <c r="I5" s="4" t="s">
        <v>277</v>
      </c>
      <c r="J5" s="4" t="s">
        <v>278</v>
      </c>
    </row>
    <row r="6" customFormat="false" ht="15" hidden="false" customHeight="false" outlineLevel="0" collapsed="false">
      <c r="B6" s="39" t="str">
        <f aca="false">INDEX(PARÁMETROS!$F$70:$F$89,MATCH(C6,PARÁMETROS!$A$70:$A$89,0))</f>
        <v>Concreto</v>
      </c>
      <c r="C6" s="12" t="s">
        <v>114</v>
      </c>
      <c r="D6" s="39" t="str">
        <f aca="false">INDEX(PARÁMETROS!$B$70:$B$89,MATCH(C6,PARÁMETROS!$A$70:$A$89,0))</f>
        <v>bolsa</v>
      </c>
      <c r="E6" s="20" t="n">
        <f aca="false">SUMIFS($E$38:$E$182,$C$38:$C$182,C6)</f>
        <v>1547.74513974883</v>
      </c>
      <c r="F6" s="15" t="n">
        <f aca="false">SUMIFS($F$38:$F$182,$C$38:$C$182,C6)</f>
        <v>1552</v>
      </c>
      <c r="G6" s="40" t="n">
        <f aca="false">INDEX(PARÁMETROS!$C$70:$C$89,MATCH(C6,PARÁMETROS!$A$70:$A$89,0))</f>
        <v>27</v>
      </c>
      <c r="H6" s="41" t="n">
        <f aca="false">SUMIFS($H$38:$H$182,$C$38:$C$182,C6)</f>
        <v>41904</v>
      </c>
      <c r="I6" s="24" t="str">
        <f aca="false">IF(SUMIFS($I$38:$I$182,$C$38:$C$182,C6)=0,"",SUMIFS($I$38:$I$182,$C$38:$C$182,C6))</f>
        <v/>
      </c>
      <c r="J6" s="23" t="n">
        <f aca="false">IF($H$26&gt;0,H6/$H$26,0)</f>
        <v>0.24519054050401</v>
      </c>
    </row>
    <row r="7" customFormat="false" ht="15" hidden="false" customHeight="false" outlineLevel="0" collapsed="false">
      <c r="B7" s="39" t="str">
        <f aca="false">INDEX(PARÁMETROS!$F$70:$F$89,MATCH(C7,PARÁMETROS!$A$70:$A$89,0))</f>
        <v>Concreto</v>
      </c>
      <c r="C7" s="12" t="s">
        <v>119</v>
      </c>
      <c r="D7" s="39" t="str">
        <f aca="false">INDEX(PARÁMETROS!$B$70:$B$89,MATCH(C7,PARÁMETROS!$A$70:$A$89,0))</f>
        <v>m³</v>
      </c>
      <c r="E7" s="20" t="n">
        <f aca="false">SUMIFS($E$38:$E$182,$C$38:$C$182,C7)</f>
        <v>85.2699331960176</v>
      </c>
      <c r="F7" s="42" t="n">
        <f aca="false">SUMIFS($F$38:$F$182,$C$38:$C$182,C7)</f>
        <v>86.5</v>
      </c>
      <c r="G7" s="40" t="n">
        <f aca="false">INDEX(PARÁMETROS!$C$70:$C$89,MATCH(C7,PARÁMETROS!$A$70:$A$89,0))</f>
        <v>70</v>
      </c>
      <c r="H7" s="41" t="n">
        <f aca="false">SUMIFS($H$38:$H$182,$C$38:$C$182,C7)</f>
        <v>6055</v>
      </c>
      <c r="I7" s="24" t="str">
        <f aca="false">IF(SUMIFS($I$38:$I$182,$C$38:$C$182,C7)=0,"",SUMIFS($I$38:$I$182,$C$38:$C$182,C7))</f>
        <v/>
      </c>
      <c r="J7" s="23" t="n">
        <f aca="false">IF($H$26&gt;0,H7/$H$26,0)</f>
        <v>0.035429284143561</v>
      </c>
    </row>
    <row r="8" customFormat="false" ht="15" hidden="false" customHeight="false" outlineLevel="0" collapsed="false">
      <c r="B8" s="39" t="str">
        <f aca="false">INDEX(PARÁMETROS!$F$70:$F$89,MATCH(C8,PARÁMETROS!$A$70:$A$89,0))</f>
        <v>Concreto</v>
      </c>
      <c r="C8" s="12" t="s">
        <v>123</v>
      </c>
      <c r="D8" s="39" t="str">
        <f aca="false">INDEX(PARÁMETROS!$B$70:$B$89,MATCH(C8,PARÁMETROS!$A$70:$A$89,0))</f>
        <v>m³</v>
      </c>
      <c r="E8" s="20" t="n">
        <f aca="false">SUMIFS($E$38:$E$182,$C$38:$C$182,C8)</f>
        <v>87.5656448100975</v>
      </c>
      <c r="F8" s="42" t="n">
        <f aca="false">SUMIFS($F$38:$F$182,$C$38:$C$182,C8)</f>
        <v>90</v>
      </c>
      <c r="G8" s="40" t="n">
        <f aca="false">INDEX(PARÁMETROS!$C$70:$C$89,MATCH(C8,PARÁMETROS!$A$70:$A$89,0))</f>
        <v>80</v>
      </c>
      <c r="H8" s="41" t="n">
        <f aca="false">SUMIFS($H$38:$H$182,$C$38:$C$182,C8)</f>
        <v>7200</v>
      </c>
      <c r="I8" s="24" t="str">
        <f aca="false">IF(SUMIFS($I$38:$I$182,$C$38:$C$182,C8)=0,"",SUMIFS($I$38:$I$182,$C$38:$C$182,C8))</f>
        <v/>
      </c>
      <c r="J8" s="23" t="n">
        <f aca="false">IF($H$26&gt;0,H8/$H$26,0)</f>
        <v>0.0421289588494862</v>
      </c>
    </row>
    <row r="9" customFormat="false" ht="15" hidden="false" customHeight="false" outlineLevel="0" collapsed="false">
      <c r="B9" s="39" t="str">
        <f aca="false">INDEX(PARÁMETROS!$F$70:$F$89,MATCH(C9,PARÁMETROS!$A$70:$A$89,0))</f>
        <v>Concreto</v>
      </c>
      <c r="C9" s="12" t="s">
        <v>125</v>
      </c>
      <c r="D9" s="39" t="str">
        <f aca="false">INDEX(PARÁMETROS!$B$70:$B$89,MATCH(C9,PARÁMETROS!$A$70:$A$89,0))</f>
        <v>m³</v>
      </c>
      <c r="E9" s="20" t="n">
        <f aca="false">SUMIFS($E$38:$E$182,$C$38:$C$182,C9)</f>
        <v>30.3123490686938</v>
      </c>
      <c r="F9" s="42" t="n">
        <f aca="false">SUMIFS($F$38:$F$182,$C$38:$C$182,C9)</f>
        <v>32.5</v>
      </c>
      <c r="G9" s="40" t="n">
        <f aca="false">INDEX(PARÁMETROS!$C$70:$C$89,MATCH(C9,PARÁMETROS!$A$70:$A$89,0))</f>
        <v>7</v>
      </c>
      <c r="H9" s="41" t="n">
        <f aca="false">SUMIFS($H$38:$H$182,$C$38:$C$182,C9)</f>
        <v>227.5</v>
      </c>
      <c r="I9" s="24" t="str">
        <f aca="false">IF(SUMIFS($I$38:$I$182,$C$38:$C$182,C9)=0,"",SUMIFS($I$38:$I$182,$C$38:$C$182,C9))</f>
        <v/>
      </c>
      <c r="J9" s="23" t="n">
        <f aca="false">IF($H$26&gt;0,H9/$H$26,0)</f>
        <v>0.00133115807475807</v>
      </c>
    </row>
    <row r="10" customFormat="false" ht="15" hidden="false" customHeight="false" outlineLevel="0" collapsed="false">
      <c r="B10" s="39" t="str">
        <f aca="false">INDEX(PARÁMETROS!$F$70:$F$89,MATCH(C10,PARÁMETROS!$A$70:$A$89,0))</f>
        <v>Concreto</v>
      </c>
      <c r="C10" s="12" t="s">
        <v>128</v>
      </c>
      <c r="D10" s="39" t="str">
        <f aca="false">INDEX(PARÁMETROS!$B$70:$B$89,MATCH(C10,PARÁMETROS!$A$70:$A$89,0))</f>
        <v>und</v>
      </c>
      <c r="E10" s="20" t="n">
        <f aca="false">SUMIFS($E$38:$E$182,$C$38:$C$182,C10)</f>
        <v>596.335666666667</v>
      </c>
      <c r="F10" s="15" t="n">
        <f aca="false">SUMIFS($F$38:$F$182,$C$38:$C$182,C10)</f>
        <v>600</v>
      </c>
      <c r="G10" s="40" t="n">
        <f aca="false">INDEX(PARÁMETROS!$C$70:$C$89,MATCH(C10,PARÁMETROS!$A$70:$A$89,0))</f>
        <v>12.9</v>
      </c>
      <c r="H10" s="41" t="n">
        <f aca="false">SUMIFS($H$38:$H$182,$C$38:$C$182,C10)</f>
        <v>7740</v>
      </c>
      <c r="I10" s="24" t="str">
        <f aca="false">IF(SUMIFS($I$38:$I$182,$C$38:$C$182,C10)=0,"",SUMIFS($I$38:$I$182,$C$38:$C$182,C10))</f>
        <v/>
      </c>
      <c r="J10" s="23" t="n">
        <f aca="false">IF($H$26&gt;0,H10/$H$26,0)</f>
        <v>0.0452886307631977</v>
      </c>
    </row>
    <row r="11" customFormat="false" ht="15" hidden="false" customHeight="false" outlineLevel="0" collapsed="false">
      <c r="B11" s="39" t="str">
        <f aca="false">INDEX(PARÁMETROS!$F$70:$F$89,MATCH(C11,PARÁMETROS!$A$70:$A$89,0))</f>
        <v>Acero</v>
      </c>
      <c r="C11" s="12" t="s">
        <v>132</v>
      </c>
      <c r="D11" s="39" t="str">
        <f aca="false">INDEX(PARÁMETROS!$B$70:$B$89,MATCH(C11,PARÁMETROS!$A$70:$A$89,0))</f>
        <v>und</v>
      </c>
      <c r="E11" s="20" t="n">
        <f aca="false">SUMIFS($E$38:$E$182,$C$38:$C$182,C11)</f>
        <v>440</v>
      </c>
      <c r="F11" s="15" t="n">
        <f aca="false">SUMIFS($F$38:$F$182,$C$38:$C$182,C11)</f>
        <v>440</v>
      </c>
      <c r="G11" s="40" t="n">
        <f aca="false">INDEX(PARÁMETROS!$C$70:$C$89,MATCH(C11,PARÁMETROS!$A$70:$A$89,0))</f>
        <v>9.5</v>
      </c>
      <c r="H11" s="41" t="n">
        <f aca="false">SUMIFS($H$38:$H$182,$C$38:$C$182,C11)</f>
        <v>4180</v>
      </c>
      <c r="I11" s="24" t="n">
        <f aca="false">IF(SUMIFS($I$38:$I$182,$C$38:$C$182,C11)=0,"",SUMIFS($I$38:$I$182,$C$38:$C$182,C11))</f>
        <v>990</v>
      </c>
      <c r="J11" s="23" t="n">
        <f aca="false">IF($H$26&gt;0,H11/$H$26,0)</f>
        <v>0.0244582011098406</v>
      </c>
    </row>
    <row r="12" customFormat="false" ht="15" hidden="false" customHeight="false" outlineLevel="0" collapsed="false">
      <c r="B12" s="39" t="str">
        <f aca="false">INDEX(PARÁMETROS!$F$70:$F$89,MATCH(C12,PARÁMETROS!$A$70:$A$89,0))</f>
        <v>Acero</v>
      </c>
      <c r="C12" s="12" t="s">
        <v>136</v>
      </c>
      <c r="D12" s="39" t="str">
        <f aca="false">INDEX(PARÁMETROS!$B$70:$B$89,MATCH(C12,PARÁMETROS!$A$70:$A$89,0))</f>
        <v>und</v>
      </c>
      <c r="E12" s="20" t="n">
        <f aca="false">SUMIFS($E$38:$E$182,$C$38:$C$182,C12)</f>
        <v>1152</v>
      </c>
      <c r="F12" s="15" t="n">
        <f aca="false">SUMIFS($F$38:$F$182,$C$38:$C$182,C12)</f>
        <v>1152</v>
      </c>
      <c r="G12" s="40" t="n">
        <f aca="false">INDEX(PARÁMETROS!$C$70:$C$89,MATCH(C12,PARÁMETROS!$A$70:$A$89,0))</f>
        <v>20.13</v>
      </c>
      <c r="H12" s="41" t="n">
        <f aca="false">SUMIFS($H$38:$H$182,$C$38:$C$182,C12)</f>
        <v>23189.76</v>
      </c>
      <c r="I12" s="24" t="n">
        <f aca="false">IF(SUMIFS($I$38:$I$182,$C$38:$C$182,C12)=0,"",SUMIFS($I$38:$I$182,$C$38:$C$182,C12))</f>
        <v>5806.08</v>
      </c>
      <c r="J12" s="23" t="n">
        <f aca="false">IF($H$26&gt;0,H12/$H$26,0)</f>
        <v>0.135688950662425</v>
      </c>
    </row>
    <row r="13" customFormat="false" ht="15" hidden="false" customHeight="false" outlineLevel="0" collapsed="false">
      <c r="B13" s="39" t="str">
        <f aca="false">INDEX(PARÁMETROS!$F$70:$F$89,MATCH(C13,PARÁMETROS!$A$70:$A$89,0))</f>
        <v>Acero</v>
      </c>
      <c r="C13" s="12" t="s">
        <v>138</v>
      </c>
      <c r="D13" s="39" t="str">
        <f aca="false">INDEX(PARÁMETROS!$B$70:$B$89,MATCH(C13,PARÁMETROS!$A$70:$A$89,0))</f>
        <v>und</v>
      </c>
      <c r="E13" s="20" t="n">
        <f aca="false">SUMIFS($E$38:$E$182,$C$38:$C$182,C13)</f>
        <v>171</v>
      </c>
      <c r="F13" s="15" t="n">
        <f aca="false">SUMIFS($F$38:$F$182,$C$38:$C$182,C13)</f>
        <v>171</v>
      </c>
      <c r="G13" s="40" t="n">
        <f aca="false">INDEX(PARÁMETROS!$C$70:$C$89,MATCH(C13,PARÁMETROS!$A$70:$A$89,0))</f>
        <v>36.09</v>
      </c>
      <c r="H13" s="41" t="n">
        <f aca="false">SUMIFS($H$38:$H$182,$C$38:$C$182,C13)</f>
        <v>6171.39</v>
      </c>
      <c r="I13" s="24" t="n">
        <f aca="false">IF(SUMIFS($I$38:$I$182,$C$38:$C$182,C13)=0,"",SUMIFS($I$38:$I$182,$C$38:$C$182,C13))</f>
        <v>1529.766</v>
      </c>
      <c r="J13" s="23" t="n">
        <f aca="false">IF($H$26&gt;0,H13/$H$26,0)</f>
        <v>0.0361103104658515</v>
      </c>
    </row>
    <row r="14" customFormat="false" ht="15" hidden="false" customHeight="false" outlineLevel="0" collapsed="false">
      <c r="B14" s="39" t="str">
        <f aca="false">INDEX(PARÁMETROS!$F$70:$F$89,MATCH(C14,PARÁMETROS!$A$70:$A$89,0))</f>
        <v>Acero</v>
      </c>
      <c r="C14" s="12" t="s">
        <v>139</v>
      </c>
      <c r="D14" s="39" t="str">
        <f aca="false">INDEX(PARÁMETROS!$B$70:$B$89,MATCH(C14,PARÁMETROS!$A$70:$A$89,0))</f>
        <v>und</v>
      </c>
      <c r="E14" s="20" t="n">
        <f aca="false">SUMIFS($E$38:$E$182,$C$38:$C$182,C14)</f>
        <v>377</v>
      </c>
      <c r="F14" s="15" t="n">
        <f aca="false">SUMIFS($F$38:$F$182,$C$38:$C$182,C14)</f>
        <v>377</v>
      </c>
      <c r="G14" s="40" t="n">
        <f aca="false">INDEX(PARÁMETROS!$C$70:$C$89,MATCH(C14,PARÁMETROS!$A$70:$A$89,0))</f>
        <v>55.82</v>
      </c>
      <c r="H14" s="41" t="n">
        <f aca="false">SUMIFS($H$38:$H$182,$C$38:$C$182,C14)</f>
        <v>21044.14</v>
      </c>
      <c r="I14" s="24" t="n">
        <f aca="false">IF(SUMIFS($I$38:$I$182,$C$38:$C$182,C14)=0,"",SUMIFS($I$38:$I$182,$C$38:$C$182,C14))</f>
        <v>5265.936</v>
      </c>
      <c r="J14" s="23" t="n">
        <f aca="false">IF($H$26&gt;0,H14/$H$26,0)</f>
        <v>0.123134403900393</v>
      </c>
    </row>
    <row r="15" customFormat="false" ht="15" hidden="false" customHeight="false" outlineLevel="0" collapsed="false">
      <c r="B15" s="39" t="str">
        <f aca="false">INDEX(PARÁMETROS!$F$70:$F$89,MATCH(C15,PARÁMETROS!$A$70:$A$89,0))</f>
        <v>Acero</v>
      </c>
      <c r="C15" s="12" t="s">
        <v>140</v>
      </c>
      <c r="D15" s="39" t="str">
        <f aca="false">INDEX(PARÁMETROS!$B$70:$B$89,MATCH(C15,PARÁMETROS!$A$70:$A$89,0))</f>
        <v>und</v>
      </c>
      <c r="E15" s="20" t="n">
        <f aca="false">SUMIFS($E$38:$E$182,$C$38:$C$182,C15)</f>
        <v>372</v>
      </c>
      <c r="F15" s="15" t="n">
        <f aca="false">SUMIFS($F$38:$F$182,$C$38:$C$182,C15)</f>
        <v>372</v>
      </c>
      <c r="G15" s="40" t="n">
        <f aca="false">INDEX(PARÁMETROS!$C$70:$C$89,MATCH(C15,PARÁMETROS!$A$70:$A$89,0))</f>
        <v>82.09</v>
      </c>
      <c r="H15" s="41" t="n">
        <f aca="false">SUMIFS($H$38:$H$182,$C$38:$C$182,C15)</f>
        <v>30537.48</v>
      </c>
      <c r="I15" s="24" t="n">
        <f aca="false">IF(SUMIFS($I$38:$I$182,$C$38:$C$182,C15)=0,"",SUMIFS($I$38:$I$182,$C$38:$C$182,C15))</f>
        <v>7482.78</v>
      </c>
      <c r="J15" s="23" t="n">
        <f aca="false">IF($H$26&gt;0,H15/$H$26,0)</f>
        <v>0.17868225531764</v>
      </c>
    </row>
    <row r="16" customFormat="false" ht="15" hidden="false" customHeight="false" outlineLevel="0" collapsed="false">
      <c r="B16" s="39" t="str">
        <f aca="false">INDEX(PARÁMETROS!$F$70:$F$89,MATCH(C16,PARÁMETROS!$A$70:$A$89,0))</f>
        <v>Acero</v>
      </c>
      <c r="C16" s="12" t="s">
        <v>141</v>
      </c>
      <c r="D16" s="39" t="str">
        <f aca="false">INDEX(PARÁMETROS!$B$70:$B$89,MATCH(C16,PARÁMETROS!$A$70:$A$89,0))</f>
        <v>kg</v>
      </c>
      <c r="E16" s="20" t="n">
        <f aca="false">SUMIFS($E$38:$E$182,$C$38:$C$182,C16)</f>
        <v>563.79427893</v>
      </c>
      <c r="F16" s="15" t="n">
        <f aca="false">SUMIFS($F$38:$F$182,$C$38:$C$182,C16)</f>
        <v>567</v>
      </c>
      <c r="G16" s="40" t="n">
        <f aca="false">INDEX(PARÁMETROS!$C$70:$C$89,MATCH(C16,PARÁMETROS!$A$70:$A$89,0))</f>
        <v>3.65</v>
      </c>
      <c r="H16" s="41" t="n">
        <f aca="false">SUMIFS($H$38:$H$182,$C$38:$C$182,C16)</f>
        <v>2069.55</v>
      </c>
      <c r="I16" s="24" t="n">
        <f aca="false">IF(SUMIFS($I$38:$I$182,$C$38:$C$182,C16)=0,"",SUMIFS($I$38:$I$182,$C$38:$C$182,C16))</f>
        <v>567</v>
      </c>
      <c r="J16" s="23" t="n">
        <f aca="false">IF($H$26&gt;0,H16/$H$26,0)</f>
        <v>0.0121094426092992</v>
      </c>
    </row>
    <row r="17" customFormat="false" ht="15" hidden="false" customHeight="false" outlineLevel="0" collapsed="false">
      <c r="B17" s="39" t="str">
        <f aca="false">INDEX(PARÁMETROS!$F$70:$F$89,MATCH(C17,PARÁMETROS!$A$70:$A$89,0))</f>
        <v>Acero</v>
      </c>
      <c r="C17" s="12" t="s">
        <v>144</v>
      </c>
      <c r="D17" s="39" t="str">
        <f aca="false">INDEX(PARÁMETROS!$B$70:$B$89,MATCH(C17,PARÁMETROS!$A$70:$A$89,0))</f>
        <v>und</v>
      </c>
      <c r="E17" s="20" t="n">
        <f aca="false">SUMIFS($E$38:$E$182,$C$38:$C$182,C17)</f>
        <v>77.3266666666667</v>
      </c>
      <c r="F17" s="15" t="n">
        <f aca="false">SUMIFS($F$38:$F$182,$C$38:$C$182,C17)</f>
        <v>83</v>
      </c>
      <c r="G17" s="40" t="n">
        <f aca="false">INDEX(PARÁMETROS!$C$70:$C$89,MATCH(C17,PARÁMETROS!$A$70:$A$89,0))</f>
        <v>12</v>
      </c>
      <c r="H17" s="41" t="n">
        <f aca="false">SUMIFS($H$38:$H$182,$C$38:$C$182,C17)</f>
        <v>996</v>
      </c>
      <c r="I17" s="24" t="str">
        <f aca="false">IF(SUMIFS($I$38:$I$182,$C$38:$C$182,C17)=0,"",SUMIFS($I$38:$I$182,$C$38:$C$182,C17))</f>
        <v/>
      </c>
      <c r="J17" s="23" t="n">
        <f aca="false">IF($H$26&gt;0,H17/$H$26,0)</f>
        <v>0.00582783930751226</v>
      </c>
    </row>
    <row r="18" customFormat="false" ht="15" hidden="false" customHeight="false" outlineLevel="0" collapsed="false">
      <c r="B18" s="39" t="str">
        <f aca="false">INDEX(PARÁMETROS!$F$70:$F$89,MATCH(C18,PARÁMETROS!$A$70:$A$89,0))</f>
        <v>Acero</v>
      </c>
      <c r="C18" s="12" t="s">
        <v>146</v>
      </c>
      <c r="D18" s="39" t="str">
        <f aca="false">INDEX(PARÁMETROS!$B$70:$B$89,MATCH(C18,PARÁMETROS!$A$70:$A$89,0))</f>
        <v>und</v>
      </c>
      <c r="E18" s="20" t="n">
        <f aca="false">SUMIFS($E$38:$E$182,$C$38:$C$182,C18)</f>
        <v>2274.4252555806</v>
      </c>
      <c r="F18" s="15" t="n">
        <f aca="false">SUMIFS($F$38:$F$182,$C$38:$C$182,C18)</f>
        <v>2277</v>
      </c>
      <c r="G18" s="40" t="n">
        <f aca="false">INDEX(PARÁMETROS!$C$70:$C$89,MATCH(C18,PARÁMETROS!$A$70:$A$89,0))</f>
        <v>0.5</v>
      </c>
      <c r="H18" s="41" t="n">
        <f aca="false">SUMIFS($H$38:$H$182,$C$38:$C$182,C18)</f>
        <v>1138.5</v>
      </c>
      <c r="I18" s="24" t="str">
        <f aca="false">IF(SUMIFS($I$38:$I$182,$C$38:$C$182,C18)=0,"",SUMIFS($I$38:$I$182,$C$38:$C$182,C18))</f>
        <v/>
      </c>
      <c r="J18" s="23" t="n">
        <f aca="false">IF($H$26&gt;0,H18/$H$26,0)</f>
        <v>0.00666164161807501</v>
      </c>
    </row>
    <row r="19" customFormat="false" ht="15" hidden="false" customHeight="false" outlineLevel="0" collapsed="false">
      <c r="B19" s="39" t="str">
        <f aca="false">INDEX(PARÁMETROS!$F$70:$F$89,MATCH(C19,PARÁMETROS!$A$70:$A$89,0))</f>
        <v>Encofrado</v>
      </c>
      <c r="C19" s="12" t="s">
        <v>148</v>
      </c>
      <c r="D19" s="39" t="str">
        <f aca="false">INDEX(PARÁMETROS!$B$70:$B$89,MATCH(C19,PARÁMETROS!$A$70:$A$89,0))</f>
        <v>p²</v>
      </c>
      <c r="E19" s="20" t="n">
        <f aca="false">SUMIFS($E$38:$E$182,$C$38:$C$182,C19)</f>
        <v>727.514875147581</v>
      </c>
      <c r="F19" s="15" t="n">
        <f aca="false">SUMIFS($F$38:$F$182,$C$38:$C$182,C19)</f>
        <v>731</v>
      </c>
      <c r="G19" s="40" t="n">
        <f aca="false">INDEX(PARÁMETROS!$C$70:$C$89,MATCH(C19,PARÁMETROS!$A$70:$A$89,0))</f>
        <v>5.5</v>
      </c>
      <c r="H19" s="41" t="n">
        <f aca="false">SUMIFS($H$38:$H$182,$C$38:$C$182,C19)</f>
        <v>4020.5</v>
      </c>
      <c r="I19" s="24" t="str">
        <f aca="false">IF(SUMIFS($I$38:$I$182,$C$38:$C$182,C19)=0,"",SUMIFS($I$38:$I$182,$C$38:$C$182,C19))</f>
        <v/>
      </c>
      <c r="J19" s="23" t="n">
        <f aca="false">IF($H$26&gt;0,H19/$H$26,0)</f>
        <v>0.0235249276464388</v>
      </c>
    </row>
    <row r="20" customFormat="false" ht="15" hidden="false" customHeight="false" outlineLevel="0" collapsed="false">
      <c r="B20" s="39" t="str">
        <f aca="false">INDEX(PARÁMETROS!$F$70:$F$89,MATCH(C20,PARÁMETROS!$A$70:$A$89,0))</f>
        <v>Encofrado</v>
      </c>
      <c r="C20" s="12" t="s">
        <v>153</v>
      </c>
      <c r="D20" s="39" t="str">
        <f aca="false">INDEX(PARÁMETROS!$B$70:$B$89,MATCH(C20,PARÁMETROS!$A$70:$A$89,0))</f>
        <v>plancha</v>
      </c>
      <c r="E20" s="20" t="n">
        <f aca="false">SUMIFS($E$38:$E$182,$C$38:$C$182,C20)</f>
        <v>61.7273103717752</v>
      </c>
      <c r="F20" s="15" t="n">
        <f aca="false">SUMIFS($F$38:$F$182,$C$38:$C$182,C20)</f>
        <v>64</v>
      </c>
      <c r="G20" s="40" t="n">
        <f aca="false">INDEX(PARÁMETROS!$C$70:$C$89,MATCH(C20,PARÁMETROS!$A$70:$A$89,0))</f>
        <v>115</v>
      </c>
      <c r="H20" s="41" t="n">
        <f aca="false">SUMIFS($H$38:$H$182,$C$38:$C$182,C20)</f>
        <v>7360</v>
      </c>
      <c r="I20" s="24" t="str">
        <f aca="false">IF(SUMIFS($I$38:$I$182,$C$38:$C$182,C20)=0,"",SUMIFS($I$38:$I$182,$C$38:$C$182,C20))</f>
        <v/>
      </c>
      <c r="J20" s="23" t="n">
        <f aca="false">IF($H$26&gt;0,H20/$H$26,0)</f>
        <v>0.0430651579350304</v>
      </c>
    </row>
    <row r="21" customFormat="false" ht="15" hidden="false" customHeight="false" outlineLevel="0" collapsed="false">
      <c r="B21" s="39" t="str">
        <f aca="false">INDEX(PARÁMETROS!$F$70:$F$89,MATCH(C21,PARÁMETROS!$A$70:$A$89,0))</f>
        <v>Encofrado</v>
      </c>
      <c r="C21" s="12" t="s">
        <v>155</v>
      </c>
      <c r="D21" s="39" t="str">
        <f aca="false">INDEX(PARÁMETROS!$B$70:$B$89,MATCH(C21,PARÁMETROS!$A$70:$A$89,0))</f>
        <v>und</v>
      </c>
      <c r="E21" s="20" t="n">
        <f aca="false">SUMIFS($E$38:$E$182,$C$38:$C$182,C21)</f>
        <v>74.5149973520328</v>
      </c>
      <c r="F21" s="15" t="n">
        <f aca="false">SUMIFS($F$38:$F$182,$C$38:$C$182,C21)</f>
        <v>76</v>
      </c>
      <c r="G21" s="40" t="n">
        <f aca="false">INDEX(PARÁMETROS!$C$70:$C$89,MATCH(C21,PARÁMETROS!$A$70:$A$89,0))</f>
        <v>18</v>
      </c>
      <c r="H21" s="41" t="n">
        <f aca="false">SUMIFS($H$38:$H$182,$C$38:$C$182,C21)</f>
        <v>1368</v>
      </c>
      <c r="I21" s="24" t="str">
        <f aca="false">IF(SUMIFS($I$38:$I$182,$C$38:$C$182,C21)=0,"",SUMIFS($I$38:$I$182,$C$38:$C$182,C21))</f>
        <v/>
      </c>
      <c r="J21" s="23" t="n">
        <f aca="false">IF($H$26&gt;0,H21/$H$26,0)</f>
        <v>0.00800450218140238</v>
      </c>
    </row>
    <row r="22" customFormat="false" ht="15" hidden="false" customHeight="false" outlineLevel="0" collapsed="false">
      <c r="B22" s="39" t="str">
        <f aca="false">INDEX(PARÁMETROS!$F$70:$F$89,MATCH(C22,PARÁMETROS!$A$70:$A$89,0))</f>
        <v>Encofrado</v>
      </c>
      <c r="C22" s="12" t="s">
        <v>157</v>
      </c>
      <c r="D22" s="39" t="str">
        <f aca="false">INDEX(PARÁMETROS!$B$70:$B$89,MATCH(C22,PARÁMETROS!$A$70:$A$89,0))</f>
        <v>kg</v>
      </c>
      <c r="E22" s="20" t="n">
        <f aca="false">SUMIFS($E$38:$E$182,$C$38:$C$182,C22)</f>
        <v>147.030832823385</v>
      </c>
      <c r="F22" s="15" t="n">
        <f aca="false">SUMIFS($F$38:$F$182,$C$38:$C$182,C22)</f>
        <v>152</v>
      </c>
      <c r="G22" s="40" t="n">
        <f aca="false">INDEX(PARÁMETROS!$C$70:$C$89,MATCH(C22,PARÁMETROS!$A$70:$A$89,0))</f>
        <v>6.5</v>
      </c>
      <c r="H22" s="41" t="n">
        <f aca="false">SUMIFS($H$38:$H$182,$C$38:$C$182,C22)</f>
        <v>988</v>
      </c>
      <c r="I22" s="24" t="str">
        <f aca="false">IF(SUMIFS($I$38:$I$182,$C$38:$C$182,C22)=0,"",SUMIFS($I$38:$I$182,$C$38:$C$182,C22))</f>
        <v/>
      </c>
      <c r="J22" s="23" t="n">
        <f aca="false">IF($H$26&gt;0,H22/$H$26,0)</f>
        <v>0.00578102935323505</v>
      </c>
    </row>
    <row r="23" customFormat="false" ht="15" hidden="false" customHeight="false" outlineLevel="0" collapsed="false">
      <c r="B23" s="39" t="str">
        <f aca="false">INDEX(PARÁMETROS!$F$70:$F$89,MATCH(C23,PARÁMETROS!$A$70:$A$89,0))</f>
        <v>Encofrado</v>
      </c>
      <c r="C23" s="12" t="s">
        <v>158</v>
      </c>
      <c r="D23" s="39" t="str">
        <f aca="false">INDEX(PARÁMETROS!$B$70:$B$89,MATCH(C23,PARÁMETROS!$A$70:$A$89,0))</f>
        <v>kg</v>
      </c>
      <c r="E23" s="20" t="n">
        <f aca="false">SUMIFS($E$38:$E$182,$C$38:$C$182,C23)</f>
        <v>206.412583545036</v>
      </c>
      <c r="F23" s="15" t="n">
        <f aca="false">SUMIFS($F$38:$F$182,$C$38:$C$182,C23)</f>
        <v>210</v>
      </c>
      <c r="G23" s="40" t="n">
        <f aca="false">INDEX(PARÁMETROS!$C$70:$C$89,MATCH(C23,PARÁMETROS!$A$70:$A$89,0))</f>
        <v>5.9</v>
      </c>
      <c r="H23" s="41" t="n">
        <f aca="false">SUMIFS($H$38:$H$182,$C$38:$C$182,C23)</f>
        <v>1239</v>
      </c>
      <c r="I23" s="24" t="n">
        <f aca="false">IF(SUMIFS($I$38:$I$182,$C$38:$C$182,C23)=0,"",SUMIFS($I$38:$I$182,$C$38:$C$182,C23))</f>
        <v>210</v>
      </c>
      <c r="J23" s="23" t="n">
        <f aca="false">IF($H$26&gt;0,H23/$H$26,0)</f>
        <v>0.00724969166868242</v>
      </c>
    </row>
    <row r="24" customFormat="false" ht="15" hidden="false" customHeight="false" outlineLevel="0" collapsed="false">
      <c r="B24" s="39" t="str">
        <f aca="false">INDEX(PARÁMETROS!$F$70:$F$89,MATCH(C24,PARÁMETROS!$A$70:$A$89,0))</f>
        <v>Encofrado</v>
      </c>
      <c r="C24" s="12" t="s">
        <v>160</v>
      </c>
      <c r="D24" s="39" t="str">
        <f aca="false">INDEX(PARÁMETROS!$B$70:$B$89,MATCH(C24,PARÁMETROS!$A$70:$A$89,0))</f>
        <v>gal</v>
      </c>
      <c r="E24" s="20" t="n">
        <f aca="false">SUMIFS($E$38:$E$182,$C$38:$C$182,C24)</f>
        <v>20.5372223304742</v>
      </c>
      <c r="F24" s="15" t="n">
        <f aca="false">SUMIFS($F$38:$F$182,$C$38:$C$182,C24)</f>
        <v>23</v>
      </c>
      <c r="G24" s="40" t="n">
        <f aca="false">INDEX(PARÁMETROS!$C$70:$C$89,MATCH(C24,PARÁMETROS!$A$70:$A$89,0))</f>
        <v>45</v>
      </c>
      <c r="H24" s="41" t="n">
        <f aca="false">SUMIFS($H$38:$H$182,$C$38:$C$182,C24)</f>
        <v>1035</v>
      </c>
      <c r="I24" s="24" t="str">
        <f aca="false">IF(SUMIFS($I$38:$I$182,$C$38:$C$182,C24)=0,"",SUMIFS($I$38:$I$182,$C$38:$C$182,C24))</f>
        <v/>
      </c>
      <c r="J24" s="23" t="n">
        <f aca="false">IF($H$26&gt;0,H24/$H$26,0)</f>
        <v>0.00605603783461364</v>
      </c>
    </row>
    <row r="25" customFormat="false" ht="15" hidden="false" customHeight="false" outlineLevel="0" collapsed="false">
      <c r="B25" s="39" t="str">
        <f aca="false">INDEX(PARÁMETROS!$F$70:$F$89,MATCH(C25,PARÁMETROS!$A$70:$A$89,0))</f>
        <v>Curado</v>
      </c>
      <c r="C25" s="12" t="s">
        <v>162</v>
      </c>
      <c r="D25" s="39" t="str">
        <f aca="false">INDEX(PARÁMETROS!$B$70:$B$89,MATCH(C25,PARÁMETROS!$A$70:$A$89,0))</f>
        <v>gal</v>
      </c>
      <c r="E25" s="20" t="n">
        <f aca="false">SUMIFS($E$38:$E$182,$C$38:$C$182,C25)</f>
        <v>58.1934155594265</v>
      </c>
      <c r="F25" s="15" t="n">
        <f aca="false">SUMIFS($F$38:$F$182,$C$38:$C$182,C25)</f>
        <v>61</v>
      </c>
      <c r="G25" s="40" t="n">
        <f aca="false">INDEX(PARÁMETROS!$C$70:$C$89,MATCH(C25,PARÁMETROS!$A$70:$A$89,0))</f>
        <v>40</v>
      </c>
      <c r="H25" s="41" t="n">
        <f aca="false">SUMIFS($H$38:$H$182,$C$38:$C$182,C25)</f>
        <v>2440</v>
      </c>
      <c r="I25" s="24" t="str">
        <f aca="false">IF(SUMIFS($I$38:$I$182,$C$38:$C$182,C25)=0,"",SUMIFS($I$38:$I$182,$C$38:$C$182,C25))</f>
        <v/>
      </c>
      <c r="J25" s="23" t="n">
        <f aca="false">IF($H$26&gt;0,H25/$H$26,0)</f>
        <v>0.0142770360545481</v>
      </c>
    </row>
    <row r="26" customFormat="false" ht="15" hidden="false" customHeight="false" outlineLevel="0" collapsed="false">
      <c r="A26" s="27"/>
      <c r="B26" s="27"/>
      <c r="C26" s="26" t="s">
        <v>279</v>
      </c>
      <c r="D26" s="27"/>
      <c r="E26" s="27"/>
      <c r="F26" s="27"/>
      <c r="G26" s="27"/>
      <c r="H26" s="43" t="n">
        <f aca="false">SUM(H6:H25)</f>
        <v>170903.82</v>
      </c>
      <c r="I26" s="27"/>
      <c r="J26" s="27"/>
    </row>
    <row r="28" customFormat="false" ht="15" hidden="false" customHeight="false" outlineLevel="0" collapsed="false">
      <c r="A28" s="3" t="s">
        <v>280</v>
      </c>
    </row>
    <row r="29" customFormat="false" ht="30" hidden="false" customHeight="true" outlineLevel="0" collapsed="false">
      <c r="A29" s="4" t="s">
        <v>177</v>
      </c>
      <c r="B29" s="4" t="s">
        <v>117</v>
      </c>
      <c r="C29" s="4" t="s">
        <v>134</v>
      </c>
      <c r="D29" s="4" t="s">
        <v>151</v>
      </c>
      <c r="E29" s="4" t="s">
        <v>163</v>
      </c>
      <c r="F29" s="4" t="s">
        <v>281</v>
      </c>
      <c r="G29" s="4" t="s">
        <v>282</v>
      </c>
    </row>
    <row r="30" customFormat="false" ht="15" hidden="false" customHeight="false" outlineLevel="0" collapsed="false">
      <c r="A30" s="12" t="s">
        <v>176</v>
      </c>
      <c r="B30" s="44" t="n">
        <f aca="false">SUMIFS($H$38:$H$182,$A$38:$A$182,$A30,$B$38:$B$182,"Concreto")</f>
        <v>12201</v>
      </c>
      <c r="C30" s="44" t="n">
        <f aca="false">SUMIFS($H$38:$H$182,$A$38:$A$182,$A30,$B$38:$B$182,"Acero")</f>
        <v>11205.48</v>
      </c>
      <c r="D30" s="44" t="n">
        <f aca="false">SUMIFS($H$38:$H$182,$A$38:$A$182,$A30,$B$38:$B$182,"Encofrado")</f>
        <v>352.6</v>
      </c>
      <c r="E30" s="44" t="n">
        <f aca="false">SUMIFS($H$38:$H$182,$A$38:$A$182,$A30,$B$38:$B$182,"Curado")</f>
        <v>200</v>
      </c>
      <c r="F30" s="41" t="n">
        <f aca="false">SUM(B30:E30)</f>
        <v>23959.08</v>
      </c>
      <c r="G30" s="23" t="n">
        <f aca="false">IF($F$36&gt;0,F30/$F$36,0)</f>
        <v>0.140190429915493</v>
      </c>
    </row>
    <row r="31" customFormat="false" ht="15" hidden="false" customHeight="false" outlineLevel="0" collapsed="false">
      <c r="A31" s="12" t="s">
        <v>212</v>
      </c>
      <c r="B31" s="44" t="n">
        <f aca="false">SUMIFS($H$38:$H$182,$A$38:$A$182,$A31,$B$38:$B$182,"Concreto")</f>
        <v>4507</v>
      </c>
      <c r="C31" s="44" t="n">
        <f aca="false">SUMIFS($H$38:$H$182,$A$38:$A$182,$A31,$B$38:$B$182,"Acero")</f>
        <v>6108.93</v>
      </c>
      <c r="D31" s="44" t="n">
        <f aca="false">SUMIFS($H$38:$H$182,$A$38:$A$182,$A31,$B$38:$B$182,"Encofrado")</f>
        <v>630.6</v>
      </c>
      <c r="E31" s="44" t="n">
        <f aca="false">SUMIFS($H$38:$H$182,$A$38:$A$182,$A31,$B$38:$B$182,"Curado")</f>
        <v>280</v>
      </c>
      <c r="F31" s="41" t="n">
        <f aca="false">SUM(B31:E31)</f>
        <v>11526.53</v>
      </c>
      <c r="G31" s="23" t="n">
        <f aca="false">IF($F$36&gt;0,F31/$F$36,0)</f>
        <v>0.0674445427843567</v>
      </c>
    </row>
    <row r="32" customFormat="false" ht="15" hidden="false" customHeight="false" outlineLevel="0" collapsed="false">
      <c r="A32" s="12" t="s">
        <v>216</v>
      </c>
      <c r="B32" s="44" t="n">
        <f aca="false">SUMIFS($H$38:$H$182,$A$38:$A$182,$A32,$B$38:$B$182,"Concreto")</f>
        <v>12145</v>
      </c>
      <c r="C32" s="44" t="n">
        <f aca="false">SUMIFS($H$38:$H$182,$A$38:$A$182,$A32,$B$38:$B$182,"Acero")</f>
        <v>20473.24</v>
      </c>
      <c r="D32" s="44" t="n">
        <f aca="false">SUMIFS($H$38:$H$182,$A$38:$A$182,$A32,$B$38:$B$182,"Encofrado")</f>
        <v>3966.9</v>
      </c>
      <c r="E32" s="44" t="n">
        <f aca="false">SUMIFS($H$38:$H$182,$A$38:$A$182,$A32,$B$38:$B$182,"Curado")</f>
        <v>520</v>
      </c>
      <c r="F32" s="41" t="n">
        <f aca="false">SUM(B32:E32)</f>
        <v>37105.14</v>
      </c>
      <c r="G32" s="23" t="n">
        <f aca="false">IF($F$36&gt;0,F32/$F$36,0)</f>
        <v>0.21711123835617</v>
      </c>
    </row>
    <row r="33" customFormat="false" ht="15" hidden="false" customHeight="false" outlineLevel="0" collapsed="false">
      <c r="A33" s="12" t="s">
        <v>227</v>
      </c>
      <c r="B33" s="44" t="n">
        <f aca="false">SUMIFS($H$38:$H$182,$A$38:$A$182,$A33,$B$38:$B$182,"Concreto")</f>
        <v>11424.5</v>
      </c>
      <c r="C33" s="44" t="n">
        <f aca="false">SUMIFS($H$38:$H$182,$A$38:$A$182,$A33,$B$38:$B$182,"Acero")</f>
        <v>18077.68</v>
      </c>
      <c r="D33" s="44" t="n">
        <f aca="false">SUMIFS($H$38:$H$182,$A$38:$A$182,$A33,$B$38:$B$182,"Encofrado")</f>
        <v>3686.8</v>
      </c>
      <c r="E33" s="44" t="n">
        <f aca="false">SUMIFS($H$38:$H$182,$A$38:$A$182,$A33,$B$38:$B$182,"Curado")</f>
        <v>480</v>
      </c>
      <c r="F33" s="41" t="n">
        <f aca="false">SUM(B33:E33)</f>
        <v>33668.98</v>
      </c>
      <c r="G33" s="23" t="n">
        <f aca="false">IF($F$36&gt;0,F33/$F$36,0)</f>
        <v>0.197005426795024</v>
      </c>
    </row>
    <row r="34" customFormat="false" ht="15" hidden="false" customHeight="false" outlineLevel="0" collapsed="false">
      <c r="A34" s="12" t="s">
        <v>229</v>
      </c>
      <c r="B34" s="44" t="n">
        <f aca="false">SUMIFS($H$38:$H$182,$A$38:$A$182,$A34,$B$38:$B$182,"Concreto")</f>
        <v>11424.5</v>
      </c>
      <c r="C34" s="44" t="n">
        <f aca="false">SUMIFS($H$38:$H$182,$A$38:$A$182,$A34,$B$38:$B$182,"Acero")</f>
        <v>17909.85</v>
      </c>
      <c r="D34" s="44" t="n">
        <f aca="false">SUMIFS($H$38:$H$182,$A$38:$A$182,$A34,$B$38:$B$182,"Encofrado")</f>
        <v>3686.8</v>
      </c>
      <c r="E34" s="44" t="n">
        <f aca="false">SUMIFS($H$38:$H$182,$A$38:$A$182,$A34,$B$38:$B$182,"Curado")</f>
        <v>480</v>
      </c>
      <c r="F34" s="41" t="n">
        <f aca="false">SUM(B34:E34)</f>
        <v>33501.15</v>
      </c>
      <c r="G34" s="23" t="n">
        <f aca="false">IF($F$36&gt;0,F34/$F$36,0)</f>
        <v>0.196023412466731</v>
      </c>
    </row>
    <row r="35" customFormat="false" ht="15" hidden="false" customHeight="false" outlineLevel="0" collapsed="false">
      <c r="A35" s="12" t="s">
        <v>231</v>
      </c>
      <c r="B35" s="44" t="n">
        <f aca="false">SUMIFS($H$38:$H$182,$A$38:$A$182,$A35,$B$38:$B$182,"Concreto")</f>
        <v>11424.5</v>
      </c>
      <c r="C35" s="44" t="n">
        <f aca="false">SUMIFS($H$38:$H$182,$A$38:$A$182,$A35,$B$38:$B$182,"Acero")</f>
        <v>15551.64</v>
      </c>
      <c r="D35" s="44" t="n">
        <f aca="false">SUMIFS($H$38:$H$182,$A$38:$A$182,$A35,$B$38:$B$182,"Encofrado")</f>
        <v>3686.8</v>
      </c>
      <c r="E35" s="44" t="n">
        <f aca="false">SUMIFS($H$38:$H$182,$A$38:$A$182,$A35,$B$38:$B$182,"Curado")</f>
        <v>480</v>
      </c>
      <c r="F35" s="41" t="n">
        <f aca="false">SUM(B35:E35)</f>
        <v>31142.94</v>
      </c>
      <c r="G35" s="23" t="n">
        <f aca="false">IF($F$36&gt;0,F35/$F$36,0)</f>
        <v>0.182224949682225</v>
      </c>
    </row>
    <row r="36" customFormat="false" ht="15" hidden="false" customHeight="false" outlineLevel="0" collapsed="false">
      <c r="A36" s="26" t="s">
        <v>283</v>
      </c>
      <c r="B36" s="45" t="n">
        <f aca="false">SUM(B30:B35)</f>
        <v>63126.5</v>
      </c>
      <c r="C36" s="45" t="n">
        <f aca="false">SUM(C30:C35)</f>
        <v>89326.82</v>
      </c>
      <c r="D36" s="45" t="n">
        <f aca="false">SUM(D30:D35)</f>
        <v>16010.5</v>
      </c>
      <c r="E36" s="45" t="n">
        <f aca="false">SUM(E30:E35)</f>
        <v>2440</v>
      </c>
      <c r="F36" s="45" t="n">
        <f aca="false">SUM(F30:F35)</f>
        <v>170903.82</v>
      </c>
      <c r="G36" s="38" t="n">
        <f aca="false">SUM(G30:G35)</f>
        <v>1</v>
      </c>
    </row>
    <row r="38" customFormat="false" ht="15" hidden="false" customHeight="false" outlineLevel="0" collapsed="false">
      <c r="A38" s="18" t="s">
        <v>176</v>
      </c>
      <c r="B38" s="19"/>
      <c r="C38" s="19"/>
      <c r="D38" s="19"/>
      <c r="E38" s="19"/>
      <c r="F38" s="19"/>
      <c r="G38" s="19"/>
      <c r="H38" s="19"/>
      <c r="I38" s="19"/>
      <c r="J38" s="19"/>
    </row>
    <row r="39" customFormat="false" ht="36" hidden="false" customHeight="true" outlineLevel="0" collapsed="false">
      <c r="A39" s="4" t="s">
        <v>177</v>
      </c>
      <c r="B39" s="4" t="s">
        <v>112</v>
      </c>
      <c r="C39" s="4" t="s">
        <v>107</v>
      </c>
      <c r="D39" s="4" t="s">
        <v>108</v>
      </c>
      <c r="E39" s="4" t="s">
        <v>273</v>
      </c>
      <c r="F39" s="4" t="s">
        <v>274</v>
      </c>
      <c r="G39" s="4" t="s">
        <v>275</v>
      </c>
      <c r="H39" s="4" t="s">
        <v>284</v>
      </c>
      <c r="I39" s="4" t="s">
        <v>277</v>
      </c>
      <c r="J39" s="4" t="s">
        <v>198</v>
      </c>
    </row>
    <row r="40" customFormat="false" ht="15" hidden="false" customHeight="false" outlineLevel="0" collapsed="false">
      <c r="A40" s="5" t="s">
        <v>176</v>
      </c>
      <c r="B40" s="39" t="str">
        <f aca="false">INDEX(PARÁMETROS!$F$70:$F$89,MATCH(C40,PARÁMETROS!$A$70:$A$89,0))</f>
        <v>Concreto</v>
      </c>
      <c r="C40" s="5" t="s">
        <v>114</v>
      </c>
      <c r="D40" s="39" t="str">
        <f aca="false">INDEX(PARÁMETROS!$B$70:$B$89,MATCH(C40,PARÁMETROS!$A$70:$A$89,0))</f>
        <v>bolsa</v>
      </c>
      <c r="E40" s="33" t="n">
        <f aca="false">SUMIFS('METRADO POR NIVEL'!$I$4:$I$150,'METRADO POR NIVEL'!$A$4:$A$150,A40)</f>
        <v>335.462241685748</v>
      </c>
      <c r="F40" s="25" t="n">
        <f aca="false">ROUNDUP(E40,0)</f>
        <v>336</v>
      </c>
      <c r="G40" s="40" t="n">
        <f aca="false">INDEX(PARÁMETROS!$C$70:$C$89,MATCH(C40,PARÁMETROS!$A$70:$A$89,0))</f>
        <v>27</v>
      </c>
      <c r="H40" s="44" t="n">
        <f aca="false">F40*G40</f>
        <v>9072</v>
      </c>
      <c r="I40" s="5"/>
      <c r="J40" s="7"/>
    </row>
    <row r="41" customFormat="false" ht="15" hidden="false" customHeight="false" outlineLevel="0" collapsed="false">
      <c r="A41" s="5" t="s">
        <v>176</v>
      </c>
      <c r="B41" s="39" t="str">
        <f aca="false">INDEX(PARÁMETROS!$F$70:$F$89,MATCH(C41,PARÁMETROS!$A$70:$A$89,0))</f>
        <v>Concreto</v>
      </c>
      <c r="C41" s="5" t="s">
        <v>119</v>
      </c>
      <c r="D41" s="39" t="str">
        <f aca="false">INDEX(PARÁMETROS!$B$70:$B$89,MATCH(C41,PARÁMETROS!$A$70:$A$89,0))</f>
        <v>m³</v>
      </c>
      <c r="E41" s="33" t="n">
        <f aca="false">SUMIFS('METRADO POR NIVEL'!$J$4:$J$150,'METRADO POR NIVEL'!$A$4:$A$150,A41)</f>
        <v>19.6314607507286</v>
      </c>
      <c r="F41" s="24" t="n">
        <f aca="false">CEILING(E41,0.5)</f>
        <v>20</v>
      </c>
      <c r="G41" s="40" t="n">
        <f aca="false">INDEX(PARÁMETROS!$C$70:$C$89,MATCH(C41,PARÁMETROS!$A$70:$A$89,0))</f>
        <v>70</v>
      </c>
      <c r="H41" s="44" t="n">
        <f aca="false">F41*G41</f>
        <v>1400</v>
      </c>
      <c r="I41" s="5"/>
      <c r="J41" s="7"/>
    </row>
    <row r="42" customFormat="false" ht="15" hidden="false" customHeight="false" outlineLevel="0" collapsed="false">
      <c r="A42" s="5" t="s">
        <v>176</v>
      </c>
      <c r="B42" s="39" t="str">
        <f aca="false">INDEX(PARÁMETROS!$F$70:$F$89,MATCH(C42,PARÁMETROS!$A$70:$A$89,0))</f>
        <v>Concreto</v>
      </c>
      <c r="C42" s="5" t="s">
        <v>123</v>
      </c>
      <c r="D42" s="39" t="str">
        <f aca="false">INDEX(PARÁMETROS!$B$70:$B$89,MATCH(C42,PARÁMETROS!$A$70:$A$89,0))</f>
        <v>m³</v>
      </c>
      <c r="E42" s="33" t="n">
        <f aca="false">SUMIFS('METRADO POR NIVEL'!$K$4:$K$150,'METRADO POR NIVEL'!$A$4:$A$150,A42)</f>
        <v>20.6685498959349</v>
      </c>
      <c r="F42" s="24" t="n">
        <f aca="false">CEILING(E42,0.5)</f>
        <v>21</v>
      </c>
      <c r="G42" s="40" t="n">
        <f aca="false">INDEX(PARÁMETROS!$C$70:$C$89,MATCH(C42,PARÁMETROS!$A$70:$A$89,0))</f>
        <v>80</v>
      </c>
      <c r="H42" s="44" t="n">
        <f aca="false">F42*G42</f>
        <v>1680</v>
      </c>
      <c r="I42" s="5"/>
      <c r="J42" s="7"/>
    </row>
    <row r="43" customFormat="false" ht="15" hidden="false" customHeight="false" outlineLevel="0" collapsed="false">
      <c r="A43" s="5" t="s">
        <v>176</v>
      </c>
      <c r="B43" s="39" t="str">
        <f aca="false">INDEX(PARÁMETROS!$F$70:$F$89,MATCH(C43,PARÁMETROS!$A$70:$A$89,0))</f>
        <v>Concreto</v>
      </c>
      <c r="C43" s="5" t="s">
        <v>125</v>
      </c>
      <c r="D43" s="39" t="str">
        <f aca="false">INDEX(PARÁMETROS!$B$70:$B$89,MATCH(C43,PARÁMETROS!$A$70:$A$89,0))</f>
        <v>m³</v>
      </c>
      <c r="E43" s="33" t="n">
        <f aca="false">SUMIFS('METRADO POR NIVEL'!$L$4:$L$150,'METRADO POR NIVEL'!$A$4:$A$150,A43)</f>
        <v>6.91147635083752</v>
      </c>
      <c r="F43" s="24" t="n">
        <f aca="false">CEILING(E43,0.5)</f>
        <v>7</v>
      </c>
      <c r="G43" s="40" t="n">
        <f aca="false">INDEX(PARÁMETROS!$C$70:$C$89,MATCH(C43,PARÁMETROS!$A$70:$A$89,0))</f>
        <v>7</v>
      </c>
      <c r="H43" s="44" t="n">
        <f aca="false">F43*G43</f>
        <v>49</v>
      </c>
      <c r="I43" s="5"/>
      <c r="J43" s="7"/>
    </row>
    <row r="44" customFormat="false" ht="15" hidden="false" customHeight="false" outlineLevel="0" collapsed="false">
      <c r="A44" s="5" t="s">
        <v>176</v>
      </c>
      <c r="B44" s="39" t="str">
        <f aca="false">INDEX(PARÁMETROS!$F$70:$F$89,MATCH(C44,PARÁMETROS!$A$70:$A$89,0))</f>
        <v>Concreto</v>
      </c>
      <c r="C44" s="5" t="s">
        <v>128</v>
      </c>
      <c r="D44" s="39" t="str">
        <f aca="false">INDEX(PARÁMETROS!$B$70:$B$89,MATCH(C44,PARÁMETROS!$A$70:$A$89,0))</f>
        <v>und</v>
      </c>
      <c r="E44" s="33" t="n">
        <f aca="false">SUMIFS('METRADO POR NIVEL'!$M$4:$M$150,'METRADO POR NIVEL'!$A$4:$A$150,A44)</f>
        <v>0</v>
      </c>
      <c r="F44" s="25" t="n">
        <f aca="false">ROUNDUP(E44,0)</f>
        <v>0</v>
      </c>
      <c r="G44" s="40" t="n">
        <f aca="false">INDEX(PARÁMETROS!$C$70:$C$89,MATCH(C44,PARÁMETROS!$A$70:$A$89,0))</f>
        <v>12.9</v>
      </c>
      <c r="H44" s="44" t="n">
        <f aca="false">F44*G44</f>
        <v>0</v>
      </c>
      <c r="I44" s="5"/>
      <c r="J44" s="7"/>
    </row>
    <row r="45" customFormat="false" ht="15" hidden="false" customHeight="false" outlineLevel="0" collapsed="false">
      <c r="A45" s="5" t="s">
        <v>176</v>
      </c>
      <c r="B45" s="39" t="str">
        <f aca="false">INDEX(PARÁMETROS!$F$70:$F$89,MATCH(C45,PARÁMETROS!$A$70:$A$89,0))</f>
        <v>Acero</v>
      </c>
      <c r="C45" s="5" t="s">
        <v>132</v>
      </c>
      <c r="D45" s="39" t="str">
        <f aca="false">INDEX(PARÁMETROS!$B$70:$B$89,MATCH(C45,PARÁMETROS!$A$70:$A$89,0))</f>
        <v>und</v>
      </c>
      <c r="E45" s="22" t="n">
        <f aca="false">COUNTIFS('PLAN DE CORTE'!$A$5:$A$2516,A45,'PLAN DE CORTE'!$B$5:$B$2516,"1/4")</f>
        <v>0</v>
      </c>
      <c r="F45" s="25" t="n">
        <f aca="false">ROUNDUP(E45,0)</f>
        <v>0</v>
      </c>
      <c r="G45" s="40" t="n">
        <f aca="false">INDEX(PARÁMETROS!$C$70:$C$89,MATCH(C45,PARÁMETROS!$A$70:$A$89,0))</f>
        <v>9.5</v>
      </c>
      <c r="H45" s="44" t="n">
        <f aca="false">F45*G45</f>
        <v>0</v>
      </c>
      <c r="I45" s="24" t="n">
        <f aca="false">F45*9*INDEX(PARÁMETROS!$B$93:$B$97,MATCH("1/4",PARÁMETROS!$A$93:$A$97,0))</f>
        <v>0</v>
      </c>
      <c r="J45" s="7" t="s">
        <v>285</v>
      </c>
    </row>
    <row r="46" customFormat="false" ht="15" hidden="false" customHeight="false" outlineLevel="0" collapsed="false">
      <c r="A46" s="5" t="s">
        <v>176</v>
      </c>
      <c r="B46" s="39" t="str">
        <f aca="false">INDEX(PARÁMETROS!$F$70:$F$89,MATCH(C46,PARÁMETROS!$A$70:$A$89,0))</f>
        <v>Acero</v>
      </c>
      <c r="C46" s="5" t="s">
        <v>136</v>
      </c>
      <c r="D46" s="39" t="str">
        <f aca="false">INDEX(PARÁMETROS!$B$70:$B$89,MATCH(C46,PARÁMETROS!$A$70:$A$89,0))</f>
        <v>und</v>
      </c>
      <c r="E46" s="22" t="n">
        <f aca="false">COUNTIFS('PLAN DE CORTE'!$A$5:$A$2516,A46,'PLAN DE CORTE'!$B$5:$B$2516,"3/8")</f>
        <v>49</v>
      </c>
      <c r="F46" s="25" t="n">
        <f aca="false">ROUNDUP(E46,0)</f>
        <v>49</v>
      </c>
      <c r="G46" s="40" t="n">
        <f aca="false">INDEX(PARÁMETROS!$C$70:$C$89,MATCH(C46,PARÁMETROS!$A$70:$A$89,0))</f>
        <v>20.13</v>
      </c>
      <c r="H46" s="44" t="n">
        <f aca="false">F46*G46</f>
        <v>986.37</v>
      </c>
      <c r="I46" s="24" t="n">
        <f aca="false">F46*9*INDEX(PARÁMETROS!$B$93:$B$97,MATCH("3/8",PARÁMETROS!$A$93:$A$97,0))</f>
        <v>246.96</v>
      </c>
      <c r="J46" s="7" t="s">
        <v>285</v>
      </c>
    </row>
    <row r="47" customFormat="false" ht="15" hidden="false" customHeight="false" outlineLevel="0" collapsed="false">
      <c r="A47" s="5" t="s">
        <v>176</v>
      </c>
      <c r="B47" s="39" t="str">
        <f aca="false">INDEX(PARÁMETROS!$F$70:$F$89,MATCH(C47,PARÁMETROS!$A$70:$A$89,0))</f>
        <v>Acero</v>
      </c>
      <c r="C47" s="5" t="s">
        <v>138</v>
      </c>
      <c r="D47" s="39" t="str">
        <f aca="false">INDEX(PARÁMETROS!$B$70:$B$89,MATCH(C47,PARÁMETROS!$A$70:$A$89,0))</f>
        <v>und</v>
      </c>
      <c r="E47" s="22" t="n">
        <f aca="false">COUNTIFS('PLAN DE CORTE'!$A$5:$A$2516,A47,'PLAN DE CORTE'!$B$5:$B$2516,"1/2")</f>
        <v>6</v>
      </c>
      <c r="F47" s="25" t="n">
        <f aca="false">ROUNDUP(E47,0)</f>
        <v>6</v>
      </c>
      <c r="G47" s="40" t="n">
        <f aca="false">INDEX(PARÁMETROS!$C$70:$C$89,MATCH(C47,PARÁMETROS!$A$70:$A$89,0))</f>
        <v>36.09</v>
      </c>
      <c r="H47" s="44" t="n">
        <f aca="false">F47*G47</f>
        <v>216.54</v>
      </c>
      <c r="I47" s="24" t="n">
        <f aca="false">F47*9*INDEX(PARÁMETROS!$B$93:$B$97,MATCH("1/2",PARÁMETROS!$A$93:$A$97,0))</f>
        <v>53.676</v>
      </c>
      <c r="J47" s="7" t="s">
        <v>285</v>
      </c>
    </row>
    <row r="48" customFormat="false" ht="15" hidden="false" customHeight="false" outlineLevel="0" collapsed="false">
      <c r="A48" s="5" t="s">
        <v>176</v>
      </c>
      <c r="B48" s="39" t="str">
        <f aca="false">INDEX(PARÁMETROS!$F$70:$F$89,MATCH(C48,PARÁMETROS!$A$70:$A$89,0))</f>
        <v>Acero</v>
      </c>
      <c r="C48" s="5" t="s">
        <v>139</v>
      </c>
      <c r="D48" s="39" t="str">
        <f aca="false">INDEX(PARÁMETROS!$B$70:$B$89,MATCH(C48,PARÁMETROS!$A$70:$A$89,0))</f>
        <v>und</v>
      </c>
      <c r="E48" s="22" t="n">
        <f aca="false">COUNTIFS('PLAN DE CORTE'!$A$5:$A$2516,A48,'PLAN DE CORTE'!$B$5:$B$2516,"5/8")</f>
        <v>61</v>
      </c>
      <c r="F48" s="25" t="n">
        <f aca="false">ROUNDUP(E48,0)</f>
        <v>61</v>
      </c>
      <c r="G48" s="40" t="n">
        <f aca="false">INDEX(PARÁMETROS!$C$70:$C$89,MATCH(C48,PARÁMETROS!$A$70:$A$89,0))</f>
        <v>55.82</v>
      </c>
      <c r="H48" s="44" t="n">
        <f aca="false">F48*G48</f>
        <v>3405.02</v>
      </c>
      <c r="I48" s="24" t="n">
        <f aca="false">F48*9*INDEX(PARÁMETROS!$B$93:$B$97,MATCH("5/8",PARÁMETROS!$A$93:$A$97,0))</f>
        <v>852.048</v>
      </c>
      <c r="J48" s="7" t="s">
        <v>285</v>
      </c>
    </row>
    <row r="49" customFormat="false" ht="15" hidden="false" customHeight="false" outlineLevel="0" collapsed="false">
      <c r="A49" s="5" t="s">
        <v>176</v>
      </c>
      <c r="B49" s="39" t="str">
        <f aca="false">INDEX(PARÁMETROS!$F$70:$F$89,MATCH(C49,PARÁMETROS!$A$70:$A$89,0))</f>
        <v>Acero</v>
      </c>
      <c r="C49" s="5" t="s">
        <v>140</v>
      </c>
      <c r="D49" s="39" t="str">
        <f aca="false">INDEX(PARÁMETROS!$B$70:$B$89,MATCH(C49,PARÁMETROS!$A$70:$A$89,0))</f>
        <v>und</v>
      </c>
      <c r="E49" s="22" t="n">
        <f aca="false">COUNTIFS('PLAN DE CORTE'!$A$5:$A$2516,A49,'PLAN DE CORTE'!$B$5:$B$2516,"3/4")</f>
        <v>75</v>
      </c>
      <c r="F49" s="25" t="n">
        <f aca="false">ROUNDUP(E49,0)</f>
        <v>75</v>
      </c>
      <c r="G49" s="40" t="n">
        <f aca="false">INDEX(PARÁMETROS!$C$70:$C$89,MATCH(C49,PARÁMETROS!$A$70:$A$89,0))</f>
        <v>82.09</v>
      </c>
      <c r="H49" s="44" t="n">
        <f aca="false">F49*G49</f>
        <v>6156.75</v>
      </c>
      <c r="I49" s="24" t="n">
        <f aca="false">F49*9*INDEX(PARÁMETROS!$B$93:$B$97,MATCH("3/4",PARÁMETROS!$A$93:$A$97,0))</f>
        <v>1508.625</v>
      </c>
      <c r="J49" s="7" t="s">
        <v>285</v>
      </c>
    </row>
    <row r="50" customFormat="false" ht="15" hidden="false" customHeight="false" outlineLevel="0" collapsed="false">
      <c r="A50" s="5" t="s">
        <v>176</v>
      </c>
      <c r="B50" s="39" t="str">
        <f aca="false">INDEX(PARÁMETROS!$F$70:$F$89,MATCH(C50,PARÁMETROS!$A$70:$A$89,0))</f>
        <v>Acero</v>
      </c>
      <c r="C50" s="5" t="s">
        <v>141</v>
      </c>
      <c r="D50" s="39" t="str">
        <f aca="false">INDEX(PARÁMETROS!$B$70:$B$89,MATCH(C50,PARÁMETROS!$A$70:$A$89,0))</f>
        <v>kg</v>
      </c>
      <c r="E50" s="33" t="n">
        <f aca="false">SUMIFS('METRADO POR NIVEL'!$N$4:$N$150,'METRADO POR NIVEL'!$A$4:$A$150,A50)</f>
        <v>71.7188277</v>
      </c>
      <c r="F50" s="25" t="n">
        <f aca="false">ROUNDUP(E50,0)</f>
        <v>72</v>
      </c>
      <c r="G50" s="40" t="n">
        <f aca="false">INDEX(PARÁMETROS!$C$70:$C$89,MATCH(C50,PARÁMETROS!$A$70:$A$89,0))</f>
        <v>3.65</v>
      </c>
      <c r="H50" s="44" t="n">
        <f aca="false">F50*G50</f>
        <v>262.8</v>
      </c>
      <c r="I50" s="24" t="n">
        <f aca="false">F50</f>
        <v>72</v>
      </c>
      <c r="J50" s="7" t="s">
        <v>286</v>
      </c>
    </row>
    <row r="51" customFormat="false" ht="15" hidden="false" customHeight="false" outlineLevel="0" collapsed="false">
      <c r="A51" s="5" t="s">
        <v>176</v>
      </c>
      <c r="B51" s="39" t="str">
        <f aca="false">INDEX(PARÁMETROS!$F$70:$F$89,MATCH(C51,PARÁMETROS!$A$70:$A$89,0))</f>
        <v>Acero</v>
      </c>
      <c r="C51" s="5" t="s">
        <v>144</v>
      </c>
      <c r="D51" s="39" t="str">
        <f aca="false">INDEX(PARÁMETROS!$B$70:$B$89,MATCH(C51,PARÁMETROS!$A$70:$A$89,0))</f>
        <v>und</v>
      </c>
      <c r="E51" s="33" t="n">
        <f aca="false">SUMIFS('METRADO POR NIVEL'!$W$4:$W$150,'METRADO POR NIVEL'!$A$4:$A$150,A51)</f>
        <v>5.02</v>
      </c>
      <c r="F51" s="25" t="n">
        <f aca="false">ROUNDUP(E51,0)</f>
        <v>6</v>
      </c>
      <c r="G51" s="40" t="n">
        <f aca="false">INDEX(PARÁMETROS!$C$70:$C$89,MATCH(C51,PARÁMETROS!$A$70:$A$89,0))</f>
        <v>12</v>
      </c>
      <c r="H51" s="44" t="n">
        <f aca="false">F51*G51</f>
        <v>72</v>
      </c>
      <c r="I51" s="5"/>
      <c r="J51" s="7"/>
    </row>
    <row r="52" customFormat="false" ht="15" hidden="false" customHeight="false" outlineLevel="0" collapsed="false">
      <c r="A52" s="5" t="s">
        <v>176</v>
      </c>
      <c r="B52" s="39" t="str">
        <f aca="false">INDEX(PARÁMETROS!$F$70:$F$89,MATCH(C52,PARÁMETROS!$A$70:$A$89,0))</f>
        <v>Acero</v>
      </c>
      <c r="C52" s="5" t="s">
        <v>146</v>
      </c>
      <c r="D52" s="39" t="str">
        <f aca="false">INDEX(PARÁMETROS!$B$70:$B$89,MATCH(C52,PARÁMETROS!$A$70:$A$89,0))</f>
        <v>und</v>
      </c>
      <c r="E52" s="33" t="n">
        <f aca="false">SUMIFS('METRADO POR NIVEL'!$V$4:$V$150,'METRADO POR NIVEL'!$A$4:$A$150,A52)</f>
        <v>211.992365786378</v>
      </c>
      <c r="F52" s="25" t="n">
        <f aca="false">ROUNDUP(E52,0)</f>
        <v>212</v>
      </c>
      <c r="G52" s="40" t="n">
        <f aca="false">INDEX(PARÁMETROS!$C$70:$C$89,MATCH(C52,PARÁMETROS!$A$70:$A$89,0))</f>
        <v>0.5</v>
      </c>
      <c r="H52" s="44" t="n">
        <f aca="false">F52*G52</f>
        <v>106</v>
      </c>
      <c r="I52" s="5"/>
      <c r="J52" s="7"/>
    </row>
    <row r="53" customFormat="false" ht="15" hidden="false" customHeight="false" outlineLevel="0" collapsed="false">
      <c r="A53" s="5" t="s">
        <v>176</v>
      </c>
      <c r="B53" s="39" t="str">
        <f aca="false">INDEX(PARÁMETROS!$F$70:$F$89,MATCH(C53,PARÁMETROS!$A$70:$A$89,0))</f>
        <v>Encofrado</v>
      </c>
      <c r="C53" s="5" t="s">
        <v>148</v>
      </c>
      <c r="D53" s="39" t="str">
        <f aca="false">INDEX(PARÁMETROS!$B$70:$B$89,MATCH(C53,PARÁMETROS!$A$70:$A$89,0))</f>
        <v>p²</v>
      </c>
      <c r="E53" s="33" t="n">
        <f aca="false">SUMIFS('METRADO POR NIVEL'!$O$4:$O$150,'METRADO POR NIVEL'!$A$4:$A$150,A53)</f>
        <v>37.6216600315403</v>
      </c>
      <c r="F53" s="25" t="n">
        <f aca="false">ROUNDUP(E53,0)</f>
        <v>38</v>
      </c>
      <c r="G53" s="40" t="n">
        <f aca="false">INDEX(PARÁMETROS!$C$70:$C$89,MATCH(C53,PARÁMETROS!$A$70:$A$89,0))</f>
        <v>5.5</v>
      </c>
      <c r="H53" s="44" t="n">
        <f aca="false">F53*G53</f>
        <v>209</v>
      </c>
      <c r="I53" s="5"/>
      <c r="J53" s="7" t="s">
        <v>287</v>
      </c>
    </row>
    <row r="54" customFormat="false" ht="15" hidden="false" customHeight="false" outlineLevel="0" collapsed="false">
      <c r="A54" s="5" t="s">
        <v>176</v>
      </c>
      <c r="B54" s="39" t="str">
        <f aca="false">INDEX(PARÁMETROS!$F$70:$F$89,MATCH(C54,PARÁMETROS!$A$70:$A$89,0))</f>
        <v>Encofrado</v>
      </c>
      <c r="C54" s="5" t="s">
        <v>153</v>
      </c>
      <c r="D54" s="39" t="str">
        <f aca="false">INDEX(PARÁMETROS!$B$70:$B$89,MATCH(C54,PARÁMETROS!$A$70:$A$89,0))</f>
        <v>plancha</v>
      </c>
      <c r="E54" s="33" t="n">
        <f aca="false">SUMIFS('METRADO POR NIVEL'!$P$4:$P$150,'METRADO POR NIVEL'!$A$4:$A$150,A54)/(1.22*2.44)</f>
        <v>0</v>
      </c>
      <c r="F54" s="25" t="n">
        <f aca="false">ROUNDUP(E54,0)</f>
        <v>0</v>
      </c>
      <c r="G54" s="40" t="n">
        <f aca="false">INDEX(PARÁMETROS!$C$70:$C$89,MATCH(C54,PARÁMETROS!$A$70:$A$89,0))</f>
        <v>115</v>
      </c>
      <c r="H54" s="44" t="n">
        <f aca="false">F54*G54</f>
        <v>0</v>
      </c>
      <c r="I54" s="5"/>
      <c r="J54" s="7" t="s">
        <v>288</v>
      </c>
    </row>
    <row r="55" customFormat="false" ht="15" hidden="false" customHeight="false" outlineLevel="0" collapsed="false">
      <c r="A55" s="5" t="s">
        <v>176</v>
      </c>
      <c r="B55" s="39" t="str">
        <f aca="false">INDEX(PARÁMETROS!$F$70:$F$89,MATCH(C55,PARÁMETROS!$A$70:$A$89,0))</f>
        <v>Encofrado</v>
      </c>
      <c r="C55" s="5" t="s">
        <v>155</v>
      </c>
      <c r="D55" s="39" t="str">
        <f aca="false">INDEX(PARÁMETROS!$B$70:$B$89,MATCH(C55,PARÁMETROS!$A$70:$A$89,0))</f>
        <v>und</v>
      </c>
      <c r="E55" s="33" t="n">
        <f aca="false">SUMIFS('METRADO POR NIVEL'!$S$4:$S$150,'METRADO POR NIVEL'!$A$4:$A$150,A55)</f>
        <v>0</v>
      </c>
      <c r="F55" s="25" t="n">
        <f aca="false">ROUNDUP(E55,0)</f>
        <v>0</v>
      </c>
      <c r="G55" s="40" t="n">
        <f aca="false">INDEX(PARÁMETROS!$C$70:$C$89,MATCH(C55,PARÁMETROS!$A$70:$A$89,0))</f>
        <v>18</v>
      </c>
      <c r="H55" s="44" t="n">
        <f aca="false">F55*G55</f>
        <v>0</v>
      </c>
      <c r="I55" s="5"/>
      <c r="J55" s="7" t="s">
        <v>287</v>
      </c>
    </row>
    <row r="56" customFormat="false" ht="15" hidden="false" customHeight="false" outlineLevel="0" collapsed="false">
      <c r="A56" s="5" t="s">
        <v>176</v>
      </c>
      <c r="B56" s="39" t="str">
        <f aca="false">INDEX(PARÁMETROS!$F$70:$F$89,MATCH(C56,PARÁMETROS!$A$70:$A$89,0))</f>
        <v>Encofrado</v>
      </c>
      <c r="C56" s="5" t="s">
        <v>157</v>
      </c>
      <c r="D56" s="39" t="str">
        <f aca="false">INDEX(PARÁMETROS!$B$70:$B$89,MATCH(C56,PARÁMETROS!$A$70:$A$89,0))</f>
        <v>kg</v>
      </c>
      <c r="E56" s="33" t="n">
        <f aca="false">SUMIFS('METRADO POR NIVEL'!$Q$4:$Q$150,'METRADO POR NIVEL'!$A$4:$A$150,A56)</f>
        <v>6.44942743397834</v>
      </c>
      <c r="F56" s="25" t="n">
        <f aca="false">ROUNDUP(E56,0)</f>
        <v>7</v>
      </c>
      <c r="G56" s="40" t="n">
        <f aca="false">INDEX(PARÁMETROS!$C$70:$C$89,MATCH(C56,PARÁMETROS!$A$70:$A$89,0))</f>
        <v>6.5</v>
      </c>
      <c r="H56" s="44" t="n">
        <f aca="false">F56*G56</f>
        <v>45.5</v>
      </c>
      <c r="I56" s="5"/>
      <c r="J56" s="7"/>
    </row>
    <row r="57" customFormat="false" ht="15" hidden="false" customHeight="false" outlineLevel="0" collapsed="false">
      <c r="A57" s="5" t="s">
        <v>176</v>
      </c>
      <c r="B57" s="39" t="str">
        <f aca="false">INDEX(PARÁMETROS!$F$70:$F$89,MATCH(C57,PARÁMETROS!$A$70:$A$89,0))</f>
        <v>Encofrado</v>
      </c>
      <c r="C57" s="5" t="s">
        <v>158</v>
      </c>
      <c r="D57" s="39" t="str">
        <f aca="false">INDEX(PARÁMETROS!$B$70:$B$89,MATCH(C57,PARÁMETROS!$A$70:$A$89,0))</f>
        <v>kg</v>
      </c>
      <c r="E57" s="33" t="n">
        <f aca="false">SUMIFS('METRADO POR NIVEL'!$R$4:$R$150,'METRADO POR NIVEL'!$A$4:$A$150,A57)</f>
        <v>8.59923657863779</v>
      </c>
      <c r="F57" s="25" t="n">
        <f aca="false">ROUNDUP(E57,0)</f>
        <v>9</v>
      </c>
      <c r="G57" s="40" t="n">
        <f aca="false">INDEX(PARÁMETROS!$C$70:$C$89,MATCH(C57,PARÁMETROS!$A$70:$A$89,0))</f>
        <v>5.9</v>
      </c>
      <c r="H57" s="44" t="n">
        <f aca="false">F57*G57</f>
        <v>53.1</v>
      </c>
      <c r="I57" s="24" t="n">
        <f aca="false">F57</f>
        <v>9</v>
      </c>
      <c r="J57" s="7" t="s">
        <v>286</v>
      </c>
    </row>
    <row r="58" customFormat="false" ht="15" hidden="false" customHeight="false" outlineLevel="0" collapsed="false">
      <c r="A58" s="5" t="s">
        <v>176</v>
      </c>
      <c r="B58" s="39" t="str">
        <f aca="false">INDEX(PARÁMETROS!$F$70:$F$89,MATCH(C58,PARÁMETROS!$A$70:$A$89,0))</f>
        <v>Encofrado</v>
      </c>
      <c r="C58" s="5" t="s">
        <v>160</v>
      </c>
      <c r="D58" s="39" t="str">
        <f aca="false">INDEX(PARÁMETROS!$B$70:$B$89,MATCH(C58,PARÁMETROS!$A$70:$A$89,0))</f>
        <v>gal</v>
      </c>
      <c r="E58" s="33" t="n">
        <f aca="false">SUMIFS('METRADO POR NIVEL'!$T$4:$T$150,'METRADO POR NIVEL'!$A$4:$A$150,A58)</f>
        <v>0.908770047940585</v>
      </c>
      <c r="F58" s="25" t="n">
        <f aca="false">ROUNDUP(E58,0)</f>
        <v>1</v>
      </c>
      <c r="G58" s="40" t="n">
        <f aca="false">INDEX(PARÁMETROS!$C$70:$C$89,MATCH(C58,PARÁMETROS!$A$70:$A$89,0))</f>
        <v>45</v>
      </c>
      <c r="H58" s="44" t="n">
        <f aca="false">F58*G58</f>
        <v>45</v>
      </c>
      <c r="I58" s="5"/>
      <c r="J58" s="7"/>
    </row>
    <row r="59" customFormat="false" ht="15" hidden="false" customHeight="false" outlineLevel="0" collapsed="false">
      <c r="A59" s="5" t="s">
        <v>176</v>
      </c>
      <c r="B59" s="39" t="str">
        <f aca="false">INDEX(PARÁMETROS!$F$70:$F$89,MATCH(C59,PARÁMETROS!$A$70:$A$89,0))</f>
        <v>Curado</v>
      </c>
      <c r="C59" s="5" t="s">
        <v>162</v>
      </c>
      <c r="D59" s="39" t="str">
        <f aca="false">INDEX(PARÁMETROS!$B$70:$B$89,MATCH(C59,PARÁMETROS!$A$70:$A$89,0))</f>
        <v>gal</v>
      </c>
      <c r="E59" s="33" t="n">
        <f aca="false">SUMIFS('METRADO POR NIVEL'!$U$4:$U$150,'METRADO POR NIVEL'!$A$4:$A$150,A59)</f>
        <v>4.68451485086279</v>
      </c>
      <c r="F59" s="25" t="n">
        <f aca="false">ROUNDUP(E59,0)</f>
        <v>5</v>
      </c>
      <c r="G59" s="40" t="n">
        <f aca="false">INDEX(PARÁMETROS!$C$70:$C$89,MATCH(C59,PARÁMETROS!$A$70:$A$89,0))</f>
        <v>40</v>
      </c>
      <c r="H59" s="44" t="n">
        <f aca="false">F59*G59</f>
        <v>200</v>
      </c>
      <c r="I59" s="5"/>
      <c r="J59" s="7"/>
    </row>
    <row r="60" customFormat="false" ht="15" hidden="false" customHeight="false" outlineLevel="0" collapsed="false">
      <c r="A60" s="27"/>
      <c r="B60" s="27"/>
      <c r="C60" s="26" t="s">
        <v>289</v>
      </c>
      <c r="D60" s="27"/>
      <c r="E60" s="27"/>
      <c r="F60" s="27"/>
      <c r="G60" s="27"/>
      <c r="H60" s="45" t="n">
        <f aca="false">SUM(H40:H59)</f>
        <v>23959.08</v>
      </c>
      <c r="I60" s="27"/>
      <c r="J60" s="27"/>
    </row>
    <row r="62" customFormat="false" ht="15" hidden="false" customHeight="false" outlineLevel="0" collapsed="false">
      <c r="A62" s="18" t="s">
        <v>212</v>
      </c>
      <c r="B62" s="19"/>
      <c r="C62" s="19"/>
      <c r="D62" s="19"/>
      <c r="E62" s="19"/>
      <c r="F62" s="19"/>
      <c r="G62" s="19"/>
      <c r="H62" s="19"/>
      <c r="I62" s="19"/>
      <c r="J62" s="19"/>
    </row>
    <row r="63" customFormat="false" ht="36" hidden="false" customHeight="true" outlineLevel="0" collapsed="false">
      <c r="A63" s="4" t="s">
        <v>177</v>
      </c>
      <c r="B63" s="4" t="s">
        <v>112</v>
      </c>
      <c r="C63" s="4" t="s">
        <v>107</v>
      </c>
      <c r="D63" s="4" t="s">
        <v>108</v>
      </c>
      <c r="E63" s="4" t="s">
        <v>273</v>
      </c>
      <c r="F63" s="4" t="s">
        <v>274</v>
      </c>
      <c r="G63" s="4" t="s">
        <v>275</v>
      </c>
      <c r="H63" s="4" t="s">
        <v>284</v>
      </c>
      <c r="I63" s="4" t="s">
        <v>277</v>
      </c>
      <c r="J63" s="4" t="s">
        <v>198</v>
      </c>
    </row>
    <row r="64" customFormat="false" ht="15" hidden="false" customHeight="false" outlineLevel="0" collapsed="false">
      <c r="A64" s="5" t="s">
        <v>212</v>
      </c>
      <c r="B64" s="39" t="str">
        <f aca="false">INDEX(PARÁMETROS!$F$70:$F$89,MATCH(C64,PARÁMETROS!$A$70:$A$89,0))</f>
        <v>Concreto</v>
      </c>
      <c r="C64" s="5" t="s">
        <v>114</v>
      </c>
      <c r="D64" s="39" t="str">
        <f aca="false">INDEX(PARÁMETROS!$B$70:$B$89,MATCH(C64,PARÁMETROS!$A$70:$A$89,0))</f>
        <v>bolsa</v>
      </c>
      <c r="E64" s="33" t="n">
        <f aca="false">SUMIFS('METRADO POR NIVEL'!$I$4:$I$150,'METRADO POR NIVEL'!$A$4:$A$150,A64)</f>
        <v>122.976813863411</v>
      </c>
      <c r="F64" s="25" t="n">
        <f aca="false">ROUNDUP(E64,0)</f>
        <v>123</v>
      </c>
      <c r="G64" s="40" t="n">
        <f aca="false">INDEX(PARÁMETROS!$C$70:$C$89,MATCH(C64,PARÁMETROS!$A$70:$A$89,0))</f>
        <v>27</v>
      </c>
      <c r="H64" s="44" t="n">
        <f aca="false">F64*G64</f>
        <v>3321</v>
      </c>
      <c r="I64" s="5"/>
      <c r="J64" s="7"/>
    </row>
    <row r="65" customFormat="false" ht="15" hidden="false" customHeight="false" outlineLevel="0" collapsed="false">
      <c r="A65" s="5" t="s">
        <v>212</v>
      </c>
      <c r="B65" s="39" t="str">
        <f aca="false">INDEX(PARÁMETROS!$F$70:$F$89,MATCH(C65,PARÁMETROS!$A$70:$A$89,0))</f>
        <v>Concreto</v>
      </c>
      <c r="C65" s="5" t="s">
        <v>119</v>
      </c>
      <c r="D65" s="39" t="str">
        <f aca="false">INDEX(PARÁMETROS!$B$70:$B$89,MATCH(C65,PARÁMETROS!$A$70:$A$89,0))</f>
        <v>m³</v>
      </c>
      <c r="E65" s="33" t="n">
        <f aca="false">SUMIFS('METRADO POR NIVEL'!$J$4:$J$150,'METRADO POR NIVEL'!$A$4:$A$150,A65)</f>
        <v>7.42273104921224</v>
      </c>
      <c r="F65" s="24" t="n">
        <f aca="false">CEILING(E65,0.5)</f>
        <v>7.5</v>
      </c>
      <c r="G65" s="40" t="n">
        <f aca="false">INDEX(PARÁMETROS!$C$70:$C$89,MATCH(C65,PARÁMETROS!$A$70:$A$89,0))</f>
        <v>70</v>
      </c>
      <c r="H65" s="44" t="n">
        <f aca="false">F65*G65</f>
        <v>525</v>
      </c>
      <c r="I65" s="5"/>
      <c r="J65" s="7"/>
    </row>
    <row r="66" customFormat="false" ht="15" hidden="false" customHeight="false" outlineLevel="0" collapsed="false">
      <c r="A66" s="5" t="s">
        <v>212</v>
      </c>
      <c r="B66" s="39" t="str">
        <f aca="false">INDEX(PARÁMETROS!$F$70:$F$89,MATCH(C66,PARÁMETROS!$A$70:$A$89,0))</f>
        <v>Concreto</v>
      </c>
      <c r="C66" s="5" t="s">
        <v>123</v>
      </c>
      <c r="D66" s="39" t="str">
        <f aca="false">INDEX(PARÁMETROS!$B$70:$B$89,MATCH(C66,PARÁMETROS!$A$70:$A$89,0))</f>
        <v>m³</v>
      </c>
      <c r="E66" s="33" t="n">
        <f aca="false">SUMIFS('METRADO POR NIVEL'!$K$4:$K$150,'METRADO POR NIVEL'!$A$4:$A$150,A66)</f>
        <v>7.56182002969977</v>
      </c>
      <c r="F66" s="24" t="n">
        <f aca="false">CEILING(E66,0.5)</f>
        <v>8</v>
      </c>
      <c r="G66" s="40" t="n">
        <f aca="false">INDEX(PARÁMETROS!$C$70:$C$89,MATCH(C66,PARÁMETROS!$A$70:$A$89,0))</f>
        <v>80</v>
      </c>
      <c r="H66" s="44" t="n">
        <f aca="false">F66*G66</f>
        <v>640</v>
      </c>
      <c r="I66" s="5"/>
      <c r="J66" s="7"/>
    </row>
    <row r="67" customFormat="false" ht="15" hidden="false" customHeight="false" outlineLevel="0" collapsed="false">
      <c r="A67" s="5" t="s">
        <v>212</v>
      </c>
      <c r="B67" s="39" t="str">
        <f aca="false">INDEX(PARÁMETROS!$F$70:$F$89,MATCH(C67,PARÁMETROS!$A$70:$A$89,0))</f>
        <v>Concreto</v>
      </c>
      <c r="C67" s="5" t="s">
        <v>125</v>
      </c>
      <c r="D67" s="39" t="str">
        <f aca="false">INDEX(PARÁMETROS!$B$70:$B$89,MATCH(C67,PARÁMETROS!$A$70:$A$89,0))</f>
        <v>m³</v>
      </c>
      <c r="E67" s="33" t="n">
        <f aca="false">SUMIFS('METRADO POR NIVEL'!$L$4:$L$150,'METRADO POR NIVEL'!$A$4:$A$150,A67)</f>
        <v>2.57754983387497</v>
      </c>
      <c r="F67" s="24" t="n">
        <f aca="false">CEILING(E67,0.5)</f>
        <v>3</v>
      </c>
      <c r="G67" s="40" t="n">
        <f aca="false">INDEX(PARÁMETROS!$C$70:$C$89,MATCH(C67,PARÁMETROS!$A$70:$A$89,0))</f>
        <v>7</v>
      </c>
      <c r="H67" s="44" t="n">
        <f aca="false">F67*G67</f>
        <v>21</v>
      </c>
      <c r="I67" s="5"/>
      <c r="J67" s="7"/>
    </row>
    <row r="68" customFormat="false" ht="15" hidden="false" customHeight="false" outlineLevel="0" collapsed="false">
      <c r="A68" s="5" t="s">
        <v>212</v>
      </c>
      <c r="B68" s="39" t="str">
        <f aca="false">INDEX(PARÁMETROS!$F$70:$F$89,MATCH(C68,PARÁMETROS!$A$70:$A$89,0))</f>
        <v>Concreto</v>
      </c>
      <c r="C68" s="5" t="s">
        <v>128</v>
      </c>
      <c r="D68" s="39" t="str">
        <f aca="false">INDEX(PARÁMETROS!$B$70:$B$89,MATCH(C68,PARÁMETROS!$A$70:$A$89,0))</f>
        <v>und</v>
      </c>
      <c r="E68" s="33" t="n">
        <f aca="false">SUMIFS('METRADO POR NIVEL'!$M$4:$M$150,'METRADO POR NIVEL'!$A$4:$A$150,A68)</f>
        <v>0</v>
      </c>
      <c r="F68" s="25" t="n">
        <f aca="false">ROUNDUP(E68,0)</f>
        <v>0</v>
      </c>
      <c r="G68" s="40" t="n">
        <f aca="false">INDEX(PARÁMETROS!$C$70:$C$89,MATCH(C68,PARÁMETROS!$A$70:$A$89,0))</f>
        <v>12.9</v>
      </c>
      <c r="H68" s="44" t="n">
        <f aca="false">F68*G68</f>
        <v>0</v>
      </c>
      <c r="I68" s="5"/>
      <c r="J68" s="7"/>
    </row>
    <row r="69" customFormat="false" ht="15" hidden="false" customHeight="false" outlineLevel="0" collapsed="false">
      <c r="A69" s="5" t="s">
        <v>212</v>
      </c>
      <c r="B69" s="39" t="str">
        <f aca="false">INDEX(PARÁMETROS!$F$70:$F$89,MATCH(C69,PARÁMETROS!$A$70:$A$89,0))</f>
        <v>Acero</v>
      </c>
      <c r="C69" s="5" t="s">
        <v>132</v>
      </c>
      <c r="D69" s="39" t="str">
        <f aca="false">INDEX(PARÁMETROS!$B$70:$B$89,MATCH(C69,PARÁMETROS!$A$70:$A$89,0))</f>
        <v>und</v>
      </c>
      <c r="E69" s="22" t="n">
        <f aca="false">COUNTIFS('PLAN DE CORTE'!$A$5:$A$2516,A69,'PLAN DE CORTE'!$B$5:$B$2516,"1/4")</f>
        <v>0</v>
      </c>
      <c r="F69" s="25" t="n">
        <f aca="false">ROUNDUP(E69,0)</f>
        <v>0</v>
      </c>
      <c r="G69" s="40" t="n">
        <f aca="false">INDEX(PARÁMETROS!$C$70:$C$89,MATCH(C69,PARÁMETROS!$A$70:$A$89,0))</f>
        <v>9.5</v>
      </c>
      <c r="H69" s="44" t="n">
        <f aca="false">F69*G69</f>
        <v>0</v>
      </c>
      <c r="I69" s="24" t="n">
        <f aca="false">F69*9*INDEX(PARÁMETROS!$B$93:$B$97,MATCH("1/4",PARÁMETROS!$A$93:$A$97,0))</f>
        <v>0</v>
      </c>
      <c r="J69" s="7" t="s">
        <v>285</v>
      </c>
    </row>
    <row r="70" customFormat="false" ht="15" hidden="false" customHeight="false" outlineLevel="0" collapsed="false">
      <c r="A70" s="5" t="s">
        <v>212</v>
      </c>
      <c r="B70" s="39" t="str">
        <f aca="false">INDEX(PARÁMETROS!$F$70:$F$89,MATCH(C70,PARÁMETROS!$A$70:$A$89,0))</f>
        <v>Acero</v>
      </c>
      <c r="C70" s="5" t="s">
        <v>136</v>
      </c>
      <c r="D70" s="39" t="str">
        <f aca="false">INDEX(PARÁMETROS!$B$70:$B$89,MATCH(C70,PARÁMETROS!$A$70:$A$89,0))</f>
        <v>und</v>
      </c>
      <c r="E70" s="22" t="n">
        <f aca="false">COUNTIFS('PLAN DE CORTE'!$A$5:$A$2516,A70,'PLAN DE CORTE'!$B$5:$B$2516,"3/8")</f>
        <v>84</v>
      </c>
      <c r="F70" s="25" t="n">
        <f aca="false">ROUNDUP(E70,0)</f>
        <v>84</v>
      </c>
      <c r="G70" s="40" t="n">
        <f aca="false">INDEX(PARÁMETROS!$C$70:$C$89,MATCH(C70,PARÁMETROS!$A$70:$A$89,0))</f>
        <v>20.13</v>
      </c>
      <c r="H70" s="44" t="n">
        <f aca="false">F70*G70</f>
        <v>1690.92</v>
      </c>
      <c r="I70" s="24" t="n">
        <f aca="false">F70*9*INDEX(PARÁMETROS!$B$93:$B$97,MATCH("3/8",PARÁMETROS!$A$93:$A$97,0))</f>
        <v>423.36</v>
      </c>
      <c r="J70" s="7" t="s">
        <v>285</v>
      </c>
    </row>
    <row r="71" customFormat="false" ht="15" hidden="false" customHeight="false" outlineLevel="0" collapsed="false">
      <c r="A71" s="5" t="s">
        <v>212</v>
      </c>
      <c r="B71" s="39" t="str">
        <f aca="false">INDEX(PARÁMETROS!$F$70:$F$89,MATCH(C71,PARÁMETROS!$A$70:$A$89,0))</f>
        <v>Acero</v>
      </c>
      <c r="C71" s="5" t="s">
        <v>138</v>
      </c>
      <c r="D71" s="39" t="str">
        <f aca="false">INDEX(PARÁMETROS!$B$70:$B$89,MATCH(C71,PARÁMETROS!$A$70:$A$89,0))</f>
        <v>und</v>
      </c>
      <c r="E71" s="22" t="n">
        <f aca="false">COUNTIFS('PLAN DE CORTE'!$A$5:$A$2516,A71,'PLAN DE CORTE'!$B$5:$B$2516,"1/2")</f>
        <v>10</v>
      </c>
      <c r="F71" s="25" t="n">
        <f aca="false">ROUNDUP(E71,0)</f>
        <v>10</v>
      </c>
      <c r="G71" s="40" t="n">
        <f aca="false">INDEX(PARÁMETROS!$C$70:$C$89,MATCH(C71,PARÁMETROS!$A$70:$A$89,0))</f>
        <v>36.09</v>
      </c>
      <c r="H71" s="44" t="n">
        <f aca="false">F71*G71</f>
        <v>360.9</v>
      </c>
      <c r="I71" s="24" t="n">
        <f aca="false">F71*9*INDEX(PARÁMETROS!$B$93:$B$97,MATCH("1/2",PARÁMETROS!$A$93:$A$97,0))</f>
        <v>89.46</v>
      </c>
      <c r="J71" s="7" t="s">
        <v>285</v>
      </c>
    </row>
    <row r="72" customFormat="false" ht="15" hidden="false" customHeight="false" outlineLevel="0" collapsed="false">
      <c r="A72" s="5" t="s">
        <v>212</v>
      </c>
      <c r="B72" s="39" t="str">
        <f aca="false">INDEX(PARÁMETROS!$F$70:$F$89,MATCH(C72,PARÁMETROS!$A$70:$A$89,0))</f>
        <v>Acero</v>
      </c>
      <c r="C72" s="5" t="s">
        <v>139</v>
      </c>
      <c r="D72" s="39" t="str">
        <f aca="false">INDEX(PARÁMETROS!$B$70:$B$89,MATCH(C72,PARÁMETROS!$A$70:$A$89,0))</f>
        <v>und</v>
      </c>
      <c r="E72" s="22" t="n">
        <f aca="false">COUNTIFS('PLAN DE CORTE'!$A$5:$A$2516,A72,'PLAN DE CORTE'!$B$5:$B$2516,"5/8")</f>
        <v>68</v>
      </c>
      <c r="F72" s="25" t="n">
        <f aca="false">ROUNDUP(E72,0)</f>
        <v>68</v>
      </c>
      <c r="G72" s="40" t="n">
        <f aca="false">INDEX(PARÁMETROS!$C$70:$C$89,MATCH(C72,PARÁMETROS!$A$70:$A$89,0))</f>
        <v>55.82</v>
      </c>
      <c r="H72" s="44" t="n">
        <f aca="false">F72*G72</f>
        <v>3795.76</v>
      </c>
      <c r="I72" s="24" t="n">
        <f aca="false">F72*9*INDEX(PARÁMETROS!$B$93:$B$97,MATCH("5/8",PARÁMETROS!$A$93:$A$97,0))</f>
        <v>949.824</v>
      </c>
      <c r="J72" s="7" t="s">
        <v>285</v>
      </c>
    </row>
    <row r="73" customFormat="false" ht="15" hidden="false" customHeight="false" outlineLevel="0" collapsed="false">
      <c r="A73" s="5" t="s">
        <v>212</v>
      </c>
      <c r="B73" s="39" t="str">
        <f aca="false">INDEX(PARÁMETROS!$F$70:$F$89,MATCH(C73,PARÁMETROS!$A$70:$A$89,0))</f>
        <v>Acero</v>
      </c>
      <c r="C73" s="5" t="s">
        <v>140</v>
      </c>
      <c r="D73" s="39" t="str">
        <f aca="false">INDEX(PARÁMETROS!$B$70:$B$89,MATCH(C73,PARÁMETROS!$A$70:$A$89,0))</f>
        <v>und</v>
      </c>
      <c r="E73" s="22" t="n">
        <f aca="false">COUNTIFS('PLAN DE CORTE'!$A$5:$A$2516,A73,'PLAN DE CORTE'!$B$5:$B$2516,"3/4")</f>
        <v>0</v>
      </c>
      <c r="F73" s="25" t="n">
        <f aca="false">ROUNDUP(E73,0)</f>
        <v>0</v>
      </c>
      <c r="G73" s="40" t="n">
        <f aca="false">INDEX(PARÁMETROS!$C$70:$C$89,MATCH(C73,PARÁMETROS!$A$70:$A$89,0))</f>
        <v>82.09</v>
      </c>
      <c r="H73" s="44" t="n">
        <f aca="false">F73*G73</f>
        <v>0</v>
      </c>
      <c r="I73" s="24" t="n">
        <f aca="false">F73*9*INDEX(PARÁMETROS!$B$93:$B$97,MATCH("3/4",PARÁMETROS!$A$93:$A$97,0))</f>
        <v>0</v>
      </c>
      <c r="J73" s="7" t="s">
        <v>285</v>
      </c>
    </row>
    <row r="74" customFormat="false" ht="15" hidden="false" customHeight="false" outlineLevel="0" collapsed="false">
      <c r="A74" s="5" t="s">
        <v>212</v>
      </c>
      <c r="B74" s="39" t="str">
        <f aca="false">INDEX(PARÁMETROS!$F$70:$F$89,MATCH(C74,PARÁMETROS!$A$70:$A$89,0))</f>
        <v>Acero</v>
      </c>
      <c r="C74" s="5" t="s">
        <v>141</v>
      </c>
      <c r="D74" s="39" t="str">
        <f aca="false">INDEX(PARÁMETROS!$B$70:$B$89,MATCH(C74,PARÁMETROS!$A$70:$A$89,0))</f>
        <v>kg</v>
      </c>
      <c r="E74" s="33" t="n">
        <f aca="false">SUMIFS('METRADO POR NIVEL'!$N$4:$N$150,'METRADO POR NIVEL'!$A$4:$A$150,A74)</f>
        <v>38.56495884</v>
      </c>
      <c r="F74" s="25" t="n">
        <f aca="false">ROUNDUP(E74,0)</f>
        <v>39</v>
      </c>
      <c r="G74" s="40" t="n">
        <f aca="false">INDEX(PARÁMETROS!$C$70:$C$89,MATCH(C74,PARÁMETROS!$A$70:$A$89,0))</f>
        <v>3.65</v>
      </c>
      <c r="H74" s="44" t="n">
        <f aca="false">F74*G74</f>
        <v>142.35</v>
      </c>
      <c r="I74" s="24" t="n">
        <f aca="false">F74</f>
        <v>39</v>
      </c>
      <c r="J74" s="7" t="s">
        <v>286</v>
      </c>
    </row>
    <row r="75" customFormat="false" ht="15" hidden="false" customHeight="false" outlineLevel="0" collapsed="false">
      <c r="A75" s="5" t="s">
        <v>212</v>
      </c>
      <c r="B75" s="39" t="str">
        <f aca="false">INDEX(PARÁMETROS!$F$70:$F$89,MATCH(C75,PARÁMETROS!$A$70:$A$89,0))</f>
        <v>Acero</v>
      </c>
      <c r="C75" s="5" t="s">
        <v>144</v>
      </c>
      <c r="D75" s="39" t="str">
        <f aca="false">INDEX(PARÁMETROS!$B$70:$B$89,MATCH(C75,PARÁMETROS!$A$70:$A$89,0))</f>
        <v>und</v>
      </c>
      <c r="E75" s="33" t="n">
        <f aca="false">SUMIFS('METRADO POR NIVEL'!$W$4:$W$150,'METRADO POR NIVEL'!$A$4:$A$150,A75)</f>
        <v>6.12</v>
      </c>
      <c r="F75" s="25" t="n">
        <f aca="false">ROUNDUP(E75,0)</f>
        <v>7</v>
      </c>
      <c r="G75" s="40" t="n">
        <f aca="false">INDEX(PARÁMETROS!$C$70:$C$89,MATCH(C75,PARÁMETROS!$A$70:$A$89,0))</f>
        <v>12</v>
      </c>
      <c r="H75" s="44" t="n">
        <f aca="false">F75*G75</f>
        <v>84</v>
      </c>
      <c r="I75" s="5"/>
      <c r="J75" s="7"/>
    </row>
    <row r="76" customFormat="false" ht="15" hidden="false" customHeight="false" outlineLevel="0" collapsed="false">
      <c r="A76" s="5" t="s">
        <v>212</v>
      </c>
      <c r="B76" s="39" t="str">
        <f aca="false">INDEX(PARÁMETROS!$F$70:$F$89,MATCH(C76,PARÁMETROS!$A$70:$A$89,0))</f>
        <v>Acero</v>
      </c>
      <c r="C76" s="5" t="s">
        <v>146</v>
      </c>
      <c r="D76" s="39" t="str">
        <f aca="false">INDEX(PARÁMETROS!$B$70:$B$89,MATCH(C76,PARÁMETROS!$A$70:$A$89,0))</f>
        <v>und</v>
      </c>
      <c r="E76" s="33" t="n">
        <f aca="false">SUMIFS('METRADO POR NIVEL'!$V$4:$V$150,'METRADO POR NIVEL'!$A$4:$A$150,A76)</f>
        <v>69.3841692472147</v>
      </c>
      <c r="F76" s="25" t="n">
        <f aca="false">ROUNDUP(E76,0)</f>
        <v>70</v>
      </c>
      <c r="G76" s="40" t="n">
        <f aca="false">INDEX(PARÁMETROS!$C$70:$C$89,MATCH(C76,PARÁMETROS!$A$70:$A$89,0))</f>
        <v>0.5</v>
      </c>
      <c r="H76" s="44" t="n">
        <f aca="false">F76*G76</f>
        <v>35</v>
      </c>
      <c r="I76" s="5"/>
      <c r="J76" s="7"/>
    </row>
    <row r="77" customFormat="false" ht="15" hidden="false" customHeight="false" outlineLevel="0" collapsed="false">
      <c r="A77" s="5" t="s">
        <v>212</v>
      </c>
      <c r="B77" s="39" t="str">
        <f aca="false">INDEX(PARÁMETROS!$F$70:$F$89,MATCH(C77,PARÁMETROS!$A$70:$A$89,0))</f>
        <v>Encofrado</v>
      </c>
      <c r="C77" s="5" t="s">
        <v>148</v>
      </c>
      <c r="D77" s="39" t="str">
        <f aca="false">INDEX(PARÁMETROS!$B$70:$B$89,MATCH(C77,PARÁMETROS!$A$70:$A$89,0))</f>
        <v>p²</v>
      </c>
      <c r="E77" s="33" t="n">
        <f aca="false">SUMIFS('METRADO POR NIVEL'!$O$4:$O$150,'METRADO POR NIVEL'!$A$4:$A$150,A77)</f>
        <v>26.0190634677055</v>
      </c>
      <c r="F77" s="25" t="n">
        <f aca="false">ROUNDUP(E77,0)</f>
        <v>27</v>
      </c>
      <c r="G77" s="40" t="n">
        <f aca="false">INDEX(PARÁMETROS!$C$70:$C$89,MATCH(C77,PARÁMETROS!$A$70:$A$89,0))</f>
        <v>5.5</v>
      </c>
      <c r="H77" s="44" t="n">
        <f aca="false">F77*G77</f>
        <v>148.5</v>
      </c>
      <c r="I77" s="5"/>
      <c r="J77" s="7" t="s">
        <v>287</v>
      </c>
    </row>
    <row r="78" customFormat="false" ht="15" hidden="false" customHeight="false" outlineLevel="0" collapsed="false">
      <c r="A78" s="5" t="s">
        <v>212</v>
      </c>
      <c r="B78" s="39" t="str">
        <f aca="false">INDEX(PARÁMETROS!$F$70:$F$89,MATCH(C78,PARÁMETROS!$A$70:$A$89,0))</f>
        <v>Encofrado</v>
      </c>
      <c r="C78" s="5" t="s">
        <v>153</v>
      </c>
      <c r="D78" s="39" t="str">
        <f aca="false">INDEX(PARÁMETROS!$B$70:$B$89,MATCH(C78,PARÁMETROS!$A$70:$A$89,0))</f>
        <v>plancha</v>
      </c>
      <c r="E78" s="33" t="n">
        <f aca="false">SUMIFS('METRADO POR NIVEL'!$P$4:$P$150,'METRADO POR NIVEL'!$A$4:$A$150,A78)/(1.22*2.44)</f>
        <v>2.447372269201</v>
      </c>
      <c r="F78" s="25" t="n">
        <f aca="false">ROUNDUP(E78,0)</f>
        <v>3</v>
      </c>
      <c r="G78" s="40" t="n">
        <f aca="false">INDEX(PARÁMETROS!$C$70:$C$89,MATCH(C78,PARÁMETROS!$A$70:$A$89,0))</f>
        <v>115</v>
      </c>
      <c r="H78" s="44" t="n">
        <f aca="false">F78*G78</f>
        <v>345</v>
      </c>
      <c r="I78" s="5"/>
      <c r="J78" s="7" t="s">
        <v>288</v>
      </c>
    </row>
    <row r="79" customFormat="false" ht="15" hidden="false" customHeight="false" outlineLevel="0" collapsed="false">
      <c r="A79" s="5" t="s">
        <v>212</v>
      </c>
      <c r="B79" s="39" t="str">
        <f aca="false">INDEX(PARÁMETROS!$F$70:$F$89,MATCH(C79,PARÁMETROS!$A$70:$A$89,0))</f>
        <v>Encofrado</v>
      </c>
      <c r="C79" s="5" t="s">
        <v>155</v>
      </c>
      <c r="D79" s="39" t="str">
        <f aca="false">INDEX(PARÁMETROS!$B$70:$B$89,MATCH(C79,PARÁMETROS!$A$70:$A$89,0))</f>
        <v>und</v>
      </c>
      <c r="E79" s="33" t="n">
        <f aca="false">SUMIFS('METRADO POR NIVEL'!$S$4:$S$150,'METRADO POR NIVEL'!$A$4:$A$150,A79)</f>
        <v>0</v>
      </c>
      <c r="F79" s="25" t="n">
        <f aca="false">ROUNDUP(E79,0)</f>
        <v>0</v>
      </c>
      <c r="G79" s="40" t="n">
        <f aca="false">INDEX(PARÁMETROS!$C$70:$C$89,MATCH(C79,PARÁMETROS!$A$70:$A$89,0))</f>
        <v>18</v>
      </c>
      <c r="H79" s="44" t="n">
        <f aca="false">F79*G79</f>
        <v>0</v>
      </c>
      <c r="I79" s="5"/>
      <c r="J79" s="7" t="s">
        <v>287</v>
      </c>
    </row>
    <row r="80" customFormat="false" ht="15" hidden="false" customHeight="false" outlineLevel="0" collapsed="false">
      <c r="A80" s="5" t="s">
        <v>212</v>
      </c>
      <c r="B80" s="39" t="str">
        <f aca="false">INDEX(PARÁMETROS!$F$70:$F$89,MATCH(C80,PARÁMETROS!$A$70:$A$89,0))</f>
        <v>Encofrado</v>
      </c>
      <c r="C80" s="5" t="s">
        <v>157</v>
      </c>
      <c r="D80" s="39" t="str">
        <f aca="false">INDEX(PARÁMETROS!$B$70:$B$89,MATCH(C80,PARÁMETROS!$A$70:$A$89,0))</f>
        <v>kg</v>
      </c>
      <c r="E80" s="33" t="n">
        <f aca="false">SUMIFS('METRADO POR NIVEL'!$Q$4:$Q$150,'METRADO POR NIVEL'!$A$4:$A$150,A80)</f>
        <v>5.2038126935411</v>
      </c>
      <c r="F80" s="25" t="n">
        <f aca="false">ROUNDUP(E80,0)</f>
        <v>6</v>
      </c>
      <c r="G80" s="40" t="n">
        <f aca="false">INDEX(PARÁMETROS!$C$70:$C$89,MATCH(C80,PARÁMETROS!$A$70:$A$89,0))</f>
        <v>6.5</v>
      </c>
      <c r="H80" s="44" t="n">
        <f aca="false">F80*G80</f>
        <v>39</v>
      </c>
      <c r="I80" s="5"/>
      <c r="J80" s="7"/>
    </row>
    <row r="81" customFormat="false" ht="15" hidden="false" customHeight="false" outlineLevel="0" collapsed="false">
      <c r="A81" s="5" t="s">
        <v>212</v>
      </c>
      <c r="B81" s="39" t="str">
        <f aca="false">INDEX(PARÁMETROS!$F$70:$F$89,MATCH(C81,PARÁMETROS!$A$70:$A$89,0))</f>
        <v>Encofrado</v>
      </c>
      <c r="C81" s="5" t="s">
        <v>158</v>
      </c>
      <c r="D81" s="39" t="str">
        <f aca="false">INDEX(PARÁMETROS!$B$70:$B$89,MATCH(C81,PARÁMETROS!$A$70:$A$89,0))</f>
        <v>kg</v>
      </c>
      <c r="E81" s="33" t="n">
        <f aca="false">SUMIFS('METRADO POR NIVEL'!$R$4:$R$150,'METRADO POR NIVEL'!$A$4:$A$150,A81)</f>
        <v>8.67302115590184</v>
      </c>
      <c r="F81" s="25" t="n">
        <f aca="false">ROUNDUP(E81,0)</f>
        <v>9</v>
      </c>
      <c r="G81" s="40" t="n">
        <f aca="false">INDEX(PARÁMETROS!$C$70:$C$89,MATCH(C81,PARÁMETROS!$A$70:$A$89,0))</f>
        <v>5.9</v>
      </c>
      <c r="H81" s="44" t="n">
        <f aca="false">F81*G81</f>
        <v>53.1</v>
      </c>
      <c r="I81" s="24" t="n">
        <f aca="false">F81</f>
        <v>9</v>
      </c>
      <c r="J81" s="7" t="s">
        <v>286</v>
      </c>
    </row>
    <row r="82" customFormat="false" ht="15" hidden="false" customHeight="false" outlineLevel="0" collapsed="false">
      <c r="A82" s="5" t="s">
        <v>212</v>
      </c>
      <c r="B82" s="39" t="str">
        <f aca="false">INDEX(PARÁMETROS!$F$70:$F$89,MATCH(C82,PARÁMETROS!$A$70:$A$89,0))</f>
        <v>Encofrado</v>
      </c>
      <c r="C82" s="5" t="s">
        <v>160</v>
      </c>
      <c r="D82" s="39" t="str">
        <f aca="false">INDEX(PARÁMETROS!$B$70:$B$89,MATCH(C82,PARÁMETROS!$A$70:$A$89,0))</f>
        <v>gal</v>
      </c>
      <c r="E82" s="33" t="n">
        <f aca="false">SUMIFS('METRADO POR NIVEL'!$T$4:$T$150,'METRADO POR NIVEL'!$A$4:$A$150,A82)</f>
        <v>0.733254100366866</v>
      </c>
      <c r="F82" s="25" t="n">
        <f aca="false">ROUNDUP(E82,0)</f>
        <v>1</v>
      </c>
      <c r="G82" s="40" t="n">
        <f aca="false">INDEX(PARÁMETROS!$C$70:$C$89,MATCH(C82,PARÁMETROS!$A$70:$A$89,0))</f>
        <v>45</v>
      </c>
      <c r="H82" s="44" t="n">
        <f aca="false">F82*G82</f>
        <v>45</v>
      </c>
      <c r="I82" s="5"/>
      <c r="J82" s="7"/>
    </row>
    <row r="83" customFormat="false" ht="15" hidden="false" customHeight="false" outlineLevel="0" collapsed="false">
      <c r="A83" s="5" t="s">
        <v>212</v>
      </c>
      <c r="B83" s="39" t="str">
        <f aca="false">INDEX(PARÁMETROS!$F$70:$F$89,MATCH(C83,PARÁMETROS!$A$70:$A$89,0))</f>
        <v>Curado</v>
      </c>
      <c r="C83" s="5" t="s">
        <v>162</v>
      </c>
      <c r="D83" s="39" t="str">
        <f aca="false">INDEX(PARÁMETROS!$B$70:$B$89,MATCH(C83,PARÁMETROS!$A$70:$A$89,0))</f>
        <v>gal</v>
      </c>
      <c r="E83" s="33" t="n">
        <f aca="false">SUMIFS('METRADO POR NIVEL'!$U$4:$U$150,'METRADO POR NIVEL'!$A$4:$A$150,A83)</f>
        <v>6.44718185329735</v>
      </c>
      <c r="F83" s="25" t="n">
        <f aca="false">ROUNDUP(E83,0)</f>
        <v>7</v>
      </c>
      <c r="G83" s="40" t="n">
        <f aca="false">INDEX(PARÁMETROS!$C$70:$C$89,MATCH(C83,PARÁMETROS!$A$70:$A$89,0))</f>
        <v>40</v>
      </c>
      <c r="H83" s="44" t="n">
        <f aca="false">F83*G83</f>
        <v>280</v>
      </c>
      <c r="I83" s="5"/>
      <c r="J83" s="7"/>
    </row>
    <row r="84" customFormat="false" ht="15" hidden="false" customHeight="false" outlineLevel="0" collapsed="false">
      <c r="A84" s="27"/>
      <c r="B84" s="27"/>
      <c r="C84" s="26" t="s">
        <v>290</v>
      </c>
      <c r="D84" s="27"/>
      <c r="E84" s="27"/>
      <c r="F84" s="27"/>
      <c r="G84" s="27"/>
      <c r="H84" s="45" t="n">
        <f aca="false">SUM(H64:H83)</f>
        <v>11526.53</v>
      </c>
      <c r="I84" s="27"/>
      <c r="J84" s="27"/>
    </row>
    <row r="86" customFormat="false" ht="15" hidden="false" customHeight="false" outlineLevel="0" collapsed="false">
      <c r="A86" s="18" t="s">
        <v>216</v>
      </c>
      <c r="B86" s="19"/>
      <c r="C86" s="19"/>
      <c r="D86" s="19"/>
      <c r="E86" s="19"/>
      <c r="F86" s="19"/>
      <c r="G86" s="19"/>
      <c r="H86" s="19"/>
      <c r="I86" s="19"/>
      <c r="J86" s="19"/>
    </row>
    <row r="87" customFormat="false" ht="36" hidden="false" customHeight="true" outlineLevel="0" collapsed="false">
      <c r="A87" s="4" t="s">
        <v>177</v>
      </c>
      <c r="B87" s="4" t="s">
        <v>112</v>
      </c>
      <c r="C87" s="4" t="s">
        <v>107</v>
      </c>
      <c r="D87" s="4" t="s">
        <v>108</v>
      </c>
      <c r="E87" s="4" t="s">
        <v>273</v>
      </c>
      <c r="F87" s="4" t="s">
        <v>274</v>
      </c>
      <c r="G87" s="4" t="s">
        <v>275</v>
      </c>
      <c r="H87" s="4" t="s">
        <v>284</v>
      </c>
      <c r="I87" s="4" t="s">
        <v>277</v>
      </c>
      <c r="J87" s="4" t="s">
        <v>198</v>
      </c>
    </row>
    <row r="88" customFormat="false" ht="15" hidden="false" customHeight="false" outlineLevel="0" collapsed="false">
      <c r="A88" s="5" t="s">
        <v>216</v>
      </c>
      <c r="B88" s="39" t="str">
        <f aca="false">INDEX(PARÁMETROS!$F$70:$F$89,MATCH(C88,PARÁMETROS!$A$70:$A$89,0))</f>
        <v>Concreto</v>
      </c>
      <c r="C88" s="5" t="s">
        <v>114</v>
      </c>
      <c r="D88" s="39" t="str">
        <f aca="false">INDEX(PARÁMETROS!$B$70:$B$89,MATCH(C88,PARÁMETROS!$A$70:$A$89,0))</f>
        <v>bolsa</v>
      </c>
      <c r="E88" s="33" t="n">
        <f aca="false">SUMIFS('METRADO POR NIVEL'!$I$4:$I$150,'METRADO POR NIVEL'!$A$4:$A$150,A88)</f>
        <v>288.211294185604</v>
      </c>
      <c r="F88" s="25" t="n">
        <f aca="false">ROUNDUP(E88,0)</f>
        <v>289</v>
      </c>
      <c r="G88" s="40" t="n">
        <f aca="false">INDEX(PARÁMETROS!$C$70:$C$89,MATCH(C88,PARÁMETROS!$A$70:$A$89,0))</f>
        <v>27</v>
      </c>
      <c r="H88" s="44" t="n">
        <f aca="false">F88*G88</f>
        <v>7803</v>
      </c>
      <c r="I88" s="5"/>
      <c r="J88" s="7"/>
    </row>
    <row r="89" customFormat="false" ht="15" hidden="false" customHeight="false" outlineLevel="0" collapsed="false">
      <c r="A89" s="5" t="s">
        <v>216</v>
      </c>
      <c r="B89" s="39" t="str">
        <f aca="false">INDEX(PARÁMETROS!$F$70:$F$89,MATCH(C89,PARÁMETROS!$A$70:$A$89,0))</f>
        <v>Concreto</v>
      </c>
      <c r="C89" s="5" t="s">
        <v>119</v>
      </c>
      <c r="D89" s="39" t="str">
        <f aca="false">INDEX(PARÁMETROS!$B$70:$B$89,MATCH(C89,PARÁMETROS!$A$70:$A$89,0))</f>
        <v>m³</v>
      </c>
      <c r="E89" s="33" t="n">
        <f aca="false">SUMIFS('METRADO POR NIVEL'!$J$4:$J$150,'METRADO POR NIVEL'!$A$4:$A$150,A89)</f>
        <v>15.4028646430128</v>
      </c>
      <c r="F89" s="24" t="n">
        <f aca="false">CEILING(E89,0.5)</f>
        <v>15.5</v>
      </c>
      <c r="G89" s="40" t="n">
        <f aca="false">INDEX(PARÁMETROS!$C$70:$C$89,MATCH(C89,PARÁMETROS!$A$70:$A$89,0))</f>
        <v>70</v>
      </c>
      <c r="H89" s="44" t="n">
        <f aca="false">F89*G89</f>
        <v>1085</v>
      </c>
      <c r="I89" s="5"/>
      <c r="J89" s="7"/>
    </row>
    <row r="90" customFormat="false" ht="15" hidden="false" customHeight="false" outlineLevel="0" collapsed="false">
      <c r="A90" s="5" t="s">
        <v>216</v>
      </c>
      <c r="B90" s="39" t="str">
        <f aca="false">INDEX(PARÁMETROS!$F$70:$F$89,MATCH(C90,PARÁMETROS!$A$70:$A$89,0))</f>
        <v>Concreto</v>
      </c>
      <c r="C90" s="5" t="s">
        <v>123</v>
      </c>
      <c r="D90" s="39" t="str">
        <f aca="false">INDEX(PARÁMETROS!$B$70:$B$89,MATCH(C90,PARÁMETROS!$A$70:$A$89,0))</f>
        <v>m³</v>
      </c>
      <c r="E90" s="33" t="n">
        <f aca="false">SUMIFS('METRADO POR NIVEL'!$K$4:$K$150,'METRADO POR NIVEL'!$A$4:$A$150,A90)</f>
        <v>15.6990735784553</v>
      </c>
      <c r="F90" s="24" t="n">
        <f aca="false">CEILING(E90,0.5)</f>
        <v>16</v>
      </c>
      <c r="G90" s="40" t="n">
        <f aca="false">INDEX(PARÁMETROS!$C$70:$C$89,MATCH(C90,PARÁMETROS!$A$70:$A$89,0))</f>
        <v>80</v>
      </c>
      <c r="H90" s="44" t="n">
        <f aca="false">F90*G90</f>
        <v>1280</v>
      </c>
      <c r="I90" s="5"/>
      <c r="J90" s="7"/>
    </row>
    <row r="91" customFormat="false" ht="15" hidden="false" customHeight="false" outlineLevel="0" collapsed="false">
      <c r="A91" s="5" t="s">
        <v>216</v>
      </c>
      <c r="B91" s="39" t="str">
        <f aca="false">INDEX(PARÁMETROS!$F$70:$F$89,MATCH(C91,PARÁMETROS!$A$70:$A$89,0))</f>
        <v>Concreto</v>
      </c>
      <c r="C91" s="5" t="s">
        <v>125</v>
      </c>
      <c r="D91" s="39" t="str">
        <f aca="false">INDEX(PARÁMETROS!$B$70:$B$89,MATCH(C91,PARÁMETROS!$A$70:$A$89,0))</f>
        <v>m³</v>
      </c>
      <c r="E91" s="33" t="n">
        <f aca="false">SUMIFS('METRADO POR NIVEL'!$L$4:$L$150,'METRADO POR NIVEL'!$A$4:$A$150,A91)</f>
        <v>5.50948619923149</v>
      </c>
      <c r="F91" s="24" t="n">
        <f aca="false">CEILING(E91,0.5)</f>
        <v>6</v>
      </c>
      <c r="G91" s="40" t="n">
        <f aca="false">INDEX(PARÁMETROS!$C$70:$C$89,MATCH(C91,PARÁMETROS!$A$70:$A$89,0))</f>
        <v>7</v>
      </c>
      <c r="H91" s="44" t="n">
        <f aca="false">F91*G91</f>
        <v>42</v>
      </c>
      <c r="I91" s="5"/>
      <c r="J91" s="7"/>
    </row>
    <row r="92" customFormat="false" ht="15" hidden="false" customHeight="false" outlineLevel="0" collapsed="false">
      <c r="A92" s="5" t="s">
        <v>216</v>
      </c>
      <c r="B92" s="39" t="str">
        <f aca="false">INDEX(PARÁMETROS!$F$70:$F$89,MATCH(C92,PARÁMETROS!$A$70:$A$89,0))</f>
        <v>Concreto</v>
      </c>
      <c r="C92" s="5" t="s">
        <v>128</v>
      </c>
      <c r="D92" s="39" t="str">
        <f aca="false">INDEX(PARÁMETROS!$B$70:$B$89,MATCH(C92,PARÁMETROS!$A$70:$A$89,0))</f>
        <v>und</v>
      </c>
      <c r="E92" s="33" t="n">
        <f aca="false">SUMIFS('METRADO POR NIVEL'!$M$4:$M$150,'METRADO POR NIVEL'!$A$4:$A$150,A92)</f>
        <v>149.083916666667</v>
      </c>
      <c r="F92" s="25" t="n">
        <f aca="false">ROUNDUP(E92,0)</f>
        <v>150</v>
      </c>
      <c r="G92" s="40" t="n">
        <f aca="false">INDEX(PARÁMETROS!$C$70:$C$89,MATCH(C92,PARÁMETROS!$A$70:$A$89,0))</f>
        <v>12.9</v>
      </c>
      <c r="H92" s="44" t="n">
        <f aca="false">F92*G92</f>
        <v>1935</v>
      </c>
      <c r="I92" s="5"/>
      <c r="J92" s="7"/>
    </row>
    <row r="93" customFormat="false" ht="15" hidden="false" customHeight="false" outlineLevel="0" collapsed="false">
      <c r="A93" s="5" t="s">
        <v>216</v>
      </c>
      <c r="B93" s="39" t="str">
        <f aca="false">INDEX(PARÁMETROS!$F$70:$F$89,MATCH(C93,PARÁMETROS!$A$70:$A$89,0))</f>
        <v>Acero</v>
      </c>
      <c r="C93" s="5" t="s">
        <v>132</v>
      </c>
      <c r="D93" s="39" t="str">
        <f aca="false">INDEX(PARÁMETROS!$B$70:$B$89,MATCH(C93,PARÁMETROS!$A$70:$A$89,0))</f>
        <v>und</v>
      </c>
      <c r="E93" s="22" t="n">
        <f aca="false">COUNTIFS('PLAN DE CORTE'!$A$5:$A$2516,A93,'PLAN DE CORTE'!$B$5:$B$2516,"1/4")</f>
        <v>110</v>
      </c>
      <c r="F93" s="25" t="n">
        <f aca="false">ROUNDUP(E93,0)</f>
        <v>110</v>
      </c>
      <c r="G93" s="40" t="n">
        <f aca="false">INDEX(PARÁMETROS!$C$70:$C$89,MATCH(C93,PARÁMETROS!$A$70:$A$89,0))</f>
        <v>9.5</v>
      </c>
      <c r="H93" s="44" t="n">
        <f aca="false">F93*G93</f>
        <v>1045</v>
      </c>
      <c r="I93" s="24" t="n">
        <f aca="false">F93*9*INDEX(PARÁMETROS!$B$93:$B$97,MATCH("1/4",PARÁMETROS!$A$93:$A$97,0))</f>
        <v>247.5</v>
      </c>
      <c r="J93" s="7" t="s">
        <v>285</v>
      </c>
    </row>
    <row r="94" customFormat="false" ht="15" hidden="false" customHeight="false" outlineLevel="0" collapsed="false">
      <c r="A94" s="5" t="s">
        <v>216</v>
      </c>
      <c r="B94" s="39" t="str">
        <f aca="false">INDEX(PARÁMETROS!$F$70:$F$89,MATCH(C94,PARÁMETROS!$A$70:$A$89,0))</f>
        <v>Acero</v>
      </c>
      <c r="C94" s="5" t="s">
        <v>136</v>
      </c>
      <c r="D94" s="39" t="str">
        <f aca="false">INDEX(PARÁMETROS!$B$70:$B$89,MATCH(C94,PARÁMETROS!$A$70:$A$89,0))</f>
        <v>und</v>
      </c>
      <c r="E94" s="22" t="n">
        <f aca="false">COUNTIFS('PLAN DE CORTE'!$A$5:$A$2516,A94,'PLAN DE CORTE'!$B$5:$B$2516,"3/8")</f>
        <v>278</v>
      </c>
      <c r="F94" s="25" t="n">
        <f aca="false">ROUNDUP(E94,0)</f>
        <v>278</v>
      </c>
      <c r="G94" s="40" t="n">
        <f aca="false">INDEX(PARÁMETROS!$C$70:$C$89,MATCH(C94,PARÁMETROS!$A$70:$A$89,0))</f>
        <v>20.13</v>
      </c>
      <c r="H94" s="44" t="n">
        <f aca="false">F94*G94</f>
        <v>5596.14</v>
      </c>
      <c r="I94" s="24" t="n">
        <f aca="false">F94*9*INDEX(PARÁMETROS!$B$93:$B$97,MATCH("3/8",PARÁMETROS!$A$93:$A$97,0))</f>
        <v>1401.12</v>
      </c>
      <c r="J94" s="7" t="s">
        <v>285</v>
      </c>
    </row>
    <row r="95" customFormat="false" ht="15" hidden="false" customHeight="false" outlineLevel="0" collapsed="false">
      <c r="A95" s="5" t="s">
        <v>216</v>
      </c>
      <c r="B95" s="39" t="str">
        <f aca="false">INDEX(PARÁMETROS!$F$70:$F$89,MATCH(C95,PARÁMETROS!$A$70:$A$89,0))</f>
        <v>Acero</v>
      </c>
      <c r="C95" s="5" t="s">
        <v>138</v>
      </c>
      <c r="D95" s="39" t="str">
        <f aca="false">INDEX(PARÁMETROS!$B$70:$B$89,MATCH(C95,PARÁMETROS!$A$70:$A$89,0))</f>
        <v>und</v>
      </c>
      <c r="E95" s="22" t="n">
        <f aca="false">COUNTIFS('PLAN DE CORTE'!$A$5:$A$2516,A95,'PLAN DE CORTE'!$B$5:$B$2516,"1/2")</f>
        <v>42</v>
      </c>
      <c r="F95" s="25" t="n">
        <f aca="false">ROUNDUP(E95,0)</f>
        <v>42</v>
      </c>
      <c r="G95" s="40" t="n">
        <f aca="false">INDEX(PARÁMETROS!$C$70:$C$89,MATCH(C95,PARÁMETROS!$A$70:$A$89,0))</f>
        <v>36.09</v>
      </c>
      <c r="H95" s="44" t="n">
        <f aca="false">F95*G95</f>
        <v>1515.78</v>
      </c>
      <c r="I95" s="24" t="n">
        <f aca="false">F95*9*INDEX(PARÁMETROS!$B$93:$B$97,MATCH("1/2",PARÁMETROS!$A$93:$A$97,0))</f>
        <v>375.732</v>
      </c>
      <c r="J95" s="7" t="s">
        <v>285</v>
      </c>
    </row>
    <row r="96" customFormat="false" ht="15" hidden="false" customHeight="false" outlineLevel="0" collapsed="false">
      <c r="A96" s="5" t="s">
        <v>216</v>
      </c>
      <c r="B96" s="39" t="str">
        <f aca="false">INDEX(PARÁMETROS!$F$70:$F$89,MATCH(C96,PARÁMETROS!$A$70:$A$89,0))</f>
        <v>Acero</v>
      </c>
      <c r="C96" s="5" t="s">
        <v>139</v>
      </c>
      <c r="D96" s="39" t="str">
        <f aca="false">INDEX(PARÁMETROS!$B$70:$B$89,MATCH(C96,PARÁMETROS!$A$70:$A$89,0))</f>
        <v>und</v>
      </c>
      <c r="E96" s="22" t="n">
        <f aca="false">COUNTIFS('PLAN DE CORTE'!$A$5:$A$2516,A96,'PLAN DE CORTE'!$B$5:$B$2516,"5/8")</f>
        <v>71</v>
      </c>
      <c r="F96" s="25" t="n">
        <f aca="false">ROUNDUP(E96,0)</f>
        <v>71</v>
      </c>
      <c r="G96" s="40" t="n">
        <f aca="false">INDEX(PARÁMETROS!$C$70:$C$89,MATCH(C96,PARÁMETROS!$A$70:$A$89,0))</f>
        <v>55.82</v>
      </c>
      <c r="H96" s="44" t="n">
        <f aca="false">F96*G96</f>
        <v>3963.22</v>
      </c>
      <c r="I96" s="24" t="n">
        <f aca="false">F96*9*INDEX(PARÁMETROS!$B$93:$B$97,MATCH("5/8",PARÁMETROS!$A$93:$A$97,0))</f>
        <v>991.728</v>
      </c>
      <c r="J96" s="7" t="s">
        <v>285</v>
      </c>
    </row>
    <row r="97" customFormat="false" ht="15" hidden="false" customHeight="false" outlineLevel="0" collapsed="false">
      <c r="A97" s="5" t="s">
        <v>216</v>
      </c>
      <c r="B97" s="39" t="str">
        <f aca="false">INDEX(PARÁMETROS!$F$70:$F$89,MATCH(C97,PARÁMETROS!$A$70:$A$89,0))</f>
        <v>Acero</v>
      </c>
      <c r="C97" s="5" t="s">
        <v>140</v>
      </c>
      <c r="D97" s="39" t="str">
        <f aca="false">INDEX(PARÁMETROS!$B$70:$B$89,MATCH(C97,PARÁMETROS!$A$70:$A$89,0))</f>
        <v>und</v>
      </c>
      <c r="E97" s="22" t="n">
        <f aca="false">COUNTIFS('PLAN DE CORTE'!$A$5:$A$2516,A97,'PLAN DE CORTE'!$B$5:$B$2516,"3/4")</f>
        <v>90</v>
      </c>
      <c r="F97" s="25" t="n">
        <f aca="false">ROUNDUP(E97,0)</f>
        <v>90</v>
      </c>
      <c r="G97" s="40" t="n">
        <f aca="false">INDEX(PARÁMETROS!$C$70:$C$89,MATCH(C97,PARÁMETROS!$A$70:$A$89,0))</f>
        <v>82.09</v>
      </c>
      <c r="H97" s="44" t="n">
        <f aca="false">F97*G97</f>
        <v>7388.1</v>
      </c>
      <c r="I97" s="24" t="n">
        <f aca="false">F97*9*INDEX(PARÁMETROS!$B$93:$B$97,MATCH("3/4",PARÁMETROS!$A$93:$A$97,0))</f>
        <v>1810.35</v>
      </c>
      <c r="J97" s="7" t="s">
        <v>285</v>
      </c>
    </row>
    <row r="98" customFormat="false" ht="15" hidden="false" customHeight="false" outlineLevel="0" collapsed="false">
      <c r="A98" s="5" t="s">
        <v>216</v>
      </c>
      <c r="B98" s="39" t="str">
        <f aca="false">INDEX(PARÁMETROS!$F$70:$F$89,MATCH(C98,PARÁMETROS!$A$70:$A$89,0))</f>
        <v>Acero</v>
      </c>
      <c r="C98" s="5" t="s">
        <v>141</v>
      </c>
      <c r="D98" s="39" t="str">
        <f aca="false">INDEX(PARÁMETROS!$B$70:$B$89,MATCH(C98,PARÁMETROS!$A$70:$A$89,0))</f>
        <v>kg</v>
      </c>
      <c r="E98" s="33" t="n">
        <f aca="false">SUMIFS('METRADO POR NIVEL'!$N$4:$N$150,'METRADO POR NIVEL'!$A$4:$A$150,A98)</f>
        <v>129.60234717</v>
      </c>
      <c r="F98" s="25" t="n">
        <f aca="false">ROUNDUP(E98,0)</f>
        <v>130</v>
      </c>
      <c r="G98" s="40" t="n">
        <f aca="false">INDEX(PARÁMETROS!$C$70:$C$89,MATCH(C98,PARÁMETROS!$A$70:$A$89,0))</f>
        <v>3.65</v>
      </c>
      <c r="H98" s="44" t="n">
        <f aca="false">F98*G98</f>
        <v>474.5</v>
      </c>
      <c r="I98" s="24" t="n">
        <f aca="false">F98</f>
        <v>130</v>
      </c>
      <c r="J98" s="7" t="s">
        <v>286</v>
      </c>
    </row>
    <row r="99" customFormat="false" ht="15" hidden="false" customHeight="false" outlineLevel="0" collapsed="false">
      <c r="A99" s="5" t="s">
        <v>216</v>
      </c>
      <c r="B99" s="39" t="str">
        <f aca="false">INDEX(PARÁMETROS!$F$70:$F$89,MATCH(C99,PARÁMETROS!$A$70:$A$89,0))</f>
        <v>Acero</v>
      </c>
      <c r="C99" s="5" t="s">
        <v>144</v>
      </c>
      <c r="D99" s="39" t="str">
        <f aca="false">INDEX(PARÁMETROS!$B$70:$B$89,MATCH(C99,PARÁMETROS!$A$70:$A$89,0))</f>
        <v>und</v>
      </c>
      <c r="E99" s="33" t="n">
        <f aca="false">SUMIFS('METRADO POR NIVEL'!$W$4:$W$150,'METRADO POR NIVEL'!$A$4:$A$150,A99)</f>
        <v>18.0666666666667</v>
      </c>
      <c r="F99" s="25" t="n">
        <f aca="false">ROUNDUP(E99,0)</f>
        <v>19</v>
      </c>
      <c r="G99" s="40" t="n">
        <f aca="false">INDEX(PARÁMETROS!$C$70:$C$89,MATCH(C99,PARÁMETROS!$A$70:$A$89,0))</f>
        <v>12</v>
      </c>
      <c r="H99" s="44" t="n">
        <f aca="false">F99*G99</f>
        <v>228</v>
      </c>
      <c r="I99" s="5"/>
      <c r="J99" s="7"/>
    </row>
    <row r="100" customFormat="false" ht="15" hidden="false" customHeight="false" outlineLevel="0" collapsed="false">
      <c r="A100" s="5" t="s">
        <v>216</v>
      </c>
      <c r="B100" s="39" t="str">
        <f aca="false">INDEX(PARÁMETROS!$F$70:$F$89,MATCH(C100,PARÁMETROS!$A$70:$A$89,0))</f>
        <v>Acero</v>
      </c>
      <c r="C100" s="5" t="s">
        <v>146</v>
      </c>
      <c r="D100" s="39" t="str">
        <f aca="false">INDEX(PARÁMETROS!$B$70:$B$89,MATCH(C100,PARÁMETROS!$A$70:$A$89,0))</f>
        <v>und</v>
      </c>
      <c r="E100" s="33" t="n">
        <f aca="false">SUMIFS('METRADO POR NIVEL'!$V$4:$V$150,'METRADO POR NIVEL'!$A$4:$A$150,A100)</f>
        <v>524.882958697711</v>
      </c>
      <c r="F100" s="25" t="n">
        <f aca="false">ROUNDUP(E100,0)</f>
        <v>525</v>
      </c>
      <c r="G100" s="40" t="n">
        <f aca="false">INDEX(PARÁMETROS!$C$70:$C$89,MATCH(C100,PARÁMETROS!$A$70:$A$89,0))</f>
        <v>0.5</v>
      </c>
      <c r="H100" s="44" t="n">
        <f aca="false">F100*G100</f>
        <v>262.5</v>
      </c>
      <c r="I100" s="5"/>
      <c r="J100" s="7"/>
    </row>
    <row r="101" customFormat="false" ht="15" hidden="false" customHeight="false" outlineLevel="0" collapsed="false">
      <c r="A101" s="5" t="s">
        <v>216</v>
      </c>
      <c r="B101" s="39" t="str">
        <f aca="false">INDEX(PARÁMETROS!$F$70:$F$89,MATCH(C101,PARÁMETROS!$A$70:$A$89,0))</f>
        <v>Encofrado</v>
      </c>
      <c r="C101" s="5" t="s">
        <v>148</v>
      </c>
      <c r="D101" s="39" t="str">
        <f aca="false">INDEX(PARÁMETROS!$B$70:$B$89,MATCH(C101,PARÁMETROS!$A$70:$A$89,0))</f>
        <v>p²</v>
      </c>
      <c r="E101" s="33" t="n">
        <f aca="false">SUMIFS('METRADO POR NIVEL'!$O$4:$O$150,'METRADO POR NIVEL'!$A$4:$A$150,A101)</f>
        <v>176.66353969153</v>
      </c>
      <c r="F101" s="25" t="n">
        <f aca="false">ROUNDUP(E101,0)</f>
        <v>177</v>
      </c>
      <c r="G101" s="40" t="n">
        <f aca="false">INDEX(PARÁMETROS!$C$70:$C$89,MATCH(C101,PARÁMETROS!$A$70:$A$89,0))</f>
        <v>5.5</v>
      </c>
      <c r="H101" s="44" t="n">
        <f aca="false">F101*G101</f>
        <v>973.5</v>
      </c>
      <c r="I101" s="5"/>
      <c r="J101" s="7" t="s">
        <v>287</v>
      </c>
    </row>
    <row r="102" customFormat="false" ht="15" hidden="false" customHeight="false" outlineLevel="0" collapsed="false">
      <c r="A102" s="5" t="s">
        <v>216</v>
      </c>
      <c r="B102" s="39" t="str">
        <f aca="false">INDEX(PARÁMETROS!$F$70:$F$89,MATCH(C102,PARÁMETROS!$A$70:$A$89,0))</f>
        <v>Encofrado</v>
      </c>
      <c r="C102" s="5" t="s">
        <v>153</v>
      </c>
      <c r="D102" s="39" t="str">
        <f aca="false">INDEX(PARÁMETROS!$B$70:$B$89,MATCH(C102,PARÁMETROS!$A$70:$A$89,0))</f>
        <v>plancha</v>
      </c>
      <c r="E102" s="33" t="n">
        <f aca="false">SUMIFS('METRADO POR NIVEL'!$P$4:$P$150,'METRADO POR NIVEL'!$A$4:$A$150,A102)/(1.22*2.44)</f>
        <v>15.7444877634846</v>
      </c>
      <c r="F102" s="25" t="n">
        <f aca="false">ROUNDUP(E102,0)</f>
        <v>16</v>
      </c>
      <c r="G102" s="40" t="n">
        <f aca="false">INDEX(PARÁMETROS!$C$70:$C$89,MATCH(C102,PARÁMETROS!$A$70:$A$89,0))</f>
        <v>115</v>
      </c>
      <c r="H102" s="44" t="n">
        <f aca="false">F102*G102</f>
        <v>1840</v>
      </c>
      <c r="I102" s="5"/>
      <c r="J102" s="7" t="s">
        <v>288</v>
      </c>
    </row>
    <row r="103" customFormat="false" ht="15" hidden="false" customHeight="false" outlineLevel="0" collapsed="false">
      <c r="A103" s="5" t="s">
        <v>216</v>
      </c>
      <c r="B103" s="39" t="str">
        <f aca="false">INDEX(PARÁMETROS!$F$70:$F$89,MATCH(C103,PARÁMETROS!$A$70:$A$89,0))</f>
        <v>Encofrado</v>
      </c>
      <c r="C103" s="5" t="s">
        <v>155</v>
      </c>
      <c r="D103" s="39" t="str">
        <f aca="false">INDEX(PARÁMETROS!$B$70:$B$89,MATCH(C103,PARÁMETROS!$A$70:$A$89,0))</f>
        <v>und</v>
      </c>
      <c r="E103" s="33" t="n">
        <f aca="false">SUMIFS('METRADO POR NIVEL'!$S$4:$S$150,'METRADO POR NIVEL'!$A$4:$A$150,A103)</f>
        <v>18.7519507965662</v>
      </c>
      <c r="F103" s="25" t="n">
        <f aca="false">ROUNDUP(E103,0)</f>
        <v>19</v>
      </c>
      <c r="G103" s="40" t="n">
        <f aca="false">INDEX(PARÁMETROS!$C$70:$C$89,MATCH(C103,PARÁMETROS!$A$70:$A$89,0))</f>
        <v>18</v>
      </c>
      <c r="H103" s="44" t="n">
        <f aca="false">F103*G103</f>
        <v>342</v>
      </c>
      <c r="I103" s="5"/>
      <c r="J103" s="7" t="s">
        <v>287</v>
      </c>
    </row>
    <row r="104" customFormat="false" ht="15" hidden="false" customHeight="false" outlineLevel="0" collapsed="false">
      <c r="A104" s="5" t="s">
        <v>216</v>
      </c>
      <c r="B104" s="39" t="str">
        <f aca="false">INDEX(PARÁMETROS!$F$70:$F$89,MATCH(C104,PARÁMETROS!$A$70:$A$89,0))</f>
        <v>Encofrado</v>
      </c>
      <c r="C104" s="5" t="s">
        <v>157</v>
      </c>
      <c r="D104" s="39" t="str">
        <f aca="false">INDEX(PARÁMETROS!$B$70:$B$89,MATCH(C104,PARÁMETROS!$A$70:$A$89,0))</f>
        <v>kg</v>
      </c>
      <c r="E104" s="33" t="n">
        <f aca="false">SUMIFS('METRADO POR NIVEL'!$Q$4:$Q$150,'METRADO POR NIVEL'!$A$4:$A$150,A104)</f>
        <v>36.0019330930224</v>
      </c>
      <c r="F104" s="25" t="n">
        <f aca="false">ROUNDUP(E104,0)</f>
        <v>37</v>
      </c>
      <c r="G104" s="40" t="n">
        <f aca="false">INDEX(PARÁMETROS!$C$70:$C$89,MATCH(C104,PARÁMETROS!$A$70:$A$89,0))</f>
        <v>6.5</v>
      </c>
      <c r="H104" s="44" t="n">
        <f aca="false">F104*G104</f>
        <v>240.5</v>
      </c>
      <c r="I104" s="5"/>
      <c r="J104" s="7"/>
    </row>
    <row r="105" customFormat="false" ht="15" hidden="false" customHeight="false" outlineLevel="0" collapsed="false">
      <c r="A105" s="5" t="s">
        <v>216</v>
      </c>
      <c r="B105" s="39" t="str">
        <f aca="false">INDEX(PARÁMETROS!$F$70:$F$89,MATCH(C105,PARÁMETROS!$A$70:$A$89,0))</f>
        <v>Encofrado</v>
      </c>
      <c r="C105" s="5" t="s">
        <v>158</v>
      </c>
      <c r="D105" s="39" t="str">
        <f aca="false">INDEX(PARÁMETROS!$B$70:$B$89,MATCH(C105,PARÁMETROS!$A$70:$A$89,0))</f>
        <v>kg</v>
      </c>
      <c r="E105" s="33" t="n">
        <f aca="false">SUMIFS('METRADO POR NIVEL'!$R$4:$R$150,'METRADO POR NIVEL'!$A$4:$A$150,A105)</f>
        <v>50.6713350812969</v>
      </c>
      <c r="F105" s="25" t="n">
        <f aca="false">ROUNDUP(E105,0)</f>
        <v>51</v>
      </c>
      <c r="G105" s="40" t="n">
        <f aca="false">INDEX(PARÁMETROS!$C$70:$C$89,MATCH(C105,PARÁMETROS!$A$70:$A$89,0))</f>
        <v>5.9</v>
      </c>
      <c r="H105" s="44" t="n">
        <f aca="false">F105*G105</f>
        <v>300.9</v>
      </c>
      <c r="I105" s="24" t="n">
        <f aca="false">F105</f>
        <v>51</v>
      </c>
      <c r="J105" s="7" t="s">
        <v>286</v>
      </c>
    </row>
    <row r="106" customFormat="false" ht="15" hidden="false" customHeight="false" outlineLevel="0" collapsed="false">
      <c r="A106" s="5" t="s">
        <v>216</v>
      </c>
      <c r="B106" s="39" t="str">
        <f aca="false">INDEX(PARÁMETROS!$F$70:$F$89,MATCH(C106,PARÁMETROS!$A$70:$A$89,0))</f>
        <v>Encofrado</v>
      </c>
      <c r="C106" s="5" t="s">
        <v>160</v>
      </c>
      <c r="D106" s="39" t="str">
        <f aca="false">INDEX(PARÁMETROS!$B$70:$B$89,MATCH(C106,PARÁMETROS!$A$70:$A$89,0))</f>
        <v>gal</v>
      </c>
      <c r="E106" s="33" t="n">
        <f aca="false">SUMIFS('METRADO POR NIVEL'!$T$4:$T$150,'METRADO POR NIVEL'!$A$4:$A$150,A106)</f>
        <v>5.01675258181271</v>
      </c>
      <c r="F106" s="25" t="n">
        <f aca="false">ROUNDUP(E106,0)</f>
        <v>6</v>
      </c>
      <c r="G106" s="40" t="n">
        <f aca="false">INDEX(PARÁMETROS!$C$70:$C$89,MATCH(C106,PARÁMETROS!$A$70:$A$89,0))</f>
        <v>45</v>
      </c>
      <c r="H106" s="44" t="n">
        <f aca="false">F106*G106</f>
        <v>270</v>
      </c>
      <c r="I106" s="5"/>
      <c r="J106" s="7"/>
    </row>
    <row r="107" customFormat="false" ht="15" hidden="false" customHeight="false" outlineLevel="0" collapsed="false">
      <c r="A107" s="5" t="s">
        <v>216</v>
      </c>
      <c r="B107" s="39" t="str">
        <f aca="false">INDEX(PARÁMETROS!$F$70:$F$89,MATCH(C107,PARÁMETROS!$A$70:$A$89,0))</f>
        <v>Curado</v>
      </c>
      <c r="C107" s="5" t="s">
        <v>162</v>
      </c>
      <c r="D107" s="39" t="str">
        <f aca="false">INDEX(PARÁMETROS!$B$70:$B$89,MATCH(C107,PARÁMETROS!$A$70:$A$89,0))</f>
        <v>gal</v>
      </c>
      <c r="E107" s="33" t="n">
        <f aca="false">SUMIFS('METRADO POR NIVEL'!$U$4:$U$150,'METRADO POR NIVEL'!$A$4:$A$150,A107)</f>
        <v>12.4824533835474</v>
      </c>
      <c r="F107" s="25" t="n">
        <f aca="false">ROUNDUP(E107,0)</f>
        <v>13</v>
      </c>
      <c r="G107" s="40" t="n">
        <f aca="false">INDEX(PARÁMETROS!$C$70:$C$89,MATCH(C107,PARÁMETROS!$A$70:$A$89,0))</f>
        <v>40</v>
      </c>
      <c r="H107" s="44" t="n">
        <f aca="false">F107*G107</f>
        <v>520</v>
      </c>
      <c r="I107" s="5"/>
      <c r="J107" s="7"/>
    </row>
    <row r="108" customFormat="false" ht="15" hidden="false" customHeight="false" outlineLevel="0" collapsed="false">
      <c r="A108" s="27"/>
      <c r="B108" s="27"/>
      <c r="C108" s="26" t="s">
        <v>291</v>
      </c>
      <c r="D108" s="27"/>
      <c r="E108" s="27"/>
      <c r="F108" s="27"/>
      <c r="G108" s="27"/>
      <c r="H108" s="45" t="n">
        <f aca="false">SUM(H88:H107)</f>
        <v>37105.14</v>
      </c>
      <c r="I108" s="27"/>
      <c r="J108" s="27"/>
    </row>
    <row r="110" customFormat="false" ht="15" hidden="false" customHeight="false" outlineLevel="0" collapsed="false">
      <c r="A110" s="18" t="s">
        <v>227</v>
      </c>
      <c r="B110" s="19"/>
      <c r="C110" s="19"/>
      <c r="D110" s="19"/>
      <c r="E110" s="19"/>
      <c r="F110" s="19"/>
      <c r="G110" s="19"/>
      <c r="H110" s="19"/>
      <c r="I110" s="19"/>
      <c r="J110" s="19"/>
    </row>
    <row r="111" customFormat="false" ht="36" hidden="false" customHeight="true" outlineLevel="0" collapsed="false">
      <c r="A111" s="4" t="s">
        <v>177</v>
      </c>
      <c r="B111" s="4" t="s">
        <v>112</v>
      </c>
      <c r="C111" s="4" t="s">
        <v>107</v>
      </c>
      <c r="D111" s="4" t="s">
        <v>108</v>
      </c>
      <c r="E111" s="4" t="s">
        <v>273</v>
      </c>
      <c r="F111" s="4" t="s">
        <v>274</v>
      </c>
      <c r="G111" s="4" t="s">
        <v>275</v>
      </c>
      <c r="H111" s="4" t="s">
        <v>284</v>
      </c>
      <c r="I111" s="4" t="s">
        <v>277</v>
      </c>
      <c r="J111" s="4" t="s">
        <v>198</v>
      </c>
    </row>
    <row r="112" customFormat="false" ht="15" hidden="false" customHeight="false" outlineLevel="0" collapsed="false">
      <c r="A112" s="5" t="s">
        <v>227</v>
      </c>
      <c r="B112" s="39" t="str">
        <f aca="false">INDEX(PARÁMETROS!$F$70:$F$89,MATCH(C112,PARÁMETROS!$A$70:$A$89,0))</f>
        <v>Concreto</v>
      </c>
      <c r="C112" s="5" t="s">
        <v>114</v>
      </c>
      <c r="D112" s="39" t="str">
        <f aca="false">INDEX(PARÁMETROS!$B$70:$B$89,MATCH(C112,PARÁMETROS!$A$70:$A$89,0))</f>
        <v>bolsa</v>
      </c>
      <c r="E112" s="33" t="n">
        <f aca="false">SUMIFS('METRADO POR NIVEL'!$I$4:$I$150,'METRADO POR NIVEL'!$A$4:$A$150,A112)</f>
        <v>267.031587930892</v>
      </c>
      <c r="F112" s="25" t="n">
        <f aca="false">ROUNDUP(E112,0)</f>
        <v>268</v>
      </c>
      <c r="G112" s="40" t="n">
        <f aca="false">INDEX(PARÁMETROS!$C$70:$C$89,MATCH(C112,PARÁMETROS!$A$70:$A$89,0))</f>
        <v>27</v>
      </c>
      <c r="H112" s="44" t="n">
        <f aca="false">F112*G112</f>
        <v>7236</v>
      </c>
      <c r="I112" s="5"/>
      <c r="J112" s="7"/>
    </row>
    <row r="113" customFormat="false" ht="15" hidden="false" customHeight="false" outlineLevel="0" collapsed="false">
      <c r="A113" s="5" t="s">
        <v>227</v>
      </c>
      <c r="B113" s="39" t="str">
        <f aca="false">INDEX(PARÁMETROS!$F$70:$F$89,MATCH(C113,PARÁMETROS!$A$70:$A$89,0))</f>
        <v>Concreto</v>
      </c>
      <c r="C113" s="5" t="s">
        <v>119</v>
      </c>
      <c r="D113" s="39" t="str">
        <f aca="false">INDEX(PARÁMETROS!$B$70:$B$89,MATCH(C113,PARÁMETROS!$A$70:$A$89,0))</f>
        <v>m³</v>
      </c>
      <c r="E113" s="33" t="n">
        <f aca="false">SUMIFS('METRADO POR NIVEL'!$J$4:$J$150,'METRADO POR NIVEL'!$A$4:$A$150,A113)</f>
        <v>14.2709584505718</v>
      </c>
      <c r="F113" s="24" t="n">
        <f aca="false">CEILING(E113,0.5)</f>
        <v>14.5</v>
      </c>
      <c r="G113" s="40" t="n">
        <f aca="false">INDEX(PARÁMETROS!$C$70:$C$89,MATCH(C113,PARÁMETROS!$A$70:$A$89,0))</f>
        <v>70</v>
      </c>
      <c r="H113" s="44" t="n">
        <f aca="false">F113*G113</f>
        <v>1015</v>
      </c>
      <c r="I113" s="5"/>
      <c r="J113" s="7"/>
    </row>
    <row r="114" customFormat="false" ht="15" hidden="false" customHeight="false" outlineLevel="0" collapsed="false">
      <c r="A114" s="5" t="s">
        <v>227</v>
      </c>
      <c r="B114" s="39" t="str">
        <f aca="false">INDEX(PARÁMETROS!$F$70:$F$89,MATCH(C114,PARÁMETROS!$A$70:$A$89,0))</f>
        <v>Concreto</v>
      </c>
      <c r="C114" s="5" t="s">
        <v>123</v>
      </c>
      <c r="D114" s="39" t="str">
        <f aca="false">INDEX(PARÁMETROS!$B$70:$B$89,MATCH(C114,PARÁMETROS!$A$70:$A$89,0))</f>
        <v>m³</v>
      </c>
      <c r="E114" s="33" t="n">
        <f aca="false">SUMIFS('METRADO POR NIVEL'!$K$4:$K$150,'METRADO POR NIVEL'!$A$4:$A$150,A114)</f>
        <v>14.5453999592367</v>
      </c>
      <c r="F114" s="24" t="n">
        <f aca="false">CEILING(E114,0.5)</f>
        <v>15</v>
      </c>
      <c r="G114" s="40" t="n">
        <f aca="false">INDEX(PARÁMETROS!$C$70:$C$89,MATCH(C114,PARÁMETROS!$A$70:$A$89,0))</f>
        <v>80</v>
      </c>
      <c r="H114" s="44" t="n">
        <f aca="false">F114*G114</f>
        <v>1200</v>
      </c>
      <c r="I114" s="5"/>
      <c r="J114" s="7"/>
    </row>
    <row r="115" customFormat="false" ht="15" hidden="false" customHeight="false" outlineLevel="0" collapsed="false">
      <c r="A115" s="5" t="s">
        <v>227</v>
      </c>
      <c r="B115" s="39" t="str">
        <f aca="false">INDEX(PARÁMETROS!$F$70:$F$89,MATCH(C115,PARÁMETROS!$A$70:$A$89,0))</f>
        <v>Concreto</v>
      </c>
      <c r="C115" s="5" t="s">
        <v>125</v>
      </c>
      <c r="D115" s="39" t="str">
        <f aca="false">INDEX(PARÁMETROS!$B$70:$B$89,MATCH(C115,PARÁMETROS!$A$70:$A$89,0))</f>
        <v>m³</v>
      </c>
      <c r="E115" s="33" t="n">
        <f aca="false">SUMIFS('METRADO POR NIVEL'!$L$4:$L$150,'METRADO POR NIVEL'!$A$4:$A$150,A115)</f>
        <v>5.10461206116608</v>
      </c>
      <c r="F115" s="24" t="n">
        <f aca="false">CEILING(E115,0.5)</f>
        <v>5.5</v>
      </c>
      <c r="G115" s="40" t="n">
        <f aca="false">INDEX(PARÁMETROS!$C$70:$C$89,MATCH(C115,PARÁMETROS!$A$70:$A$89,0))</f>
        <v>7</v>
      </c>
      <c r="H115" s="44" t="n">
        <f aca="false">F115*G115</f>
        <v>38.5</v>
      </c>
      <c r="I115" s="5"/>
      <c r="J115" s="7"/>
    </row>
    <row r="116" customFormat="false" ht="15" hidden="false" customHeight="false" outlineLevel="0" collapsed="false">
      <c r="A116" s="5" t="s">
        <v>227</v>
      </c>
      <c r="B116" s="39" t="str">
        <f aca="false">INDEX(PARÁMETROS!$F$70:$F$89,MATCH(C116,PARÁMETROS!$A$70:$A$89,0))</f>
        <v>Concreto</v>
      </c>
      <c r="C116" s="5" t="s">
        <v>128</v>
      </c>
      <c r="D116" s="39" t="str">
        <f aca="false">INDEX(PARÁMETROS!$B$70:$B$89,MATCH(C116,PARÁMETROS!$A$70:$A$89,0))</f>
        <v>und</v>
      </c>
      <c r="E116" s="33" t="n">
        <f aca="false">SUMIFS('METRADO POR NIVEL'!$M$4:$M$150,'METRADO POR NIVEL'!$A$4:$A$150,A116)</f>
        <v>149.083916666667</v>
      </c>
      <c r="F116" s="25" t="n">
        <f aca="false">ROUNDUP(E116,0)</f>
        <v>150</v>
      </c>
      <c r="G116" s="40" t="n">
        <f aca="false">INDEX(PARÁMETROS!$C$70:$C$89,MATCH(C116,PARÁMETROS!$A$70:$A$89,0))</f>
        <v>12.9</v>
      </c>
      <c r="H116" s="44" t="n">
        <f aca="false">F116*G116</f>
        <v>1935</v>
      </c>
      <c r="I116" s="5"/>
      <c r="J116" s="7"/>
    </row>
    <row r="117" customFormat="false" ht="15" hidden="false" customHeight="false" outlineLevel="0" collapsed="false">
      <c r="A117" s="5" t="s">
        <v>227</v>
      </c>
      <c r="B117" s="39" t="str">
        <f aca="false">INDEX(PARÁMETROS!$F$70:$F$89,MATCH(C117,PARÁMETROS!$A$70:$A$89,0))</f>
        <v>Acero</v>
      </c>
      <c r="C117" s="5" t="s">
        <v>132</v>
      </c>
      <c r="D117" s="39" t="str">
        <f aca="false">INDEX(PARÁMETROS!$B$70:$B$89,MATCH(C117,PARÁMETROS!$A$70:$A$89,0))</f>
        <v>und</v>
      </c>
      <c r="E117" s="22" t="n">
        <f aca="false">COUNTIFS('PLAN DE CORTE'!$A$5:$A$2516,A117,'PLAN DE CORTE'!$B$5:$B$2516,"1/4")</f>
        <v>110</v>
      </c>
      <c r="F117" s="25" t="n">
        <f aca="false">ROUNDUP(E117,0)</f>
        <v>110</v>
      </c>
      <c r="G117" s="40" t="n">
        <f aca="false">INDEX(PARÁMETROS!$C$70:$C$89,MATCH(C117,PARÁMETROS!$A$70:$A$89,0))</f>
        <v>9.5</v>
      </c>
      <c r="H117" s="44" t="n">
        <f aca="false">F117*G117</f>
        <v>1045</v>
      </c>
      <c r="I117" s="24" t="n">
        <f aca="false">F117*9*INDEX(PARÁMETROS!$B$93:$B$97,MATCH("1/4",PARÁMETROS!$A$93:$A$97,0))</f>
        <v>247.5</v>
      </c>
      <c r="J117" s="7" t="s">
        <v>285</v>
      </c>
    </row>
    <row r="118" customFormat="false" ht="15" hidden="false" customHeight="false" outlineLevel="0" collapsed="false">
      <c r="A118" s="5" t="s">
        <v>227</v>
      </c>
      <c r="B118" s="39" t="str">
        <f aca="false">INDEX(PARÁMETROS!$F$70:$F$89,MATCH(C118,PARÁMETROS!$A$70:$A$89,0))</f>
        <v>Acero</v>
      </c>
      <c r="C118" s="5" t="s">
        <v>136</v>
      </c>
      <c r="D118" s="39" t="str">
        <f aca="false">INDEX(PARÁMETROS!$B$70:$B$89,MATCH(C118,PARÁMETROS!$A$70:$A$89,0))</f>
        <v>und</v>
      </c>
      <c r="E118" s="22" t="n">
        <f aca="false">COUNTIFS('PLAN DE CORTE'!$A$5:$A$2516,A118,'PLAN DE CORTE'!$B$5:$B$2516,"3/8")</f>
        <v>247</v>
      </c>
      <c r="F118" s="25" t="n">
        <f aca="false">ROUNDUP(E118,0)</f>
        <v>247</v>
      </c>
      <c r="G118" s="40" t="n">
        <f aca="false">INDEX(PARÁMETROS!$C$70:$C$89,MATCH(C118,PARÁMETROS!$A$70:$A$89,0))</f>
        <v>20.13</v>
      </c>
      <c r="H118" s="44" t="n">
        <f aca="false">F118*G118</f>
        <v>4972.11</v>
      </c>
      <c r="I118" s="24" t="n">
        <f aca="false">F118*9*INDEX(PARÁMETROS!$B$93:$B$97,MATCH("3/8",PARÁMETROS!$A$93:$A$97,0))</f>
        <v>1244.88</v>
      </c>
      <c r="J118" s="7" t="s">
        <v>285</v>
      </c>
    </row>
    <row r="119" customFormat="false" ht="15" hidden="false" customHeight="false" outlineLevel="0" collapsed="false">
      <c r="A119" s="5" t="s">
        <v>227</v>
      </c>
      <c r="B119" s="39" t="str">
        <f aca="false">INDEX(PARÁMETROS!$F$70:$F$89,MATCH(C119,PARÁMETROS!$A$70:$A$89,0))</f>
        <v>Acero</v>
      </c>
      <c r="C119" s="5" t="s">
        <v>138</v>
      </c>
      <c r="D119" s="39" t="str">
        <f aca="false">INDEX(PARÁMETROS!$B$70:$B$89,MATCH(C119,PARÁMETROS!$A$70:$A$89,0))</f>
        <v>und</v>
      </c>
      <c r="E119" s="22" t="n">
        <f aca="false">COUNTIFS('PLAN DE CORTE'!$A$5:$A$2516,A119,'PLAN DE CORTE'!$B$5:$B$2516,"1/2")</f>
        <v>39</v>
      </c>
      <c r="F119" s="25" t="n">
        <f aca="false">ROUNDUP(E119,0)</f>
        <v>39</v>
      </c>
      <c r="G119" s="40" t="n">
        <f aca="false">INDEX(PARÁMETROS!$C$70:$C$89,MATCH(C119,PARÁMETROS!$A$70:$A$89,0))</f>
        <v>36.09</v>
      </c>
      <c r="H119" s="44" t="n">
        <f aca="false">F119*G119</f>
        <v>1407.51</v>
      </c>
      <c r="I119" s="24" t="n">
        <f aca="false">F119*9*INDEX(PARÁMETROS!$B$93:$B$97,MATCH("1/2",PARÁMETROS!$A$93:$A$97,0))</f>
        <v>348.894</v>
      </c>
      <c r="J119" s="7" t="s">
        <v>285</v>
      </c>
    </row>
    <row r="120" customFormat="false" ht="15" hidden="false" customHeight="false" outlineLevel="0" collapsed="false">
      <c r="A120" s="5" t="s">
        <v>227</v>
      </c>
      <c r="B120" s="39" t="str">
        <f aca="false">INDEX(PARÁMETROS!$F$70:$F$89,MATCH(C120,PARÁMETROS!$A$70:$A$89,0))</f>
        <v>Acero</v>
      </c>
      <c r="C120" s="5" t="s">
        <v>139</v>
      </c>
      <c r="D120" s="39" t="str">
        <f aca="false">INDEX(PARÁMETROS!$B$70:$B$89,MATCH(C120,PARÁMETROS!$A$70:$A$89,0))</f>
        <v>und</v>
      </c>
      <c r="E120" s="22" t="n">
        <f aca="false">COUNTIFS('PLAN DE CORTE'!$A$5:$A$2516,A120,'PLAN DE CORTE'!$B$5:$B$2516,"5/8")</f>
        <v>71</v>
      </c>
      <c r="F120" s="25" t="n">
        <f aca="false">ROUNDUP(E120,0)</f>
        <v>71</v>
      </c>
      <c r="G120" s="40" t="n">
        <f aca="false">INDEX(PARÁMETROS!$C$70:$C$89,MATCH(C120,PARÁMETROS!$A$70:$A$89,0))</f>
        <v>55.82</v>
      </c>
      <c r="H120" s="44" t="n">
        <f aca="false">F120*G120</f>
        <v>3963.22</v>
      </c>
      <c r="I120" s="24" t="n">
        <f aca="false">F120*9*INDEX(PARÁMETROS!$B$93:$B$97,MATCH("5/8",PARÁMETROS!$A$93:$A$97,0))</f>
        <v>991.728</v>
      </c>
      <c r="J120" s="7" t="s">
        <v>285</v>
      </c>
    </row>
    <row r="121" customFormat="false" ht="15" hidden="false" customHeight="false" outlineLevel="0" collapsed="false">
      <c r="A121" s="5" t="s">
        <v>227</v>
      </c>
      <c r="B121" s="39" t="str">
        <f aca="false">INDEX(PARÁMETROS!$F$70:$F$89,MATCH(C121,PARÁMETROS!$A$70:$A$89,0))</f>
        <v>Acero</v>
      </c>
      <c r="C121" s="5" t="s">
        <v>140</v>
      </c>
      <c r="D121" s="39" t="str">
        <f aca="false">INDEX(PARÁMETROS!$B$70:$B$89,MATCH(C121,PARÁMETROS!$A$70:$A$89,0))</f>
        <v>und</v>
      </c>
      <c r="E121" s="22" t="n">
        <f aca="false">COUNTIFS('PLAN DE CORTE'!$A$5:$A$2516,A121,'PLAN DE CORTE'!$B$5:$B$2516,"3/4")</f>
        <v>71</v>
      </c>
      <c r="F121" s="25" t="n">
        <f aca="false">ROUNDUP(E121,0)</f>
        <v>71</v>
      </c>
      <c r="G121" s="40" t="n">
        <f aca="false">INDEX(PARÁMETROS!$C$70:$C$89,MATCH(C121,PARÁMETROS!$A$70:$A$89,0))</f>
        <v>82.09</v>
      </c>
      <c r="H121" s="44" t="n">
        <f aca="false">F121*G121</f>
        <v>5828.39</v>
      </c>
      <c r="I121" s="24" t="n">
        <f aca="false">F121*9*INDEX(PARÁMETROS!$B$93:$B$97,MATCH("3/4",PARÁMETROS!$A$93:$A$97,0))</f>
        <v>1428.165</v>
      </c>
      <c r="J121" s="7" t="s">
        <v>285</v>
      </c>
    </row>
    <row r="122" customFormat="false" ht="15" hidden="false" customHeight="false" outlineLevel="0" collapsed="false">
      <c r="A122" s="5" t="s">
        <v>227</v>
      </c>
      <c r="B122" s="39" t="str">
        <f aca="false">INDEX(PARÁMETROS!$F$70:$F$89,MATCH(C122,PARÁMETROS!$A$70:$A$89,0))</f>
        <v>Acero</v>
      </c>
      <c r="C122" s="5" t="s">
        <v>141</v>
      </c>
      <c r="D122" s="39" t="str">
        <f aca="false">INDEX(PARÁMETROS!$B$70:$B$89,MATCH(C122,PARÁMETROS!$A$70:$A$89,0))</f>
        <v>kg</v>
      </c>
      <c r="E122" s="33" t="n">
        <f aca="false">SUMIFS('METRADO POR NIVEL'!$N$4:$N$150,'METRADO POR NIVEL'!$A$4:$A$150,A122)</f>
        <v>112.13564304</v>
      </c>
      <c r="F122" s="25" t="n">
        <f aca="false">ROUNDUP(E122,0)</f>
        <v>113</v>
      </c>
      <c r="G122" s="40" t="n">
        <f aca="false">INDEX(PARÁMETROS!$C$70:$C$89,MATCH(C122,PARÁMETROS!$A$70:$A$89,0))</f>
        <v>3.65</v>
      </c>
      <c r="H122" s="44" t="n">
        <f aca="false">F122*G122</f>
        <v>412.45</v>
      </c>
      <c r="I122" s="24" t="n">
        <f aca="false">F122</f>
        <v>113</v>
      </c>
      <c r="J122" s="7" t="s">
        <v>286</v>
      </c>
    </row>
    <row r="123" customFormat="false" ht="15" hidden="false" customHeight="false" outlineLevel="0" collapsed="false">
      <c r="A123" s="5" t="s">
        <v>227</v>
      </c>
      <c r="B123" s="39" t="str">
        <f aca="false">INDEX(PARÁMETROS!$F$70:$F$89,MATCH(C123,PARÁMETROS!$A$70:$A$89,0))</f>
        <v>Acero</v>
      </c>
      <c r="C123" s="5" t="s">
        <v>144</v>
      </c>
      <c r="D123" s="39" t="str">
        <f aca="false">INDEX(PARÁMETROS!$B$70:$B$89,MATCH(C123,PARÁMETROS!$A$70:$A$89,0))</f>
        <v>und</v>
      </c>
      <c r="E123" s="33" t="n">
        <f aca="false">SUMIFS('METRADO POR NIVEL'!$W$4:$W$150,'METRADO POR NIVEL'!$A$4:$A$150,A123)</f>
        <v>16.0533333333333</v>
      </c>
      <c r="F123" s="25" t="n">
        <f aca="false">ROUNDUP(E123,0)</f>
        <v>17</v>
      </c>
      <c r="G123" s="40" t="n">
        <f aca="false">INDEX(PARÁMETROS!$C$70:$C$89,MATCH(C123,PARÁMETROS!$A$70:$A$89,0))</f>
        <v>12</v>
      </c>
      <c r="H123" s="44" t="n">
        <f aca="false">F123*G123</f>
        <v>204</v>
      </c>
      <c r="I123" s="5"/>
      <c r="J123" s="7"/>
    </row>
    <row r="124" customFormat="false" ht="15" hidden="false" customHeight="false" outlineLevel="0" collapsed="false">
      <c r="A124" s="5" t="s">
        <v>227</v>
      </c>
      <c r="B124" s="39" t="str">
        <f aca="false">INDEX(PARÁMETROS!$F$70:$F$89,MATCH(C124,PARÁMETROS!$A$70:$A$89,0))</f>
        <v>Acero</v>
      </c>
      <c r="C124" s="5" t="s">
        <v>146</v>
      </c>
      <c r="D124" s="39" t="str">
        <f aca="false">INDEX(PARÁMETROS!$B$70:$B$89,MATCH(C124,PARÁMETROS!$A$70:$A$89,0))</f>
        <v>und</v>
      </c>
      <c r="E124" s="33" t="n">
        <f aca="false">SUMIFS('METRADO POR NIVEL'!$V$4:$V$150,'METRADO POR NIVEL'!$A$4:$A$150,A124)</f>
        <v>489.37174205159</v>
      </c>
      <c r="F124" s="25" t="n">
        <f aca="false">ROUNDUP(E124,0)</f>
        <v>490</v>
      </c>
      <c r="G124" s="40" t="n">
        <f aca="false">INDEX(PARÁMETROS!$C$70:$C$89,MATCH(C124,PARÁMETROS!$A$70:$A$89,0))</f>
        <v>0.5</v>
      </c>
      <c r="H124" s="44" t="n">
        <f aca="false">F124*G124</f>
        <v>245</v>
      </c>
      <c r="I124" s="5"/>
      <c r="J124" s="7"/>
    </row>
    <row r="125" customFormat="false" ht="15" hidden="false" customHeight="false" outlineLevel="0" collapsed="false">
      <c r="A125" s="5" t="s">
        <v>227</v>
      </c>
      <c r="B125" s="39" t="str">
        <f aca="false">INDEX(PARÁMETROS!$F$70:$F$89,MATCH(C125,PARÁMETROS!$A$70:$A$89,0))</f>
        <v>Encofrado</v>
      </c>
      <c r="C125" s="5" t="s">
        <v>148</v>
      </c>
      <c r="D125" s="39" t="str">
        <f aca="false">INDEX(PARÁMETROS!$B$70:$B$89,MATCH(C125,PARÁMETROS!$A$70:$A$89,0))</f>
        <v>p²</v>
      </c>
      <c r="E125" s="33" t="n">
        <f aca="false">SUMIFS('METRADO POR NIVEL'!$O$4:$O$150,'METRADO POR NIVEL'!$A$4:$A$150,A125)</f>
        <v>162.348776836833</v>
      </c>
      <c r="F125" s="25" t="n">
        <f aca="false">ROUNDUP(E125,0)</f>
        <v>163</v>
      </c>
      <c r="G125" s="40" t="n">
        <f aca="false">INDEX(PARÁMETROS!$C$70:$C$89,MATCH(C125,PARÁMETROS!$A$70:$A$89,0))</f>
        <v>5.5</v>
      </c>
      <c r="H125" s="44" t="n">
        <f aca="false">F125*G125</f>
        <v>896.5</v>
      </c>
      <c r="I125" s="5"/>
      <c r="J125" s="7" t="s">
        <v>287</v>
      </c>
    </row>
    <row r="126" customFormat="false" ht="15" hidden="false" customHeight="false" outlineLevel="0" collapsed="false">
      <c r="A126" s="5" t="s">
        <v>227</v>
      </c>
      <c r="B126" s="39" t="str">
        <f aca="false">INDEX(PARÁMETROS!$F$70:$F$89,MATCH(C126,PARÁMETROS!$A$70:$A$89,0))</f>
        <v>Encofrado</v>
      </c>
      <c r="C126" s="5" t="s">
        <v>153</v>
      </c>
      <c r="D126" s="39" t="str">
        <f aca="false">INDEX(PARÁMETROS!$B$70:$B$89,MATCH(C126,PARÁMETROS!$A$70:$A$89,0))</f>
        <v>plancha</v>
      </c>
      <c r="E126" s="33" t="n">
        <f aca="false">SUMIFS('METRADO POR NIVEL'!$P$4:$P$150,'METRADO POR NIVEL'!$A$4:$A$150,A126)/(1.22*2.44)</f>
        <v>14.511222599936</v>
      </c>
      <c r="F126" s="25" t="n">
        <f aca="false">ROUNDUP(E126,0)</f>
        <v>15</v>
      </c>
      <c r="G126" s="40" t="n">
        <f aca="false">INDEX(PARÁMETROS!$C$70:$C$89,MATCH(C126,PARÁMETROS!$A$70:$A$89,0))</f>
        <v>115</v>
      </c>
      <c r="H126" s="44" t="n">
        <f aca="false">F126*G126</f>
        <v>1725</v>
      </c>
      <c r="I126" s="5"/>
      <c r="J126" s="7" t="s">
        <v>288</v>
      </c>
    </row>
    <row r="127" customFormat="false" ht="15" hidden="false" customHeight="false" outlineLevel="0" collapsed="false">
      <c r="A127" s="5" t="s">
        <v>227</v>
      </c>
      <c r="B127" s="39" t="str">
        <f aca="false">INDEX(PARÁMETROS!$F$70:$F$89,MATCH(C127,PARÁMETROS!$A$70:$A$89,0))</f>
        <v>Encofrado</v>
      </c>
      <c r="C127" s="5" t="s">
        <v>155</v>
      </c>
      <c r="D127" s="39" t="str">
        <f aca="false">INDEX(PARÁMETROS!$B$70:$B$89,MATCH(C127,PARÁMETROS!$A$70:$A$89,0))</f>
        <v>und</v>
      </c>
      <c r="E127" s="33" t="n">
        <f aca="false">SUMIFS('METRADO POR NIVEL'!$S$4:$S$150,'METRADO POR NIVEL'!$A$4:$A$150,A127)</f>
        <v>18.5876821994484</v>
      </c>
      <c r="F127" s="25" t="n">
        <f aca="false">ROUNDUP(E127,0)</f>
        <v>19</v>
      </c>
      <c r="G127" s="40" t="n">
        <f aca="false">INDEX(PARÁMETROS!$C$70:$C$89,MATCH(C127,PARÁMETROS!$A$70:$A$89,0))</f>
        <v>18</v>
      </c>
      <c r="H127" s="44" t="n">
        <f aca="false">F127*G127</f>
        <v>342</v>
      </c>
      <c r="I127" s="5"/>
      <c r="J127" s="7" t="s">
        <v>287</v>
      </c>
    </row>
    <row r="128" customFormat="false" ht="15" hidden="false" customHeight="false" outlineLevel="0" collapsed="false">
      <c r="A128" s="5" t="s">
        <v>227</v>
      </c>
      <c r="B128" s="39" t="str">
        <f aca="false">INDEX(PARÁMETROS!$F$70:$F$89,MATCH(C128,PARÁMETROS!$A$70:$A$89,0))</f>
        <v>Encofrado</v>
      </c>
      <c r="C128" s="5" t="s">
        <v>157</v>
      </c>
      <c r="D128" s="39" t="str">
        <f aca="false">INDEX(PARÁMETROS!$B$70:$B$89,MATCH(C128,PARÁMETROS!$A$70:$A$89,0))</f>
        <v>kg</v>
      </c>
      <c r="E128" s="33" t="n">
        <f aca="false">SUMIFS('METRADO POR NIVEL'!$Q$4:$Q$150,'METRADO POR NIVEL'!$A$4:$A$150,A128)</f>
        <v>33.1126307240264</v>
      </c>
      <c r="F128" s="25" t="n">
        <f aca="false">ROUNDUP(E128,0)</f>
        <v>34</v>
      </c>
      <c r="G128" s="40" t="n">
        <f aca="false">INDEX(PARÁMETROS!$C$70:$C$89,MATCH(C128,PARÁMETROS!$A$70:$A$89,0))</f>
        <v>6.5</v>
      </c>
      <c r="H128" s="44" t="n">
        <f aca="false">F128*G128</f>
        <v>221</v>
      </c>
      <c r="I128" s="5"/>
      <c r="J128" s="7"/>
    </row>
    <row r="129" customFormat="false" ht="15" hidden="false" customHeight="false" outlineLevel="0" collapsed="false">
      <c r="A129" s="5" t="s">
        <v>227</v>
      </c>
      <c r="B129" s="39" t="str">
        <f aca="false">INDEX(PARÁMETROS!$F$70:$F$89,MATCH(C129,PARÁMETROS!$A$70:$A$89,0))</f>
        <v>Encofrado</v>
      </c>
      <c r="C129" s="5" t="s">
        <v>158</v>
      </c>
      <c r="D129" s="39" t="str">
        <f aca="false">INDEX(PARÁMETROS!$B$70:$B$89,MATCH(C129,PARÁMETROS!$A$70:$A$89,0))</f>
        <v>kg</v>
      </c>
      <c r="E129" s="33" t="n">
        <f aca="false">SUMIFS('METRADO POR NIVEL'!$R$4:$R$150,'METRADO POR NIVEL'!$A$4:$A$150,A129)</f>
        <v>46.1431520866698</v>
      </c>
      <c r="F129" s="25" t="n">
        <f aca="false">ROUNDUP(E129,0)</f>
        <v>47</v>
      </c>
      <c r="G129" s="40" t="n">
        <f aca="false">INDEX(PARÁMETROS!$C$70:$C$89,MATCH(C129,PARÁMETROS!$A$70:$A$89,0))</f>
        <v>5.9</v>
      </c>
      <c r="H129" s="44" t="n">
        <f aca="false">F129*G129</f>
        <v>277.3</v>
      </c>
      <c r="I129" s="24" t="n">
        <f aca="false">F129</f>
        <v>47</v>
      </c>
      <c r="J129" s="7" t="s">
        <v>286</v>
      </c>
    </row>
    <row r="130" customFormat="false" ht="15" hidden="false" customHeight="false" outlineLevel="0" collapsed="false">
      <c r="A130" s="5" t="s">
        <v>227</v>
      </c>
      <c r="B130" s="39" t="str">
        <f aca="false">INDEX(PARÁMETROS!$F$70:$F$89,MATCH(C130,PARÁMETROS!$A$70:$A$89,0))</f>
        <v>Encofrado</v>
      </c>
      <c r="C130" s="5" t="s">
        <v>160</v>
      </c>
      <c r="D130" s="39" t="str">
        <f aca="false">INDEX(PARÁMETROS!$B$70:$B$89,MATCH(C130,PARÁMETROS!$A$70:$A$89,0))</f>
        <v>gal</v>
      </c>
      <c r="E130" s="33" t="n">
        <f aca="false">SUMIFS('METRADO POR NIVEL'!$T$4:$T$150,'METRADO POR NIVEL'!$A$4:$A$150,A130)</f>
        <v>4.62480036756984</v>
      </c>
      <c r="F130" s="25" t="n">
        <f aca="false">ROUNDUP(E130,0)</f>
        <v>5</v>
      </c>
      <c r="G130" s="40" t="n">
        <f aca="false">INDEX(PARÁMETROS!$C$70:$C$89,MATCH(C130,PARÁMETROS!$A$70:$A$89,0))</f>
        <v>45</v>
      </c>
      <c r="H130" s="44" t="n">
        <f aca="false">F130*G130</f>
        <v>225</v>
      </c>
      <c r="I130" s="5"/>
      <c r="J130" s="7"/>
    </row>
    <row r="131" customFormat="false" ht="15" hidden="false" customHeight="false" outlineLevel="0" collapsed="false">
      <c r="A131" s="5" t="s">
        <v>227</v>
      </c>
      <c r="B131" s="39" t="str">
        <f aca="false">INDEX(PARÁMETROS!$F$70:$F$89,MATCH(C131,PARÁMETROS!$A$70:$A$89,0))</f>
        <v>Curado</v>
      </c>
      <c r="C131" s="5" t="s">
        <v>162</v>
      </c>
      <c r="D131" s="39" t="str">
        <f aca="false">INDEX(PARÁMETROS!$B$70:$B$89,MATCH(C131,PARÁMETROS!$A$70:$A$89,0))</f>
        <v>gal</v>
      </c>
      <c r="E131" s="33" t="n">
        <f aca="false">SUMIFS('METRADO POR NIVEL'!$U$4:$U$150,'METRADO POR NIVEL'!$A$4:$A$150,A131)</f>
        <v>11.4820160598314</v>
      </c>
      <c r="F131" s="25" t="n">
        <f aca="false">ROUNDUP(E131,0)</f>
        <v>12</v>
      </c>
      <c r="G131" s="40" t="n">
        <f aca="false">INDEX(PARÁMETROS!$C$70:$C$89,MATCH(C131,PARÁMETROS!$A$70:$A$89,0))</f>
        <v>40</v>
      </c>
      <c r="H131" s="44" t="n">
        <f aca="false">F131*G131</f>
        <v>480</v>
      </c>
      <c r="I131" s="5"/>
      <c r="J131" s="7"/>
    </row>
    <row r="132" customFormat="false" ht="15" hidden="false" customHeight="false" outlineLevel="0" collapsed="false">
      <c r="A132" s="27"/>
      <c r="B132" s="27"/>
      <c r="C132" s="26" t="s">
        <v>292</v>
      </c>
      <c r="D132" s="27"/>
      <c r="E132" s="27"/>
      <c r="F132" s="27"/>
      <c r="G132" s="27"/>
      <c r="H132" s="45" t="n">
        <f aca="false">SUM(H112:H131)</f>
        <v>33668.98</v>
      </c>
      <c r="I132" s="27"/>
      <c r="J132" s="27"/>
    </row>
    <row r="134" customFormat="false" ht="15" hidden="false" customHeight="false" outlineLevel="0" collapsed="false">
      <c r="A134" s="18" t="s">
        <v>229</v>
      </c>
      <c r="B134" s="19"/>
      <c r="C134" s="19"/>
      <c r="D134" s="19"/>
      <c r="E134" s="19"/>
      <c r="F134" s="19"/>
      <c r="G134" s="19"/>
      <c r="H134" s="19"/>
      <c r="I134" s="19"/>
      <c r="J134" s="19"/>
    </row>
    <row r="135" customFormat="false" ht="36" hidden="false" customHeight="true" outlineLevel="0" collapsed="false">
      <c r="A135" s="4" t="s">
        <v>177</v>
      </c>
      <c r="B135" s="4" t="s">
        <v>112</v>
      </c>
      <c r="C135" s="4" t="s">
        <v>107</v>
      </c>
      <c r="D135" s="4" t="s">
        <v>108</v>
      </c>
      <c r="E135" s="4" t="s">
        <v>273</v>
      </c>
      <c r="F135" s="4" t="s">
        <v>274</v>
      </c>
      <c r="G135" s="4" t="s">
        <v>275</v>
      </c>
      <c r="H135" s="4" t="s">
        <v>284</v>
      </c>
      <c r="I135" s="4" t="s">
        <v>277</v>
      </c>
      <c r="J135" s="4" t="s">
        <v>198</v>
      </c>
    </row>
    <row r="136" customFormat="false" ht="15" hidden="false" customHeight="false" outlineLevel="0" collapsed="false">
      <c r="A136" s="5" t="s">
        <v>229</v>
      </c>
      <c r="B136" s="39" t="str">
        <f aca="false">INDEX(PARÁMETROS!$F$70:$F$89,MATCH(C136,PARÁMETROS!$A$70:$A$89,0))</f>
        <v>Concreto</v>
      </c>
      <c r="C136" s="5" t="s">
        <v>114</v>
      </c>
      <c r="D136" s="39" t="str">
        <f aca="false">INDEX(PARÁMETROS!$B$70:$B$89,MATCH(C136,PARÁMETROS!$A$70:$A$89,0))</f>
        <v>bolsa</v>
      </c>
      <c r="E136" s="33" t="n">
        <f aca="false">SUMIFS('METRADO POR NIVEL'!$I$4:$I$150,'METRADO POR NIVEL'!$A$4:$A$150,A136)</f>
        <v>267.031547374784</v>
      </c>
      <c r="F136" s="25" t="n">
        <f aca="false">ROUNDUP(E136,0)</f>
        <v>268</v>
      </c>
      <c r="G136" s="40" t="n">
        <f aca="false">INDEX(PARÁMETROS!$C$70:$C$89,MATCH(C136,PARÁMETROS!$A$70:$A$89,0))</f>
        <v>27</v>
      </c>
      <c r="H136" s="44" t="n">
        <f aca="false">F136*G136</f>
        <v>7236</v>
      </c>
      <c r="I136" s="5"/>
      <c r="J136" s="7"/>
    </row>
    <row r="137" customFormat="false" ht="15" hidden="false" customHeight="false" outlineLevel="0" collapsed="false">
      <c r="A137" s="5" t="s">
        <v>229</v>
      </c>
      <c r="B137" s="39" t="str">
        <f aca="false">INDEX(PARÁMETROS!$F$70:$F$89,MATCH(C137,PARÁMETROS!$A$70:$A$89,0))</f>
        <v>Concreto</v>
      </c>
      <c r="C137" s="5" t="s">
        <v>119</v>
      </c>
      <c r="D137" s="39" t="str">
        <f aca="false">INDEX(PARÁMETROS!$B$70:$B$89,MATCH(C137,PARÁMETROS!$A$70:$A$89,0))</f>
        <v>m³</v>
      </c>
      <c r="E137" s="33" t="n">
        <f aca="false">SUMIFS('METRADO POR NIVEL'!$J$4:$J$150,'METRADO POR NIVEL'!$A$4:$A$150,A137)</f>
        <v>14.2709562831334</v>
      </c>
      <c r="F137" s="24" t="n">
        <f aca="false">CEILING(E137,0.5)</f>
        <v>14.5</v>
      </c>
      <c r="G137" s="40" t="n">
        <f aca="false">INDEX(PARÁMETROS!$C$70:$C$89,MATCH(C137,PARÁMETROS!$A$70:$A$89,0))</f>
        <v>70</v>
      </c>
      <c r="H137" s="44" t="n">
        <f aca="false">F137*G137</f>
        <v>1015</v>
      </c>
      <c r="I137" s="5"/>
      <c r="J137" s="7"/>
    </row>
    <row r="138" customFormat="false" ht="15" hidden="false" customHeight="false" outlineLevel="0" collapsed="false">
      <c r="A138" s="5" t="s">
        <v>229</v>
      </c>
      <c r="B138" s="39" t="str">
        <f aca="false">INDEX(PARÁMETROS!$F$70:$F$89,MATCH(C138,PARÁMETROS!$A$70:$A$89,0))</f>
        <v>Concreto</v>
      </c>
      <c r="C138" s="5" t="s">
        <v>123</v>
      </c>
      <c r="D138" s="39" t="str">
        <f aca="false">INDEX(PARÁMETROS!$B$70:$B$89,MATCH(C138,PARÁMETROS!$A$70:$A$89,0))</f>
        <v>m³</v>
      </c>
      <c r="E138" s="33" t="n">
        <f aca="false">SUMIFS('METRADO POR NIVEL'!$K$4:$K$150,'METRADO POR NIVEL'!$A$4:$A$150,A138)</f>
        <v>14.5453977501167</v>
      </c>
      <c r="F138" s="24" t="n">
        <f aca="false">CEILING(E138,0.5)</f>
        <v>15</v>
      </c>
      <c r="G138" s="40" t="n">
        <f aca="false">INDEX(PARÁMETROS!$C$70:$C$89,MATCH(C138,PARÁMETROS!$A$70:$A$89,0))</f>
        <v>80</v>
      </c>
      <c r="H138" s="44" t="n">
        <f aca="false">F138*G138</f>
        <v>1200</v>
      </c>
      <c r="I138" s="5"/>
      <c r="J138" s="7"/>
    </row>
    <row r="139" customFormat="false" ht="15" hidden="false" customHeight="false" outlineLevel="0" collapsed="false">
      <c r="A139" s="5" t="s">
        <v>229</v>
      </c>
      <c r="B139" s="39" t="str">
        <f aca="false">INDEX(PARÁMETROS!$F$70:$F$89,MATCH(C139,PARÁMETROS!$A$70:$A$89,0))</f>
        <v>Concreto</v>
      </c>
      <c r="C139" s="5" t="s">
        <v>125</v>
      </c>
      <c r="D139" s="39" t="str">
        <f aca="false">INDEX(PARÁMETROS!$B$70:$B$89,MATCH(C139,PARÁMETROS!$A$70:$A$89,0))</f>
        <v>m³</v>
      </c>
      <c r="E139" s="33" t="n">
        <f aca="false">SUMIFS('METRADO POR NIVEL'!$L$4:$L$150,'METRADO POR NIVEL'!$A$4:$A$150,A139)</f>
        <v>5.10461128589001</v>
      </c>
      <c r="F139" s="24" t="n">
        <f aca="false">CEILING(E139,0.5)</f>
        <v>5.5</v>
      </c>
      <c r="G139" s="40" t="n">
        <f aca="false">INDEX(PARÁMETROS!$C$70:$C$89,MATCH(C139,PARÁMETROS!$A$70:$A$89,0))</f>
        <v>7</v>
      </c>
      <c r="H139" s="44" t="n">
        <f aca="false">F139*G139</f>
        <v>38.5</v>
      </c>
      <c r="I139" s="5"/>
      <c r="J139" s="7"/>
    </row>
    <row r="140" customFormat="false" ht="15" hidden="false" customHeight="false" outlineLevel="0" collapsed="false">
      <c r="A140" s="5" t="s">
        <v>229</v>
      </c>
      <c r="B140" s="39" t="str">
        <f aca="false">INDEX(PARÁMETROS!$F$70:$F$89,MATCH(C140,PARÁMETROS!$A$70:$A$89,0))</f>
        <v>Concreto</v>
      </c>
      <c r="C140" s="5" t="s">
        <v>128</v>
      </c>
      <c r="D140" s="39" t="str">
        <f aca="false">INDEX(PARÁMETROS!$B$70:$B$89,MATCH(C140,PARÁMETROS!$A$70:$A$89,0))</f>
        <v>und</v>
      </c>
      <c r="E140" s="33" t="n">
        <f aca="false">SUMIFS('METRADO POR NIVEL'!$M$4:$M$150,'METRADO POR NIVEL'!$A$4:$A$150,A140)</f>
        <v>149.083916666667</v>
      </c>
      <c r="F140" s="25" t="n">
        <f aca="false">ROUNDUP(E140,0)</f>
        <v>150</v>
      </c>
      <c r="G140" s="40" t="n">
        <f aca="false">INDEX(PARÁMETROS!$C$70:$C$89,MATCH(C140,PARÁMETROS!$A$70:$A$89,0))</f>
        <v>12.9</v>
      </c>
      <c r="H140" s="44" t="n">
        <f aca="false">F140*G140</f>
        <v>1935</v>
      </c>
      <c r="I140" s="5"/>
      <c r="J140" s="7"/>
    </row>
    <row r="141" customFormat="false" ht="15" hidden="false" customHeight="false" outlineLevel="0" collapsed="false">
      <c r="A141" s="5" t="s">
        <v>229</v>
      </c>
      <c r="B141" s="39" t="str">
        <f aca="false">INDEX(PARÁMETROS!$F$70:$F$89,MATCH(C141,PARÁMETROS!$A$70:$A$89,0))</f>
        <v>Acero</v>
      </c>
      <c r="C141" s="5" t="s">
        <v>132</v>
      </c>
      <c r="D141" s="39" t="str">
        <f aca="false">INDEX(PARÁMETROS!$B$70:$B$89,MATCH(C141,PARÁMETROS!$A$70:$A$89,0))</f>
        <v>und</v>
      </c>
      <c r="E141" s="22" t="n">
        <f aca="false">COUNTIFS('PLAN DE CORTE'!$A$5:$A$2516,A141,'PLAN DE CORTE'!$B$5:$B$2516,"1/4")</f>
        <v>110</v>
      </c>
      <c r="F141" s="25" t="n">
        <f aca="false">ROUNDUP(E141,0)</f>
        <v>110</v>
      </c>
      <c r="G141" s="40" t="n">
        <f aca="false">INDEX(PARÁMETROS!$C$70:$C$89,MATCH(C141,PARÁMETROS!$A$70:$A$89,0))</f>
        <v>9.5</v>
      </c>
      <c r="H141" s="44" t="n">
        <f aca="false">F141*G141</f>
        <v>1045</v>
      </c>
      <c r="I141" s="24" t="n">
        <f aca="false">F141*9*INDEX(PARÁMETROS!$B$93:$B$97,MATCH("1/4",PARÁMETROS!$A$93:$A$97,0))</f>
        <v>247.5</v>
      </c>
      <c r="J141" s="7" t="s">
        <v>285</v>
      </c>
    </row>
    <row r="142" customFormat="false" ht="15" hidden="false" customHeight="false" outlineLevel="0" collapsed="false">
      <c r="A142" s="5" t="s">
        <v>229</v>
      </c>
      <c r="B142" s="39" t="str">
        <f aca="false">INDEX(PARÁMETROS!$F$70:$F$89,MATCH(C142,PARÁMETROS!$A$70:$A$89,0))</f>
        <v>Acero</v>
      </c>
      <c r="C142" s="5" t="s">
        <v>136</v>
      </c>
      <c r="D142" s="39" t="str">
        <f aca="false">INDEX(PARÁMETROS!$B$70:$B$89,MATCH(C142,PARÁMETROS!$A$70:$A$89,0))</f>
        <v>und</v>
      </c>
      <c r="E142" s="22" t="n">
        <f aca="false">COUNTIFS('PLAN DE CORTE'!$A$5:$A$2516,A142,'PLAN DE CORTE'!$B$5:$B$2516,"3/8")</f>
        <v>247</v>
      </c>
      <c r="F142" s="25" t="n">
        <f aca="false">ROUNDUP(E142,0)</f>
        <v>247</v>
      </c>
      <c r="G142" s="40" t="n">
        <f aca="false">INDEX(PARÁMETROS!$C$70:$C$89,MATCH(C142,PARÁMETROS!$A$70:$A$89,0))</f>
        <v>20.13</v>
      </c>
      <c r="H142" s="44" t="n">
        <f aca="false">F142*G142</f>
        <v>4972.11</v>
      </c>
      <c r="I142" s="24" t="n">
        <f aca="false">F142*9*INDEX(PARÁMETROS!$B$93:$B$97,MATCH("3/8",PARÁMETROS!$A$93:$A$97,0))</f>
        <v>1244.88</v>
      </c>
      <c r="J142" s="7" t="s">
        <v>285</v>
      </c>
    </row>
    <row r="143" customFormat="false" ht="15" hidden="false" customHeight="false" outlineLevel="0" collapsed="false">
      <c r="A143" s="5" t="s">
        <v>229</v>
      </c>
      <c r="B143" s="39" t="str">
        <f aca="false">INDEX(PARÁMETROS!$F$70:$F$89,MATCH(C143,PARÁMETROS!$A$70:$A$89,0))</f>
        <v>Acero</v>
      </c>
      <c r="C143" s="5" t="s">
        <v>138</v>
      </c>
      <c r="D143" s="39" t="str">
        <f aca="false">INDEX(PARÁMETROS!$B$70:$B$89,MATCH(C143,PARÁMETROS!$A$70:$A$89,0))</f>
        <v>und</v>
      </c>
      <c r="E143" s="22" t="n">
        <f aca="false">COUNTIFS('PLAN DE CORTE'!$A$5:$A$2516,A143,'PLAN DE CORTE'!$B$5:$B$2516,"1/2")</f>
        <v>39</v>
      </c>
      <c r="F143" s="25" t="n">
        <f aca="false">ROUNDUP(E143,0)</f>
        <v>39</v>
      </c>
      <c r="G143" s="40" t="n">
        <f aca="false">INDEX(PARÁMETROS!$C$70:$C$89,MATCH(C143,PARÁMETROS!$A$70:$A$89,0))</f>
        <v>36.09</v>
      </c>
      <c r="H143" s="44" t="n">
        <f aca="false">F143*G143</f>
        <v>1407.51</v>
      </c>
      <c r="I143" s="24" t="n">
        <f aca="false">F143*9*INDEX(PARÁMETROS!$B$93:$B$97,MATCH("1/2",PARÁMETROS!$A$93:$A$97,0))</f>
        <v>348.894</v>
      </c>
      <c r="J143" s="7" t="s">
        <v>285</v>
      </c>
    </row>
    <row r="144" customFormat="false" ht="15" hidden="false" customHeight="false" outlineLevel="0" collapsed="false">
      <c r="A144" s="5" t="s">
        <v>229</v>
      </c>
      <c r="B144" s="39" t="str">
        <f aca="false">INDEX(PARÁMETROS!$F$70:$F$89,MATCH(C144,PARÁMETROS!$A$70:$A$89,0))</f>
        <v>Acero</v>
      </c>
      <c r="C144" s="5" t="s">
        <v>139</v>
      </c>
      <c r="D144" s="39" t="str">
        <f aca="false">INDEX(PARÁMETROS!$B$70:$B$89,MATCH(C144,PARÁMETROS!$A$70:$A$89,0))</f>
        <v>und</v>
      </c>
      <c r="E144" s="22" t="n">
        <f aca="false">COUNTIFS('PLAN DE CORTE'!$A$5:$A$2516,A144,'PLAN DE CORTE'!$B$5:$B$2516,"5/8")</f>
        <v>71</v>
      </c>
      <c r="F144" s="25" t="n">
        <f aca="false">ROUNDUP(E144,0)</f>
        <v>71</v>
      </c>
      <c r="G144" s="40" t="n">
        <f aca="false">INDEX(PARÁMETROS!$C$70:$C$89,MATCH(C144,PARÁMETROS!$A$70:$A$89,0))</f>
        <v>55.82</v>
      </c>
      <c r="H144" s="44" t="n">
        <f aca="false">F144*G144</f>
        <v>3963.22</v>
      </c>
      <c r="I144" s="24" t="n">
        <f aca="false">F144*9*INDEX(PARÁMETROS!$B$93:$B$97,MATCH("5/8",PARÁMETROS!$A$93:$A$97,0))</f>
        <v>991.728</v>
      </c>
      <c r="J144" s="7" t="s">
        <v>285</v>
      </c>
    </row>
    <row r="145" customFormat="false" ht="15" hidden="false" customHeight="false" outlineLevel="0" collapsed="false">
      <c r="A145" s="5" t="s">
        <v>229</v>
      </c>
      <c r="B145" s="39" t="str">
        <f aca="false">INDEX(PARÁMETROS!$F$70:$F$89,MATCH(C145,PARÁMETROS!$A$70:$A$89,0))</f>
        <v>Acero</v>
      </c>
      <c r="C145" s="5" t="s">
        <v>140</v>
      </c>
      <c r="D145" s="39" t="str">
        <f aca="false">INDEX(PARÁMETROS!$B$70:$B$89,MATCH(C145,PARÁMETROS!$A$70:$A$89,0))</f>
        <v>und</v>
      </c>
      <c r="E145" s="22" t="n">
        <f aca="false">COUNTIFS('PLAN DE CORTE'!$A$5:$A$2516,A145,'PLAN DE CORTE'!$B$5:$B$2516,"3/4")</f>
        <v>69</v>
      </c>
      <c r="F145" s="25" t="n">
        <f aca="false">ROUNDUP(E145,0)</f>
        <v>69</v>
      </c>
      <c r="G145" s="40" t="n">
        <f aca="false">INDEX(PARÁMETROS!$C$70:$C$89,MATCH(C145,PARÁMETROS!$A$70:$A$89,0))</f>
        <v>82.09</v>
      </c>
      <c r="H145" s="44" t="n">
        <f aca="false">F145*G145</f>
        <v>5664.21</v>
      </c>
      <c r="I145" s="24" t="n">
        <f aca="false">F145*9*INDEX(PARÁMETROS!$B$93:$B$97,MATCH("3/4",PARÁMETROS!$A$93:$A$97,0))</f>
        <v>1387.935</v>
      </c>
      <c r="J145" s="7" t="s">
        <v>285</v>
      </c>
    </row>
    <row r="146" customFormat="false" ht="15" hidden="false" customHeight="false" outlineLevel="0" collapsed="false">
      <c r="A146" s="5" t="s">
        <v>229</v>
      </c>
      <c r="B146" s="39" t="str">
        <f aca="false">INDEX(PARÁMETROS!$F$70:$F$89,MATCH(C146,PARÁMETROS!$A$70:$A$89,0))</f>
        <v>Acero</v>
      </c>
      <c r="C146" s="5" t="s">
        <v>141</v>
      </c>
      <c r="D146" s="39" t="str">
        <f aca="false">INDEX(PARÁMETROS!$B$70:$B$89,MATCH(C146,PARÁMETROS!$A$70:$A$89,0))</f>
        <v>kg</v>
      </c>
      <c r="E146" s="33" t="n">
        <f aca="false">SUMIFS('METRADO POR NIVEL'!$N$4:$N$150,'METRADO POR NIVEL'!$A$4:$A$150,A146)</f>
        <v>111.36836949</v>
      </c>
      <c r="F146" s="25" t="n">
        <f aca="false">ROUNDUP(E146,0)</f>
        <v>112</v>
      </c>
      <c r="G146" s="40" t="n">
        <f aca="false">INDEX(PARÁMETROS!$C$70:$C$89,MATCH(C146,PARÁMETROS!$A$70:$A$89,0))</f>
        <v>3.65</v>
      </c>
      <c r="H146" s="44" t="n">
        <f aca="false">F146*G146</f>
        <v>408.8</v>
      </c>
      <c r="I146" s="24" t="n">
        <f aca="false">F146</f>
        <v>112</v>
      </c>
      <c r="J146" s="7" t="s">
        <v>286</v>
      </c>
    </row>
    <row r="147" customFormat="false" ht="15" hidden="false" customHeight="false" outlineLevel="0" collapsed="false">
      <c r="A147" s="5" t="s">
        <v>229</v>
      </c>
      <c r="B147" s="39" t="str">
        <f aca="false">INDEX(PARÁMETROS!$F$70:$F$89,MATCH(C147,PARÁMETROS!$A$70:$A$89,0))</f>
        <v>Acero</v>
      </c>
      <c r="C147" s="5" t="s">
        <v>144</v>
      </c>
      <c r="D147" s="39" t="str">
        <f aca="false">INDEX(PARÁMETROS!$B$70:$B$89,MATCH(C147,PARÁMETROS!$A$70:$A$89,0))</f>
        <v>und</v>
      </c>
      <c r="E147" s="33" t="n">
        <f aca="false">SUMIFS('METRADO POR NIVEL'!$W$4:$W$150,'METRADO POR NIVEL'!$A$4:$A$150,A147)</f>
        <v>16.04</v>
      </c>
      <c r="F147" s="25" t="n">
        <f aca="false">ROUNDUP(E147,0)</f>
        <v>17</v>
      </c>
      <c r="G147" s="40" t="n">
        <f aca="false">INDEX(PARÁMETROS!$C$70:$C$89,MATCH(C147,PARÁMETROS!$A$70:$A$89,0))</f>
        <v>12</v>
      </c>
      <c r="H147" s="44" t="n">
        <f aca="false">F147*G147</f>
        <v>204</v>
      </c>
      <c r="I147" s="5"/>
      <c r="J147" s="7"/>
    </row>
    <row r="148" customFormat="false" ht="15" hidden="false" customHeight="false" outlineLevel="0" collapsed="false">
      <c r="A148" s="5" t="s">
        <v>229</v>
      </c>
      <c r="B148" s="39" t="str">
        <f aca="false">INDEX(PARÁMETROS!$F$70:$F$89,MATCH(C148,PARÁMETROS!$A$70:$A$89,0))</f>
        <v>Acero</v>
      </c>
      <c r="C148" s="5" t="s">
        <v>146</v>
      </c>
      <c r="D148" s="39" t="str">
        <f aca="false">INDEX(PARÁMETROS!$B$70:$B$89,MATCH(C148,PARÁMETROS!$A$70:$A$89,0))</f>
        <v>und</v>
      </c>
      <c r="E148" s="33" t="n">
        <f aca="false">SUMIFS('METRADO POR NIVEL'!$V$4:$V$150,'METRADO POR NIVEL'!$A$4:$A$150,A148)</f>
        <v>489.371705896713</v>
      </c>
      <c r="F148" s="25" t="n">
        <f aca="false">ROUNDUP(E148,0)</f>
        <v>490</v>
      </c>
      <c r="G148" s="40" t="n">
        <f aca="false">INDEX(PARÁMETROS!$C$70:$C$89,MATCH(C148,PARÁMETROS!$A$70:$A$89,0))</f>
        <v>0.5</v>
      </c>
      <c r="H148" s="44" t="n">
        <f aca="false">F148*G148</f>
        <v>245</v>
      </c>
      <c r="I148" s="5"/>
      <c r="J148" s="7"/>
    </row>
    <row r="149" customFormat="false" ht="15" hidden="false" customHeight="false" outlineLevel="0" collapsed="false">
      <c r="A149" s="5" t="s">
        <v>229</v>
      </c>
      <c r="B149" s="39" t="str">
        <f aca="false">INDEX(PARÁMETROS!$F$70:$F$89,MATCH(C149,PARÁMETROS!$A$70:$A$89,0))</f>
        <v>Encofrado</v>
      </c>
      <c r="C149" s="5" t="s">
        <v>148</v>
      </c>
      <c r="D149" s="39" t="str">
        <f aca="false">INDEX(PARÁMETROS!$B$70:$B$89,MATCH(C149,PARÁMETROS!$A$70:$A$89,0))</f>
        <v>p²</v>
      </c>
      <c r="E149" s="33" t="n">
        <f aca="false">SUMIFS('METRADO POR NIVEL'!$O$4:$O$150,'METRADO POR NIVEL'!$A$4:$A$150,A149)</f>
        <v>162.348749444043</v>
      </c>
      <c r="F149" s="25" t="n">
        <f aca="false">ROUNDUP(E149,0)</f>
        <v>163</v>
      </c>
      <c r="G149" s="40" t="n">
        <f aca="false">INDEX(PARÁMETROS!$C$70:$C$89,MATCH(C149,PARÁMETROS!$A$70:$A$89,0))</f>
        <v>5.5</v>
      </c>
      <c r="H149" s="44" t="n">
        <f aca="false">F149*G149</f>
        <v>896.5</v>
      </c>
      <c r="I149" s="5"/>
      <c r="J149" s="7" t="s">
        <v>287</v>
      </c>
    </row>
    <row r="150" customFormat="false" ht="15" hidden="false" customHeight="false" outlineLevel="0" collapsed="false">
      <c r="A150" s="5" t="s">
        <v>229</v>
      </c>
      <c r="B150" s="39" t="str">
        <f aca="false">INDEX(PARÁMETROS!$F$70:$F$89,MATCH(C150,PARÁMETROS!$A$70:$A$89,0))</f>
        <v>Encofrado</v>
      </c>
      <c r="C150" s="5" t="s">
        <v>153</v>
      </c>
      <c r="D150" s="39" t="str">
        <f aca="false">INDEX(PARÁMETROS!$B$70:$B$89,MATCH(C150,PARÁMETROS!$A$70:$A$89,0))</f>
        <v>plancha</v>
      </c>
      <c r="E150" s="33" t="n">
        <f aca="false">SUMIFS('METRADO POR NIVEL'!$P$4:$P$150,'METRADO POR NIVEL'!$A$4:$A$150,A150)/(1.22*2.44)</f>
        <v>14.5112213246532</v>
      </c>
      <c r="F150" s="25" t="n">
        <f aca="false">ROUNDUP(E150,0)</f>
        <v>15</v>
      </c>
      <c r="G150" s="40" t="n">
        <f aca="false">INDEX(PARÁMETROS!$C$70:$C$89,MATCH(C150,PARÁMETROS!$A$70:$A$89,0))</f>
        <v>115</v>
      </c>
      <c r="H150" s="44" t="n">
        <f aca="false">F150*G150</f>
        <v>1725</v>
      </c>
      <c r="I150" s="5"/>
      <c r="J150" s="7" t="s">
        <v>288</v>
      </c>
    </row>
    <row r="151" customFormat="false" ht="15" hidden="false" customHeight="false" outlineLevel="0" collapsed="false">
      <c r="A151" s="5" t="s">
        <v>229</v>
      </c>
      <c r="B151" s="39" t="str">
        <f aca="false">INDEX(PARÁMETROS!$F$70:$F$89,MATCH(C151,PARÁMETROS!$A$70:$A$89,0))</f>
        <v>Encofrado</v>
      </c>
      <c r="C151" s="5" t="s">
        <v>155</v>
      </c>
      <c r="D151" s="39" t="str">
        <f aca="false">INDEX(PARÁMETROS!$B$70:$B$89,MATCH(C151,PARÁMETROS!$A$70:$A$89,0))</f>
        <v>und</v>
      </c>
      <c r="E151" s="33" t="n">
        <f aca="false">SUMIFS('METRADO POR NIVEL'!$S$4:$S$150,'METRADO POR NIVEL'!$A$4:$A$150,A151)</f>
        <v>18.5876821994484</v>
      </c>
      <c r="F151" s="25" t="n">
        <f aca="false">ROUNDUP(E151,0)</f>
        <v>19</v>
      </c>
      <c r="G151" s="40" t="n">
        <f aca="false">INDEX(PARÁMETROS!$C$70:$C$89,MATCH(C151,PARÁMETROS!$A$70:$A$89,0))</f>
        <v>18</v>
      </c>
      <c r="H151" s="44" t="n">
        <f aca="false">F151*G151</f>
        <v>342</v>
      </c>
      <c r="I151" s="5"/>
      <c r="J151" s="7" t="s">
        <v>287</v>
      </c>
    </row>
    <row r="152" customFormat="false" ht="15" hidden="false" customHeight="false" outlineLevel="0" collapsed="false">
      <c r="A152" s="5" t="s">
        <v>229</v>
      </c>
      <c r="B152" s="39" t="str">
        <f aca="false">INDEX(PARÁMETROS!$F$70:$F$89,MATCH(C152,PARÁMETROS!$A$70:$A$89,0))</f>
        <v>Encofrado</v>
      </c>
      <c r="C152" s="5" t="s">
        <v>157</v>
      </c>
      <c r="D152" s="39" t="str">
        <f aca="false">INDEX(PARÁMETROS!$B$70:$B$89,MATCH(C152,PARÁMETROS!$A$70:$A$89,0))</f>
        <v>kg</v>
      </c>
      <c r="E152" s="33" t="n">
        <f aca="false">SUMIFS('METRADO POR NIVEL'!$Q$4:$Q$150,'METRADO POR NIVEL'!$A$4:$A$150,A152)</f>
        <v>33.1126250222004</v>
      </c>
      <c r="F152" s="25" t="n">
        <f aca="false">ROUNDUP(E152,0)</f>
        <v>34</v>
      </c>
      <c r="G152" s="40" t="n">
        <f aca="false">INDEX(PARÁMETROS!$C$70:$C$89,MATCH(C152,PARÁMETROS!$A$70:$A$89,0))</f>
        <v>6.5</v>
      </c>
      <c r="H152" s="44" t="n">
        <f aca="false">F152*G152</f>
        <v>221</v>
      </c>
      <c r="I152" s="5"/>
      <c r="J152" s="7"/>
    </row>
    <row r="153" customFormat="false" ht="15" hidden="false" customHeight="false" outlineLevel="0" collapsed="false">
      <c r="A153" s="5" t="s">
        <v>229</v>
      </c>
      <c r="B153" s="39" t="str">
        <f aca="false">INDEX(PARÁMETROS!$F$70:$F$89,MATCH(C153,PARÁMETROS!$A$70:$A$89,0))</f>
        <v>Encofrado</v>
      </c>
      <c r="C153" s="5" t="s">
        <v>158</v>
      </c>
      <c r="D153" s="39" t="str">
        <f aca="false">INDEX(PARÁMETROS!$B$70:$B$89,MATCH(C153,PARÁMETROS!$A$70:$A$89,0))</f>
        <v>kg</v>
      </c>
      <c r="E153" s="33" t="n">
        <f aca="false">SUMIFS('METRADO POR NIVEL'!$R$4:$R$150,'METRADO POR NIVEL'!$A$4:$A$150,A153)</f>
        <v>46.1431439337012</v>
      </c>
      <c r="F153" s="25" t="n">
        <f aca="false">ROUNDUP(E153,0)</f>
        <v>47</v>
      </c>
      <c r="G153" s="40" t="n">
        <f aca="false">INDEX(PARÁMETROS!$C$70:$C$89,MATCH(C153,PARÁMETROS!$A$70:$A$89,0))</f>
        <v>5.9</v>
      </c>
      <c r="H153" s="44" t="n">
        <f aca="false">F153*G153</f>
        <v>277.3</v>
      </c>
      <c r="I153" s="24" t="n">
        <f aca="false">F153</f>
        <v>47</v>
      </c>
      <c r="J153" s="7" t="s">
        <v>286</v>
      </c>
    </row>
    <row r="154" customFormat="false" ht="15" hidden="false" customHeight="false" outlineLevel="0" collapsed="false">
      <c r="A154" s="5" t="s">
        <v>229</v>
      </c>
      <c r="B154" s="39" t="str">
        <f aca="false">INDEX(PARÁMETROS!$F$70:$F$89,MATCH(C154,PARÁMETROS!$A$70:$A$89,0))</f>
        <v>Encofrado</v>
      </c>
      <c r="C154" s="5" t="s">
        <v>160</v>
      </c>
      <c r="D154" s="39" t="str">
        <f aca="false">INDEX(PARÁMETROS!$B$70:$B$89,MATCH(C154,PARÁMETROS!$A$70:$A$89,0))</f>
        <v>gal</v>
      </c>
      <c r="E154" s="33" t="n">
        <f aca="false">SUMIFS('METRADO POR NIVEL'!$T$4:$T$150,'METRADO POR NIVEL'!$A$4:$A$150,A154)</f>
        <v>4.624799601483</v>
      </c>
      <c r="F154" s="25" t="n">
        <f aca="false">ROUNDUP(E154,0)</f>
        <v>5</v>
      </c>
      <c r="G154" s="40" t="n">
        <f aca="false">INDEX(PARÁMETROS!$C$70:$C$89,MATCH(C154,PARÁMETROS!$A$70:$A$89,0))</f>
        <v>45</v>
      </c>
      <c r="H154" s="44" t="n">
        <f aca="false">F154*G154</f>
        <v>225</v>
      </c>
      <c r="I154" s="5"/>
      <c r="J154" s="7"/>
    </row>
    <row r="155" customFormat="false" ht="15" hidden="false" customHeight="false" outlineLevel="0" collapsed="false">
      <c r="A155" s="5" t="s">
        <v>229</v>
      </c>
      <c r="B155" s="39" t="str">
        <f aca="false">INDEX(PARÁMETROS!$F$70:$F$89,MATCH(C155,PARÁMETROS!$A$70:$A$89,0))</f>
        <v>Curado</v>
      </c>
      <c r="C155" s="5" t="s">
        <v>162</v>
      </c>
      <c r="D155" s="39" t="str">
        <f aca="false">INDEX(PARÁMETROS!$B$70:$B$89,MATCH(C155,PARÁMETROS!$A$70:$A$89,0))</f>
        <v>gal</v>
      </c>
      <c r="E155" s="33" t="n">
        <f aca="false">SUMIFS('METRADO POR NIVEL'!$U$4:$U$150,'METRADO POR NIVEL'!$A$4:$A$150,A155)</f>
        <v>11.4820141454403</v>
      </c>
      <c r="F155" s="25" t="n">
        <f aca="false">ROUNDUP(E155,0)</f>
        <v>12</v>
      </c>
      <c r="G155" s="40" t="n">
        <f aca="false">INDEX(PARÁMETROS!$C$70:$C$89,MATCH(C155,PARÁMETROS!$A$70:$A$89,0))</f>
        <v>40</v>
      </c>
      <c r="H155" s="44" t="n">
        <f aca="false">F155*G155</f>
        <v>480</v>
      </c>
      <c r="I155" s="5"/>
      <c r="J155" s="7"/>
    </row>
    <row r="156" customFormat="false" ht="15" hidden="false" customHeight="false" outlineLevel="0" collapsed="false">
      <c r="A156" s="27"/>
      <c r="B156" s="27"/>
      <c r="C156" s="26" t="s">
        <v>293</v>
      </c>
      <c r="D156" s="27"/>
      <c r="E156" s="27"/>
      <c r="F156" s="27"/>
      <c r="G156" s="27"/>
      <c r="H156" s="45" t="n">
        <f aca="false">SUM(H136:H155)</f>
        <v>33501.15</v>
      </c>
      <c r="I156" s="27"/>
      <c r="J156" s="27"/>
    </row>
    <row r="158" customFormat="false" ht="15" hidden="false" customHeight="false" outlineLevel="0" collapsed="false">
      <c r="A158" s="18" t="s">
        <v>231</v>
      </c>
      <c r="B158" s="19"/>
      <c r="C158" s="19"/>
      <c r="D158" s="19"/>
      <c r="E158" s="19"/>
      <c r="F158" s="19"/>
      <c r="G158" s="19"/>
      <c r="H158" s="19"/>
      <c r="I158" s="19"/>
      <c r="J158" s="19"/>
    </row>
    <row r="159" customFormat="false" ht="36" hidden="false" customHeight="true" outlineLevel="0" collapsed="false">
      <c r="A159" s="4" t="s">
        <v>177</v>
      </c>
      <c r="B159" s="4" t="s">
        <v>112</v>
      </c>
      <c r="C159" s="4" t="s">
        <v>107</v>
      </c>
      <c r="D159" s="4" t="s">
        <v>108</v>
      </c>
      <c r="E159" s="4" t="s">
        <v>273</v>
      </c>
      <c r="F159" s="4" t="s">
        <v>274</v>
      </c>
      <c r="G159" s="4" t="s">
        <v>275</v>
      </c>
      <c r="H159" s="4" t="s">
        <v>284</v>
      </c>
      <c r="I159" s="4" t="s">
        <v>277</v>
      </c>
      <c r="J159" s="4" t="s">
        <v>198</v>
      </c>
    </row>
    <row r="160" customFormat="false" ht="15" hidden="false" customHeight="false" outlineLevel="0" collapsed="false">
      <c r="A160" s="5" t="s">
        <v>231</v>
      </c>
      <c r="B160" s="39" t="str">
        <f aca="false">INDEX(PARÁMETROS!$F$70:$F$89,MATCH(C160,PARÁMETROS!$A$70:$A$89,0))</f>
        <v>Concreto</v>
      </c>
      <c r="C160" s="5" t="s">
        <v>114</v>
      </c>
      <c r="D160" s="39" t="str">
        <f aca="false">INDEX(PARÁMETROS!$B$70:$B$89,MATCH(C160,PARÁMETROS!$A$70:$A$89,0))</f>
        <v>bolsa</v>
      </c>
      <c r="E160" s="33" t="n">
        <f aca="false">SUMIFS('METRADO POR NIVEL'!$I$4:$I$150,'METRADO POR NIVEL'!$A$4:$A$150,A160)</f>
        <v>267.031654708387</v>
      </c>
      <c r="F160" s="25" t="n">
        <f aca="false">ROUNDUP(E160,0)</f>
        <v>268</v>
      </c>
      <c r="G160" s="40" t="n">
        <f aca="false">INDEX(PARÁMETROS!$C$70:$C$89,MATCH(C160,PARÁMETROS!$A$70:$A$89,0))</f>
        <v>27</v>
      </c>
      <c r="H160" s="44" t="n">
        <f aca="false">F160*G160</f>
        <v>7236</v>
      </c>
      <c r="I160" s="5"/>
      <c r="J160" s="7"/>
    </row>
    <row r="161" customFormat="false" ht="15" hidden="false" customHeight="false" outlineLevel="0" collapsed="false">
      <c r="A161" s="5" t="s">
        <v>231</v>
      </c>
      <c r="B161" s="39" t="str">
        <f aca="false">INDEX(PARÁMETROS!$F$70:$F$89,MATCH(C161,PARÁMETROS!$A$70:$A$89,0))</f>
        <v>Concreto</v>
      </c>
      <c r="C161" s="5" t="s">
        <v>119</v>
      </c>
      <c r="D161" s="39" t="str">
        <f aca="false">INDEX(PARÁMETROS!$B$70:$B$89,MATCH(C161,PARÁMETROS!$A$70:$A$89,0))</f>
        <v>m³</v>
      </c>
      <c r="E161" s="33" t="n">
        <f aca="false">SUMIFS('METRADO POR NIVEL'!$J$4:$J$150,'METRADO POR NIVEL'!$A$4:$A$150,A161)</f>
        <v>14.2709620193588</v>
      </c>
      <c r="F161" s="24" t="n">
        <f aca="false">CEILING(E161,0.5)</f>
        <v>14.5</v>
      </c>
      <c r="G161" s="40" t="n">
        <f aca="false">INDEX(PARÁMETROS!$C$70:$C$89,MATCH(C161,PARÁMETROS!$A$70:$A$89,0))</f>
        <v>70</v>
      </c>
      <c r="H161" s="44" t="n">
        <f aca="false">F161*G161</f>
        <v>1015</v>
      </c>
      <c r="I161" s="5"/>
      <c r="J161" s="7"/>
    </row>
    <row r="162" customFormat="false" ht="15" hidden="false" customHeight="false" outlineLevel="0" collapsed="false">
      <c r="A162" s="5" t="s">
        <v>231</v>
      </c>
      <c r="B162" s="39" t="str">
        <f aca="false">INDEX(PARÁMETROS!$F$70:$F$89,MATCH(C162,PARÁMETROS!$A$70:$A$89,0))</f>
        <v>Concreto</v>
      </c>
      <c r="C162" s="5" t="s">
        <v>123</v>
      </c>
      <c r="D162" s="39" t="str">
        <f aca="false">INDEX(PARÁMETROS!$B$70:$B$89,MATCH(C162,PARÁMETROS!$A$70:$A$89,0))</f>
        <v>m³</v>
      </c>
      <c r="E162" s="33" t="n">
        <f aca="false">SUMIFS('METRADO POR NIVEL'!$K$4:$K$150,'METRADO POR NIVEL'!$A$4:$A$150,A162)</f>
        <v>14.5454035966542</v>
      </c>
      <c r="F162" s="24" t="n">
        <f aca="false">CEILING(E162,0.5)</f>
        <v>15</v>
      </c>
      <c r="G162" s="40" t="n">
        <f aca="false">INDEX(PARÁMETROS!$C$70:$C$89,MATCH(C162,PARÁMETROS!$A$70:$A$89,0))</f>
        <v>80</v>
      </c>
      <c r="H162" s="44" t="n">
        <f aca="false">F162*G162</f>
        <v>1200</v>
      </c>
      <c r="I162" s="5"/>
      <c r="J162" s="7"/>
    </row>
    <row r="163" customFormat="false" ht="15" hidden="false" customHeight="false" outlineLevel="0" collapsed="false">
      <c r="A163" s="5" t="s">
        <v>231</v>
      </c>
      <c r="B163" s="39" t="str">
        <f aca="false">INDEX(PARÁMETROS!$F$70:$F$89,MATCH(C163,PARÁMETROS!$A$70:$A$89,0))</f>
        <v>Concreto</v>
      </c>
      <c r="C163" s="5" t="s">
        <v>125</v>
      </c>
      <c r="D163" s="39" t="str">
        <f aca="false">INDEX(PARÁMETROS!$B$70:$B$89,MATCH(C163,PARÁMETROS!$A$70:$A$89,0))</f>
        <v>m³</v>
      </c>
      <c r="E163" s="33" t="n">
        <f aca="false">SUMIFS('METRADO POR NIVEL'!$L$4:$L$150,'METRADO POR NIVEL'!$A$4:$A$150,A163)</f>
        <v>5.10461333769373</v>
      </c>
      <c r="F163" s="24" t="n">
        <f aca="false">CEILING(E163,0.5)</f>
        <v>5.5</v>
      </c>
      <c r="G163" s="40" t="n">
        <f aca="false">INDEX(PARÁMETROS!$C$70:$C$89,MATCH(C163,PARÁMETROS!$A$70:$A$89,0))</f>
        <v>7</v>
      </c>
      <c r="H163" s="44" t="n">
        <f aca="false">F163*G163</f>
        <v>38.5</v>
      </c>
      <c r="I163" s="5"/>
      <c r="J163" s="7"/>
    </row>
    <row r="164" customFormat="false" ht="15" hidden="false" customHeight="false" outlineLevel="0" collapsed="false">
      <c r="A164" s="5" t="s">
        <v>231</v>
      </c>
      <c r="B164" s="39" t="str">
        <f aca="false">INDEX(PARÁMETROS!$F$70:$F$89,MATCH(C164,PARÁMETROS!$A$70:$A$89,0))</f>
        <v>Concreto</v>
      </c>
      <c r="C164" s="5" t="s">
        <v>128</v>
      </c>
      <c r="D164" s="39" t="str">
        <f aca="false">INDEX(PARÁMETROS!$B$70:$B$89,MATCH(C164,PARÁMETROS!$A$70:$A$89,0))</f>
        <v>und</v>
      </c>
      <c r="E164" s="33" t="n">
        <f aca="false">SUMIFS('METRADO POR NIVEL'!$M$4:$M$150,'METRADO POR NIVEL'!$A$4:$A$150,A164)</f>
        <v>149.083916666667</v>
      </c>
      <c r="F164" s="25" t="n">
        <f aca="false">ROUNDUP(E164,0)</f>
        <v>150</v>
      </c>
      <c r="G164" s="40" t="n">
        <f aca="false">INDEX(PARÁMETROS!$C$70:$C$89,MATCH(C164,PARÁMETROS!$A$70:$A$89,0))</f>
        <v>12.9</v>
      </c>
      <c r="H164" s="44" t="n">
        <f aca="false">F164*G164</f>
        <v>1935</v>
      </c>
      <c r="I164" s="5"/>
      <c r="J164" s="7"/>
    </row>
    <row r="165" customFormat="false" ht="15" hidden="false" customHeight="false" outlineLevel="0" collapsed="false">
      <c r="A165" s="5" t="s">
        <v>231</v>
      </c>
      <c r="B165" s="39" t="str">
        <f aca="false">INDEX(PARÁMETROS!$F$70:$F$89,MATCH(C165,PARÁMETROS!$A$70:$A$89,0))</f>
        <v>Acero</v>
      </c>
      <c r="C165" s="5" t="s">
        <v>132</v>
      </c>
      <c r="D165" s="39" t="str">
        <f aca="false">INDEX(PARÁMETROS!$B$70:$B$89,MATCH(C165,PARÁMETROS!$A$70:$A$89,0))</f>
        <v>und</v>
      </c>
      <c r="E165" s="22" t="n">
        <f aca="false">COUNTIFS('PLAN DE CORTE'!$A$5:$A$2516,A165,'PLAN DE CORTE'!$B$5:$B$2516,"1/4")</f>
        <v>110</v>
      </c>
      <c r="F165" s="25" t="n">
        <f aca="false">ROUNDUP(E165,0)</f>
        <v>110</v>
      </c>
      <c r="G165" s="40" t="n">
        <f aca="false">INDEX(PARÁMETROS!$C$70:$C$89,MATCH(C165,PARÁMETROS!$A$70:$A$89,0))</f>
        <v>9.5</v>
      </c>
      <c r="H165" s="44" t="n">
        <f aca="false">F165*G165</f>
        <v>1045</v>
      </c>
      <c r="I165" s="24" t="n">
        <f aca="false">F165*9*INDEX(PARÁMETROS!$B$93:$B$97,MATCH("1/4",PARÁMETROS!$A$93:$A$97,0))</f>
        <v>247.5</v>
      </c>
      <c r="J165" s="7" t="s">
        <v>285</v>
      </c>
    </row>
    <row r="166" customFormat="false" ht="15" hidden="false" customHeight="false" outlineLevel="0" collapsed="false">
      <c r="A166" s="5" t="s">
        <v>231</v>
      </c>
      <c r="B166" s="39" t="str">
        <f aca="false">INDEX(PARÁMETROS!$F$70:$F$89,MATCH(C166,PARÁMETROS!$A$70:$A$89,0))</f>
        <v>Acero</v>
      </c>
      <c r="C166" s="5" t="s">
        <v>136</v>
      </c>
      <c r="D166" s="39" t="str">
        <f aca="false">INDEX(PARÁMETROS!$B$70:$B$89,MATCH(C166,PARÁMETROS!$A$70:$A$89,0))</f>
        <v>und</v>
      </c>
      <c r="E166" s="22" t="n">
        <f aca="false">COUNTIFS('PLAN DE CORTE'!$A$5:$A$2516,A166,'PLAN DE CORTE'!$B$5:$B$2516,"3/8")</f>
        <v>247</v>
      </c>
      <c r="F166" s="25" t="n">
        <f aca="false">ROUNDUP(E166,0)</f>
        <v>247</v>
      </c>
      <c r="G166" s="40" t="n">
        <f aca="false">INDEX(PARÁMETROS!$C$70:$C$89,MATCH(C166,PARÁMETROS!$A$70:$A$89,0))</f>
        <v>20.13</v>
      </c>
      <c r="H166" s="44" t="n">
        <f aca="false">F166*G166</f>
        <v>4972.11</v>
      </c>
      <c r="I166" s="24" t="n">
        <f aca="false">F166*9*INDEX(PARÁMETROS!$B$93:$B$97,MATCH("3/8",PARÁMETROS!$A$93:$A$97,0))</f>
        <v>1244.88</v>
      </c>
      <c r="J166" s="7" t="s">
        <v>285</v>
      </c>
    </row>
    <row r="167" customFormat="false" ht="15" hidden="false" customHeight="false" outlineLevel="0" collapsed="false">
      <c r="A167" s="5" t="s">
        <v>231</v>
      </c>
      <c r="B167" s="39" t="str">
        <f aca="false">INDEX(PARÁMETROS!$F$70:$F$89,MATCH(C167,PARÁMETROS!$A$70:$A$89,0))</f>
        <v>Acero</v>
      </c>
      <c r="C167" s="5" t="s">
        <v>138</v>
      </c>
      <c r="D167" s="39" t="str">
        <f aca="false">INDEX(PARÁMETROS!$B$70:$B$89,MATCH(C167,PARÁMETROS!$A$70:$A$89,0))</f>
        <v>und</v>
      </c>
      <c r="E167" s="22" t="n">
        <f aca="false">COUNTIFS('PLAN DE CORTE'!$A$5:$A$2516,A167,'PLAN DE CORTE'!$B$5:$B$2516,"1/2")</f>
        <v>35</v>
      </c>
      <c r="F167" s="25" t="n">
        <f aca="false">ROUNDUP(E167,0)</f>
        <v>35</v>
      </c>
      <c r="G167" s="40" t="n">
        <f aca="false">INDEX(PARÁMETROS!$C$70:$C$89,MATCH(C167,PARÁMETROS!$A$70:$A$89,0))</f>
        <v>36.09</v>
      </c>
      <c r="H167" s="44" t="n">
        <f aca="false">F167*G167</f>
        <v>1263.15</v>
      </c>
      <c r="I167" s="24" t="n">
        <f aca="false">F167*9*INDEX(PARÁMETROS!$B$93:$B$97,MATCH("1/2",PARÁMETROS!$A$93:$A$97,0))</f>
        <v>313.11</v>
      </c>
      <c r="J167" s="7" t="s">
        <v>285</v>
      </c>
    </row>
    <row r="168" customFormat="false" ht="15" hidden="false" customHeight="false" outlineLevel="0" collapsed="false">
      <c r="A168" s="5" t="s">
        <v>231</v>
      </c>
      <c r="B168" s="39" t="str">
        <f aca="false">INDEX(PARÁMETROS!$F$70:$F$89,MATCH(C168,PARÁMETROS!$A$70:$A$89,0))</f>
        <v>Acero</v>
      </c>
      <c r="C168" s="5" t="s">
        <v>139</v>
      </c>
      <c r="D168" s="39" t="str">
        <f aca="false">INDEX(PARÁMETROS!$B$70:$B$89,MATCH(C168,PARÁMETROS!$A$70:$A$89,0))</f>
        <v>und</v>
      </c>
      <c r="E168" s="22" t="n">
        <f aca="false">COUNTIFS('PLAN DE CORTE'!$A$5:$A$2516,A168,'PLAN DE CORTE'!$B$5:$B$2516,"5/8")</f>
        <v>35</v>
      </c>
      <c r="F168" s="25" t="n">
        <f aca="false">ROUNDUP(E168,0)</f>
        <v>35</v>
      </c>
      <c r="G168" s="40" t="n">
        <f aca="false">INDEX(PARÁMETROS!$C$70:$C$89,MATCH(C168,PARÁMETROS!$A$70:$A$89,0))</f>
        <v>55.82</v>
      </c>
      <c r="H168" s="44" t="n">
        <f aca="false">F168*G168</f>
        <v>1953.7</v>
      </c>
      <c r="I168" s="24" t="n">
        <f aca="false">F168*9*INDEX(PARÁMETROS!$B$93:$B$97,MATCH("5/8",PARÁMETROS!$A$93:$A$97,0))</f>
        <v>488.88</v>
      </c>
      <c r="J168" s="7" t="s">
        <v>285</v>
      </c>
    </row>
    <row r="169" customFormat="false" ht="15" hidden="false" customHeight="false" outlineLevel="0" collapsed="false">
      <c r="A169" s="5" t="s">
        <v>231</v>
      </c>
      <c r="B169" s="39" t="str">
        <f aca="false">INDEX(PARÁMETROS!$F$70:$F$89,MATCH(C169,PARÁMETROS!$A$70:$A$89,0))</f>
        <v>Acero</v>
      </c>
      <c r="C169" s="5" t="s">
        <v>140</v>
      </c>
      <c r="D169" s="39" t="str">
        <f aca="false">INDEX(PARÁMETROS!$B$70:$B$89,MATCH(C169,PARÁMETROS!$A$70:$A$89,0))</f>
        <v>und</v>
      </c>
      <c r="E169" s="22" t="n">
        <f aca="false">COUNTIFS('PLAN DE CORTE'!$A$5:$A$2516,A169,'PLAN DE CORTE'!$B$5:$B$2516,"3/4")</f>
        <v>67</v>
      </c>
      <c r="F169" s="25" t="n">
        <f aca="false">ROUNDUP(E169,0)</f>
        <v>67</v>
      </c>
      <c r="G169" s="40" t="n">
        <f aca="false">INDEX(PARÁMETROS!$C$70:$C$89,MATCH(C169,PARÁMETROS!$A$70:$A$89,0))</f>
        <v>82.09</v>
      </c>
      <c r="H169" s="44" t="n">
        <f aca="false">F169*G169</f>
        <v>5500.03</v>
      </c>
      <c r="I169" s="24" t="n">
        <f aca="false">F169*9*INDEX(PARÁMETROS!$B$93:$B$97,MATCH("3/4",PARÁMETROS!$A$93:$A$97,0))</f>
        <v>1347.705</v>
      </c>
      <c r="J169" s="7" t="s">
        <v>285</v>
      </c>
    </row>
    <row r="170" customFormat="false" ht="15" hidden="false" customHeight="false" outlineLevel="0" collapsed="false">
      <c r="A170" s="5" t="s">
        <v>231</v>
      </c>
      <c r="B170" s="39" t="str">
        <f aca="false">INDEX(PARÁMETROS!$F$70:$F$89,MATCH(C170,PARÁMETROS!$A$70:$A$89,0))</f>
        <v>Acero</v>
      </c>
      <c r="C170" s="5" t="s">
        <v>141</v>
      </c>
      <c r="D170" s="39" t="str">
        <f aca="false">INDEX(PARÁMETROS!$B$70:$B$89,MATCH(C170,PARÁMETROS!$A$70:$A$89,0))</f>
        <v>kg</v>
      </c>
      <c r="E170" s="33" t="n">
        <f aca="false">SUMIFS('METRADO POR NIVEL'!$N$4:$N$150,'METRADO POR NIVEL'!$A$4:$A$150,A170)</f>
        <v>100.40413269</v>
      </c>
      <c r="F170" s="25" t="n">
        <f aca="false">ROUNDUP(E170,0)</f>
        <v>101</v>
      </c>
      <c r="G170" s="40" t="n">
        <f aca="false">INDEX(PARÁMETROS!$C$70:$C$89,MATCH(C170,PARÁMETROS!$A$70:$A$89,0))</f>
        <v>3.65</v>
      </c>
      <c r="H170" s="44" t="n">
        <f aca="false">F170*G170</f>
        <v>368.65</v>
      </c>
      <c r="I170" s="24" t="n">
        <f aca="false">F170</f>
        <v>101</v>
      </c>
      <c r="J170" s="7" t="s">
        <v>286</v>
      </c>
    </row>
    <row r="171" customFormat="false" ht="15" hidden="false" customHeight="false" outlineLevel="0" collapsed="false">
      <c r="A171" s="5" t="s">
        <v>231</v>
      </c>
      <c r="B171" s="39" t="str">
        <f aca="false">INDEX(PARÁMETROS!$F$70:$F$89,MATCH(C171,PARÁMETROS!$A$70:$A$89,0))</f>
        <v>Acero</v>
      </c>
      <c r="C171" s="5" t="s">
        <v>144</v>
      </c>
      <c r="D171" s="39" t="str">
        <f aca="false">INDEX(PARÁMETROS!$B$70:$B$89,MATCH(C171,PARÁMETROS!$A$70:$A$89,0))</f>
        <v>und</v>
      </c>
      <c r="E171" s="33" t="n">
        <f aca="false">SUMIFS('METRADO POR NIVEL'!$W$4:$W$150,'METRADO POR NIVEL'!$A$4:$A$150,A171)</f>
        <v>16.0266666666667</v>
      </c>
      <c r="F171" s="25" t="n">
        <f aca="false">ROUNDUP(E171,0)</f>
        <v>17</v>
      </c>
      <c r="G171" s="40" t="n">
        <f aca="false">INDEX(PARÁMETROS!$C$70:$C$89,MATCH(C171,PARÁMETROS!$A$70:$A$89,0))</f>
        <v>12</v>
      </c>
      <c r="H171" s="44" t="n">
        <f aca="false">F171*G171</f>
        <v>204</v>
      </c>
      <c r="I171" s="5"/>
      <c r="J171" s="7"/>
    </row>
    <row r="172" customFormat="false" ht="15" hidden="false" customHeight="false" outlineLevel="0" collapsed="false">
      <c r="A172" s="5" t="s">
        <v>231</v>
      </c>
      <c r="B172" s="39" t="str">
        <f aca="false">INDEX(PARÁMETROS!$F$70:$F$89,MATCH(C172,PARÁMETROS!$A$70:$A$89,0))</f>
        <v>Acero</v>
      </c>
      <c r="C172" s="5" t="s">
        <v>146</v>
      </c>
      <c r="D172" s="39" t="str">
        <f aca="false">INDEX(PARÁMETROS!$B$70:$B$89,MATCH(C172,PARÁMETROS!$A$70:$A$89,0))</f>
        <v>und</v>
      </c>
      <c r="E172" s="33" t="n">
        <f aca="false">SUMIFS('METRADO POR NIVEL'!$V$4:$V$150,'METRADO POR NIVEL'!$A$4:$A$150,A172)</f>
        <v>489.422313900996</v>
      </c>
      <c r="F172" s="25" t="n">
        <f aca="false">ROUNDUP(E172,0)</f>
        <v>490</v>
      </c>
      <c r="G172" s="40" t="n">
        <f aca="false">INDEX(PARÁMETROS!$C$70:$C$89,MATCH(C172,PARÁMETROS!$A$70:$A$89,0))</f>
        <v>0.5</v>
      </c>
      <c r="H172" s="44" t="n">
        <f aca="false">F172*G172</f>
        <v>245</v>
      </c>
      <c r="I172" s="5"/>
      <c r="J172" s="7"/>
    </row>
    <row r="173" customFormat="false" ht="15" hidden="false" customHeight="false" outlineLevel="0" collapsed="false">
      <c r="A173" s="5" t="s">
        <v>231</v>
      </c>
      <c r="B173" s="39" t="str">
        <f aca="false">INDEX(PARÁMETROS!$F$70:$F$89,MATCH(C173,PARÁMETROS!$A$70:$A$89,0))</f>
        <v>Encofrado</v>
      </c>
      <c r="C173" s="5" t="s">
        <v>148</v>
      </c>
      <c r="D173" s="39" t="str">
        <f aca="false">INDEX(PARÁMETROS!$B$70:$B$89,MATCH(C173,PARÁMETROS!$A$70:$A$89,0))</f>
        <v>p²</v>
      </c>
      <c r="E173" s="33" t="n">
        <f aca="false">SUMIFS('METRADO POR NIVEL'!$O$4:$O$150,'METRADO POR NIVEL'!$A$4:$A$150,A173)</f>
        <v>162.513085675929</v>
      </c>
      <c r="F173" s="25" t="n">
        <f aca="false">ROUNDUP(E173,0)</f>
        <v>163</v>
      </c>
      <c r="G173" s="40" t="n">
        <f aca="false">INDEX(PARÁMETROS!$C$70:$C$89,MATCH(C173,PARÁMETROS!$A$70:$A$89,0))</f>
        <v>5.5</v>
      </c>
      <c r="H173" s="44" t="n">
        <f aca="false">F173*G173</f>
        <v>896.5</v>
      </c>
      <c r="I173" s="5"/>
      <c r="J173" s="7" t="s">
        <v>287</v>
      </c>
    </row>
    <row r="174" customFormat="false" ht="15" hidden="false" customHeight="false" outlineLevel="0" collapsed="false">
      <c r="A174" s="5" t="s">
        <v>231</v>
      </c>
      <c r="B174" s="39" t="str">
        <f aca="false">INDEX(PARÁMETROS!$F$70:$F$89,MATCH(C174,PARÁMETROS!$A$70:$A$89,0))</f>
        <v>Encofrado</v>
      </c>
      <c r="C174" s="5" t="s">
        <v>153</v>
      </c>
      <c r="D174" s="39" t="str">
        <f aca="false">INDEX(PARÁMETROS!$B$70:$B$89,MATCH(C174,PARÁMETROS!$A$70:$A$89,0))</f>
        <v>plancha</v>
      </c>
      <c r="E174" s="33" t="n">
        <f aca="false">SUMIFS('METRADO POR NIVEL'!$P$4:$P$150,'METRADO POR NIVEL'!$A$4:$A$150,A174)/(1.22*2.44)</f>
        <v>14.5130064145004</v>
      </c>
      <c r="F174" s="25" t="n">
        <f aca="false">ROUNDUP(E174,0)</f>
        <v>15</v>
      </c>
      <c r="G174" s="40" t="n">
        <f aca="false">INDEX(PARÁMETROS!$C$70:$C$89,MATCH(C174,PARÁMETROS!$A$70:$A$89,0))</f>
        <v>115</v>
      </c>
      <c r="H174" s="44" t="n">
        <f aca="false">F174*G174</f>
        <v>1725</v>
      </c>
      <c r="I174" s="5"/>
      <c r="J174" s="7" t="s">
        <v>288</v>
      </c>
    </row>
    <row r="175" customFormat="false" ht="15" hidden="false" customHeight="false" outlineLevel="0" collapsed="false">
      <c r="A175" s="5" t="s">
        <v>231</v>
      </c>
      <c r="B175" s="39" t="str">
        <f aca="false">INDEX(PARÁMETROS!$F$70:$F$89,MATCH(C175,PARÁMETROS!$A$70:$A$89,0))</f>
        <v>Encofrado</v>
      </c>
      <c r="C175" s="5" t="s">
        <v>155</v>
      </c>
      <c r="D175" s="39" t="str">
        <f aca="false">INDEX(PARÁMETROS!$B$70:$B$89,MATCH(C175,PARÁMETROS!$A$70:$A$89,0))</f>
        <v>und</v>
      </c>
      <c r="E175" s="33" t="n">
        <f aca="false">SUMIFS('METRADO POR NIVEL'!$S$4:$S$150,'METRADO POR NIVEL'!$A$4:$A$150,A175)</f>
        <v>18.5876821565697</v>
      </c>
      <c r="F175" s="25" t="n">
        <f aca="false">ROUNDUP(E175,0)</f>
        <v>19</v>
      </c>
      <c r="G175" s="40" t="n">
        <f aca="false">INDEX(PARÁMETROS!$C$70:$C$89,MATCH(C175,PARÁMETROS!$A$70:$A$89,0))</f>
        <v>18</v>
      </c>
      <c r="H175" s="44" t="n">
        <f aca="false">F175*G175</f>
        <v>342</v>
      </c>
      <c r="I175" s="5"/>
      <c r="J175" s="7" t="s">
        <v>287</v>
      </c>
    </row>
    <row r="176" customFormat="false" ht="15" hidden="false" customHeight="false" outlineLevel="0" collapsed="false">
      <c r="A176" s="5" t="s">
        <v>231</v>
      </c>
      <c r="B176" s="39" t="str">
        <f aca="false">INDEX(PARÁMETROS!$F$70:$F$89,MATCH(C176,PARÁMETROS!$A$70:$A$89,0))</f>
        <v>Encofrado</v>
      </c>
      <c r="C176" s="5" t="s">
        <v>157</v>
      </c>
      <c r="D176" s="39" t="str">
        <f aca="false">INDEX(PARÁMETROS!$B$70:$B$89,MATCH(C176,PARÁMETROS!$A$70:$A$89,0))</f>
        <v>kg</v>
      </c>
      <c r="E176" s="33" t="n">
        <f aca="false">SUMIFS('METRADO POR NIVEL'!$Q$4:$Q$150,'METRADO POR NIVEL'!$A$4:$A$150,A176)</f>
        <v>33.1504038566164</v>
      </c>
      <c r="F176" s="25" t="n">
        <f aca="false">ROUNDUP(E176,0)</f>
        <v>34</v>
      </c>
      <c r="G176" s="40" t="n">
        <f aca="false">INDEX(PARÁMETROS!$C$70:$C$89,MATCH(C176,PARÁMETROS!$A$70:$A$89,0))</f>
        <v>6.5</v>
      </c>
      <c r="H176" s="44" t="n">
        <f aca="false">F176*G176</f>
        <v>221</v>
      </c>
      <c r="I176" s="5"/>
      <c r="J176" s="7"/>
    </row>
    <row r="177" customFormat="false" ht="15" hidden="false" customHeight="false" outlineLevel="0" collapsed="false">
      <c r="A177" s="5" t="s">
        <v>231</v>
      </c>
      <c r="B177" s="39" t="str">
        <f aca="false">INDEX(PARÁMETROS!$F$70:$F$89,MATCH(C177,PARÁMETROS!$A$70:$A$89,0))</f>
        <v>Encofrado</v>
      </c>
      <c r="C177" s="5" t="s">
        <v>158</v>
      </c>
      <c r="D177" s="39" t="str">
        <f aca="false">INDEX(PARÁMETROS!$B$70:$B$89,MATCH(C177,PARÁMETROS!$A$70:$A$89,0))</f>
        <v>kg</v>
      </c>
      <c r="E177" s="33" t="n">
        <f aca="false">SUMIFS('METRADO POR NIVEL'!$R$4:$R$150,'METRADO POR NIVEL'!$A$4:$A$150,A177)</f>
        <v>46.1826947088288</v>
      </c>
      <c r="F177" s="25" t="n">
        <f aca="false">ROUNDUP(E177,0)</f>
        <v>47</v>
      </c>
      <c r="G177" s="40" t="n">
        <f aca="false">INDEX(PARÁMETROS!$C$70:$C$89,MATCH(C177,PARÁMETROS!$A$70:$A$89,0))</f>
        <v>5.9</v>
      </c>
      <c r="H177" s="44" t="n">
        <f aca="false">F177*G177</f>
        <v>277.3</v>
      </c>
      <c r="I177" s="24" t="n">
        <f aca="false">F177</f>
        <v>47</v>
      </c>
      <c r="J177" s="7" t="s">
        <v>286</v>
      </c>
    </row>
    <row r="178" customFormat="false" ht="15" hidden="false" customHeight="false" outlineLevel="0" collapsed="false">
      <c r="A178" s="5" t="s">
        <v>231</v>
      </c>
      <c r="B178" s="39" t="str">
        <f aca="false">INDEX(PARÁMETROS!$F$70:$F$89,MATCH(C178,PARÁMETROS!$A$70:$A$89,0))</f>
        <v>Encofrado</v>
      </c>
      <c r="C178" s="5" t="s">
        <v>160</v>
      </c>
      <c r="D178" s="39" t="str">
        <f aca="false">INDEX(PARÁMETROS!$B$70:$B$89,MATCH(C178,PARÁMETROS!$A$70:$A$89,0))</f>
        <v>gal</v>
      </c>
      <c r="E178" s="33" t="n">
        <f aca="false">SUMIFS('METRADO POR NIVEL'!$T$4:$T$150,'METRADO POR NIVEL'!$A$4:$A$150,A178)</f>
        <v>4.62884563130117</v>
      </c>
      <c r="F178" s="25" t="n">
        <f aca="false">ROUNDUP(E178,0)</f>
        <v>5</v>
      </c>
      <c r="G178" s="40" t="n">
        <f aca="false">INDEX(PARÁMETROS!$C$70:$C$89,MATCH(C178,PARÁMETROS!$A$70:$A$89,0))</f>
        <v>45</v>
      </c>
      <c r="H178" s="44" t="n">
        <f aca="false">F178*G178</f>
        <v>225</v>
      </c>
      <c r="I178" s="5"/>
      <c r="J178" s="7"/>
    </row>
    <row r="179" customFormat="false" ht="15" hidden="false" customHeight="false" outlineLevel="0" collapsed="false">
      <c r="A179" s="5" t="s">
        <v>231</v>
      </c>
      <c r="B179" s="39" t="str">
        <f aca="false">INDEX(PARÁMETROS!$F$70:$F$89,MATCH(C179,PARÁMETROS!$A$70:$A$89,0))</f>
        <v>Curado</v>
      </c>
      <c r="C179" s="5" t="s">
        <v>162</v>
      </c>
      <c r="D179" s="39" t="str">
        <f aca="false">INDEX(PARÁMETROS!$B$70:$B$89,MATCH(C179,PARÁMETROS!$A$70:$A$89,0))</f>
        <v>gal</v>
      </c>
      <c r="E179" s="33" t="n">
        <f aca="false">SUMIFS('METRADO POR NIVEL'!$U$4:$U$150,'METRADO POR NIVEL'!$A$4:$A$150,A179)</f>
        <v>11.6152352664473</v>
      </c>
      <c r="F179" s="25" t="n">
        <f aca="false">ROUNDUP(E179,0)</f>
        <v>12</v>
      </c>
      <c r="G179" s="40" t="n">
        <f aca="false">INDEX(PARÁMETROS!$C$70:$C$89,MATCH(C179,PARÁMETROS!$A$70:$A$89,0))</f>
        <v>40</v>
      </c>
      <c r="H179" s="44" t="n">
        <f aca="false">F179*G179</f>
        <v>480</v>
      </c>
      <c r="I179" s="5"/>
      <c r="J179" s="7"/>
    </row>
    <row r="180" customFormat="false" ht="15" hidden="false" customHeight="false" outlineLevel="0" collapsed="false">
      <c r="A180" s="27"/>
      <c r="B180" s="27"/>
      <c r="C180" s="26" t="s">
        <v>294</v>
      </c>
      <c r="D180" s="27"/>
      <c r="E180" s="27"/>
      <c r="F180" s="27"/>
      <c r="G180" s="27"/>
      <c r="H180" s="45" t="n">
        <f aca="false">SUM(H160:H179)</f>
        <v>31142.94</v>
      </c>
      <c r="I180" s="27"/>
      <c r="J180" s="2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9"/>
    <col collapsed="false" customWidth="true" hidden="false" outlineLevel="0" max="6" min="6" style="0" width="10"/>
    <col collapsed="false" customWidth="true" hidden="false" outlineLevel="0" max="8" min="7" style="0" width="11"/>
    <col collapsed="false" customWidth="true" hidden="false" outlineLevel="0" max="10" min="9" style="0" width="13"/>
    <col collapsed="false" customWidth="true" hidden="false" outlineLevel="0" max="11" min="11" style="0" width="2"/>
    <col collapsed="false" customWidth="true" hidden="false" outlineLevel="0" max="37" min="12" style="0" width="7"/>
  </cols>
  <sheetData>
    <row r="1" customFormat="false" ht="17.35" hidden="false" customHeight="false" outlineLevel="0" collapsed="false">
      <c r="A1" s="1" t="s">
        <v>295</v>
      </c>
    </row>
    <row r="2" customFormat="false" ht="15" hidden="false" customHeight="false" outlineLevel="0" collapsed="false">
      <c r="A2" s="2" t="s">
        <v>296</v>
      </c>
    </row>
    <row r="3" customFormat="false" ht="15" hidden="false" customHeight="false" outlineLevel="0" collapsed="false">
      <c r="L3" s="3" t="s">
        <v>297</v>
      </c>
    </row>
    <row r="4" customFormat="false" ht="15" hidden="false" customHeight="false" outlineLevel="0" collapsed="false">
      <c r="L4" s="46" t="n">
        <v>1</v>
      </c>
      <c r="M4" s="46" t="n">
        <v>2</v>
      </c>
      <c r="N4" s="46" t="n">
        <v>3</v>
      </c>
      <c r="O4" s="46" t="n">
        <v>4</v>
      </c>
      <c r="P4" s="46" t="n">
        <v>5</v>
      </c>
      <c r="Q4" s="46" t="n">
        <v>6</v>
      </c>
      <c r="R4" s="46" t="n">
        <v>7</v>
      </c>
      <c r="S4" s="46" t="n">
        <v>8</v>
      </c>
      <c r="T4" s="46" t="n">
        <v>9</v>
      </c>
      <c r="U4" s="46" t="n">
        <v>10</v>
      </c>
      <c r="V4" s="46" t="n">
        <v>11</v>
      </c>
      <c r="W4" s="46" t="n">
        <v>12</v>
      </c>
      <c r="X4" s="46" t="n">
        <v>13</v>
      </c>
      <c r="Y4" s="46" t="n">
        <v>14</v>
      </c>
      <c r="Z4" s="46" t="n">
        <v>15</v>
      </c>
      <c r="AA4" s="46" t="n">
        <v>16</v>
      </c>
      <c r="AB4" s="46" t="n">
        <v>17</v>
      </c>
      <c r="AC4" s="46" t="n">
        <v>18</v>
      </c>
      <c r="AD4" s="46" t="n">
        <v>19</v>
      </c>
      <c r="AE4" s="46" t="n">
        <v>20</v>
      </c>
      <c r="AF4" s="46" t="n">
        <v>21</v>
      </c>
      <c r="AG4" s="46" t="n">
        <v>22</v>
      </c>
      <c r="AH4" s="46" t="n">
        <v>23</v>
      </c>
      <c r="AI4" s="46" t="n">
        <v>24</v>
      </c>
      <c r="AJ4" s="46" t="n">
        <v>25</v>
      </c>
      <c r="AK4" s="46" t="n">
        <v>26</v>
      </c>
    </row>
    <row r="5" customFormat="false" ht="42" hidden="false" customHeight="true" outlineLevel="0" collapsed="false">
      <c r="A5" s="4" t="s">
        <v>298</v>
      </c>
      <c r="B5" s="4" t="s">
        <v>177</v>
      </c>
      <c r="C5" s="4" t="s">
        <v>178</v>
      </c>
      <c r="D5" s="4" t="s">
        <v>299</v>
      </c>
      <c r="E5" s="4" t="s">
        <v>300</v>
      </c>
      <c r="F5" s="4" t="s">
        <v>301</v>
      </c>
      <c r="G5" s="4" t="s">
        <v>302</v>
      </c>
      <c r="H5" s="4" t="s">
        <v>303</v>
      </c>
      <c r="I5" s="4" t="s">
        <v>304</v>
      </c>
      <c r="J5" s="4" t="s">
        <v>305</v>
      </c>
      <c r="L5" s="47" t="n">
        <f aca="false">PARÁMETROS!$B$6+7*1-1</f>
        <v>46306</v>
      </c>
      <c r="M5" s="47" t="n">
        <f aca="false">PARÁMETROS!$B$6+7*2-1</f>
        <v>46313</v>
      </c>
      <c r="N5" s="47" t="n">
        <f aca="false">PARÁMETROS!$B$6+7*3-1</f>
        <v>46320</v>
      </c>
      <c r="O5" s="47" t="n">
        <f aca="false">PARÁMETROS!$B$6+7*4-1</f>
        <v>46327</v>
      </c>
      <c r="P5" s="47" t="n">
        <f aca="false">PARÁMETROS!$B$6+7*5-1</f>
        <v>46334</v>
      </c>
      <c r="Q5" s="47" t="n">
        <f aca="false">PARÁMETROS!$B$6+7*6-1</f>
        <v>46341</v>
      </c>
      <c r="R5" s="47" t="n">
        <f aca="false">PARÁMETROS!$B$6+7*7-1</f>
        <v>46348</v>
      </c>
      <c r="S5" s="47" t="n">
        <f aca="false">PARÁMETROS!$B$6+7*8-1</f>
        <v>46355</v>
      </c>
      <c r="T5" s="47" t="n">
        <f aca="false">PARÁMETROS!$B$6+7*9-1</f>
        <v>46362</v>
      </c>
      <c r="U5" s="47" t="n">
        <f aca="false">PARÁMETROS!$B$6+7*10-1</f>
        <v>46369</v>
      </c>
      <c r="V5" s="47" t="n">
        <f aca="false">PARÁMETROS!$B$6+7*11-1</f>
        <v>46376</v>
      </c>
      <c r="W5" s="47" t="n">
        <f aca="false">PARÁMETROS!$B$6+7*12-1</f>
        <v>46383</v>
      </c>
      <c r="X5" s="47" t="n">
        <f aca="false">PARÁMETROS!$B$6+7*13-1</f>
        <v>46390</v>
      </c>
      <c r="Y5" s="47" t="n">
        <f aca="false">PARÁMETROS!$B$6+7*14-1</f>
        <v>46397</v>
      </c>
      <c r="Z5" s="47" t="n">
        <f aca="false">PARÁMETROS!$B$6+7*15-1</f>
        <v>46404</v>
      </c>
      <c r="AA5" s="47" t="n">
        <f aca="false">PARÁMETROS!$B$6+7*16-1</f>
        <v>46411</v>
      </c>
      <c r="AB5" s="47" t="n">
        <f aca="false">PARÁMETROS!$B$6+7*17-1</f>
        <v>46418</v>
      </c>
      <c r="AC5" s="47" t="n">
        <f aca="false">PARÁMETROS!$B$6+7*18-1</f>
        <v>46425</v>
      </c>
      <c r="AD5" s="47" t="n">
        <f aca="false">PARÁMETROS!$B$6+7*19-1</f>
        <v>46432</v>
      </c>
      <c r="AE5" s="47" t="n">
        <f aca="false">PARÁMETROS!$B$6+7*20-1</f>
        <v>46439</v>
      </c>
      <c r="AF5" s="47" t="n">
        <f aca="false">PARÁMETROS!$B$6+7*21-1</f>
        <v>46446</v>
      </c>
      <c r="AG5" s="47" t="n">
        <f aca="false">PARÁMETROS!$B$6+7*22-1</f>
        <v>46453</v>
      </c>
      <c r="AH5" s="47" t="n">
        <f aca="false">PARÁMETROS!$B$6+7*23-1</f>
        <v>46460</v>
      </c>
      <c r="AI5" s="47" t="n">
        <f aca="false">PARÁMETROS!$B$6+7*24-1</f>
        <v>46467</v>
      </c>
      <c r="AJ5" s="47" t="n">
        <f aca="false">PARÁMETROS!$B$6+7*25-1</f>
        <v>46474</v>
      </c>
      <c r="AK5" s="47" t="n">
        <f aca="false">PARÁMETROS!$B$6+7*26-1</f>
        <v>46481</v>
      </c>
    </row>
    <row r="6" customFormat="false" ht="15" hidden="false" customHeight="false" outlineLevel="0" collapsed="false">
      <c r="A6" s="25" t="n">
        <v>1</v>
      </c>
      <c r="B6" s="5" t="s">
        <v>176</v>
      </c>
      <c r="C6" s="5" t="s">
        <v>134</v>
      </c>
      <c r="D6" s="40" t="n">
        <f aca="false">INDEX('LISTA DE COMPRAS'!$B$30:$E$35,MATCH(B6,'LISTA DE COMPRAS'!$A$30:$A$35,0),MATCH(C6,'LISTA DE COMPRAS'!$B$29:$E$29,0))</f>
        <v>11205.48</v>
      </c>
      <c r="E6" s="23" t="n">
        <f aca="false">IF($D$30&gt;0,D6/$D$30,0)</f>
        <v>0.0655660008067696</v>
      </c>
      <c r="F6" s="9" t="n">
        <v>8</v>
      </c>
      <c r="G6" s="48" t="n">
        <f aca="false">PARÁMETROS!$B$6</f>
        <v>46300</v>
      </c>
      <c r="H6" s="48" t="n">
        <f aca="false">G6+F6-1</f>
        <v>46307</v>
      </c>
      <c r="I6" s="23" t="n">
        <f aca="false">MAX(0,MIN(1,(PARÁMETROS!$B$7-G6+1)/(H6-G6+1)))</f>
        <v>0.125</v>
      </c>
      <c r="J6" s="23" t="n">
        <f aca="false">_xlfn.MAXIFS('AVANCE REAL'!$E$6:$E$405,'AVANCE REAL'!$C$6:$C$405,B6,'AVANCE REAL'!$D$6:$D$405,C6,'AVANCE REAL'!$A$6:$A$405,"&lt;="&amp;PARÁMETROS!$B$7)</f>
        <v>0</v>
      </c>
      <c r="L6" s="49" t="n">
        <f aca="false">MAX(0,MIN(1,(L$5-$G6+1)/($H6-$G6+1)))</f>
        <v>0.875</v>
      </c>
      <c r="M6" s="49" t="n">
        <f aca="false">MAX(0,MIN(1,(M$5-$G6+1)/($H6-$G6+1)))</f>
        <v>1</v>
      </c>
      <c r="N6" s="49" t="n">
        <f aca="false">MAX(0,MIN(1,(N$5-$G6+1)/($H6-$G6+1)))</f>
        <v>1</v>
      </c>
      <c r="O6" s="49" t="n">
        <f aca="false">MAX(0,MIN(1,(O$5-$G6+1)/($H6-$G6+1)))</f>
        <v>1</v>
      </c>
      <c r="P6" s="49" t="n">
        <f aca="false">MAX(0,MIN(1,(P$5-$G6+1)/($H6-$G6+1)))</f>
        <v>1</v>
      </c>
      <c r="Q6" s="49" t="n">
        <f aca="false">MAX(0,MIN(1,(Q$5-$G6+1)/($H6-$G6+1)))</f>
        <v>1</v>
      </c>
      <c r="R6" s="49" t="n">
        <f aca="false">MAX(0,MIN(1,(R$5-$G6+1)/($H6-$G6+1)))</f>
        <v>1</v>
      </c>
      <c r="S6" s="49" t="n">
        <f aca="false">MAX(0,MIN(1,(S$5-$G6+1)/($H6-$G6+1)))</f>
        <v>1</v>
      </c>
      <c r="T6" s="49" t="n">
        <f aca="false">MAX(0,MIN(1,(T$5-$G6+1)/($H6-$G6+1)))</f>
        <v>1</v>
      </c>
      <c r="U6" s="49" t="n">
        <f aca="false">MAX(0,MIN(1,(U$5-$G6+1)/($H6-$G6+1)))</f>
        <v>1</v>
      </c>
      <c r="V6" s="49" t="n">
        <f aca="false">MAX(0,MIN(1,(V$5-$G6+1)/($H6-$G6+1)))</f>
        <v>1</v>
      </c>
      <c r="W6" s="49" t="n">
        <f aca="false">MAX(0,MIN(1,(W$5-$G6+1)/($H6-$G6+1)))</f>
        <v>1</v>
      </c>
      <c r="X6" s="49" t="n">
        <f aca="false">MAX(0,MIN(1,(X$5-$G6+1)/($H6-$G6+1)))</f>
        <v>1</v>
      </c>
      <c r="Y6" s="49" t="n">
        <f aca="false">MAX(0,MIN(1,(Y$5-$G6+1)/($H6-$G6+1)))</f>
        <v>1</v>
      </c>
      <c r="Z6" s="49" t="n">
        <f aca="false">MAX(0,MIN(1,(Z$5-$G6+1)/($H6-$G6+1)))</f>
        <v>1</v>
      </c>
      <c r="AA6" s="49" t="n">
        <f aca="false">MAX(0,MIN(1,(AA$5-$G6+1)/($H6-$G6+1)))</f>
        <v>1</v>
      </c>
      <c r="AB6" s="49" t="n">
        <f aca="false">MAX(0,MIN(1,(AB$5-$G6+1)/($H6-$G6+1)))</f>
        <v>1</v>
      </c>
      <c r="AC6" s="49" t="n">
        <f aca="false">MAX(0,MIN(1,(AC$5-$G6+1)/($H6-$G6+1)))</f>
        <v>1</v>
      </c>
      <c r="AD6" s="49" t="n">
        <f aca="false">MAX(0,MIN(1,(AD$5-$G6+1)/($H6-$G6+1)))</f>
        <v>1</v>
      </c>
      <c r="AE6" s="49" t="n">
        <f aca="false">MAX(0,MIN(1,(AE$5-$G6+1)/($H6-$G6+1)))</f>
        <v>1</v>
      </c>
      <c r="AF6" s="49" t="n">
        <f aca="false">MAX(0,MIN(1,(AF$5-$G6+1)/($H6-$G6+1)))</f>
        <v>1</v>
      </c>
      <c r="AG6" s="49" t="n">
        <f aca="false">MAX(0,MIN(1,(AG$5-$G6+1)/($H6-$G6+1)))</f>
        <v>1</v>
      </c>
      <c r="AH6" s="49" t="n">
        <f aca="false">MAX(0,MIN(1,(AH$5-$G6+1)/($H6-$G6+1)))</f>
        <v>1</v>
      </c>
      <c r="AI6" s="49" t="n">
        <f aca="false">MAX(0,MIN(1,(AI$5-$G6+1)/($H6-$G6+1)))</f>
        <v>1</v>
      </c>
      <c r="AJ6" s="49" t="n">
        <f aca="false">MAX(0,MIN(1,(AJ$5-$G6+1)/($H6-$G6+1)))</f>
        <v>1</v>
      </c>
      <c r="AK6" s="49" t="n">
        <f aca="false">MAX(0,MIN(1,(AK$5-$G6+1)/($H6-$G6+1)))</f>
        <v>1</v>
      </c>
    </row>
    <row r="7" customFormat="false" ht="15" hidden="false" customHeight="false" outlineLevel="0" collapsed="false">
      <c r="A7" s="25" t="n">
        <v>2</v>
      </c>
      <c r="B7" s="5" t="s">
        <v>176</v>
      </c>
      <c r="C7" s="5" t="s">
        <v>151</v>
      </c>
      <c r="D7" s="40" t="n">
        <f aca="false">INDEX('LISTA DE COMPRAS'!$B$30:$E$35,MATCH(B7,'LISTA DE COMPRAS'!$A$30:$A$35,0),MATCH(C7,'LISTA DE COMPRAS'!$B$29:$E$29,0))</f>
        <v>352.6</v>
      </c>
      <c r="E7" s="23" t="n">
        <f aca="false">IF($D$30&gt;0,D7/$D$30,0)</f>
        <v>0.0020631487347679</v>
      </c>
      <c r="F7" s="9" t="n">
        <v>6</v>
      </c>
      <c r="G7" s="48" t="n">
        <f aca="false">G6+PARÁMETROS!$B$21</f>
        <v>46302</v>
      </c>
      <c r="H7" s="48" t="n">
        <f aca="false">G7+F7-1</f>
        <v>46307</v>
      </c>
      <c r="I7" s="23" t="n">
        <f aca="false">MAX(0,MIN(1,(PARÁMETROS!$B$7-G7+1)/(H7-G7+1)))</f>
        <v>0</v>
      </c>
      <c r="J7" s="23" t="n">
        <f aca="false">_xlfn.MAXIFS('AVANCE REAL'!$E$6:$E$405,'AVANCE REAL'!$C$6:$C$405,B7,'AVANCE REAL'!$D$6:$D$405,C7,'AVANCE REAL'!$A$6:$A$405,"&lt;="&amp;PARÁMETROS!$B$7)</f>
        <v>0</v>
      </c>
      <c r="L7" s="49" t="n">
        <f aca="false">MAX(0,MIN(1,(L$5-$G7+1)/($H7-$G7+1)))</f>
        <v>0.833333333333333</v>
      </c>
      <c r="M7" s="49" t="n">
        <f aca="false">MAX(0,MIN(1,(M$5-$G7+1)/($H7-$G7+1)))</f>
        <v>1</v>
      </c>
      <c r="N7" s="49" t="n">
        <f aca="false">MAX(0,MIN(1,(N$5-$G7+1)/($H7-$G7+1)))</f>
        <v>1</v>
      </c>
      <c r="O7" s="49" t="n">
        <f aca="false">MAX(0,MIN(1,(O$5-$G7+1)/($H7-$G7+1)))</f>
        <v>1</v>
      </c>
      <c r="P7" s="49" t="n">
        <f aca="false">MAX(0,MIN(1,(P$5-$G7+1)/($H7-$G7+1)))</f>
        <v>1</v>
      </c>
      <c r="Q7" s="49" t="n">
        <f aca="false">MAX(0,MIN(1,(Q$5-$G7+1)/($H7-$G7+1)))</f>
        <v>1</v>
      </c>
      <c r="R7" s="49" t="n">
        <f aca="false">MAX(0,MIN(1,(R$5-$G7+1)/($H7-$G7+1)))</f>
        <v>1</v>
      </c>
      <c r="S7" s="49" t="n">
        <f aca="false">MAX(0,MIN(1,(S$5-$G7+1)/($H7-$G7+1)))</f>
        <v>1</v>
      </c>
      <c r="T7" s="49" t="n">
        <f aca="false">MAX(0,MIN(1,(T$5-$G7+1)/($H7-$G7+1)))</f>
        <v>1</v>
      </c>
      <c r="U7" s="49" t="n">
        <f aca="false">MAX(0,MIN(1,(U$5-$G7+1)/($H7-$G7+1)))</f>
        <v>1</v>
      </c>
      <c r="V7" s="49" t="n">
        <f aca="false">MAX(0,MIN(1,(V$5-$G7+1)/($H7-$G7+1)))</f>
        <v>1</v>
      </c>
      <c r="W7" s="49" t="n">
        <f aca="false">MAX(0,MIN(1,(W$5-$G7+1)/($H7-$G7+1)))</f>
        <v>1</v>
      </c>
      <c r="X7" s="49" t="n">
        <f aca="false">MAX(0,MIN(1,(X$5-$G7+1)/($H7-$G7+1)))</f>
        <v>1</v>
      </c>
      <c r="Y7" s="49" t="n">
        <f aca="false">MAX(0,MIN(1,(Y$5-$G7+1)/($H7-$G7+1)))</f>
        <v>1</v>
      </c>
      <c r="Z7" s="49" t="n">
        <f aca="false">MAX(0,MIN(1,(Z$5-$G7+1)/($H7-$G7+1)))</f>
        <v>1</v>
      </c>
      <c r="AA7" s="49" t="n">
        <f aca="false">MAX(0,MIN(1,(AA$5-$G7+1)/($H7-$G7+1)))</f>
        <v>1</v>
      </c>
      <c r="AB7" s="49" t="n">
        <f aca="false">MAX(0,MIN(1,(AB$5-$G7+1)/($H7-$G7+1)))</f>
        <v>1</v>
      </c>
      <c r="AC7" s="49" t="n">
        <f aca="false">MAX(0,MIN(1,(AC$5-$G7+1)/($H7-$G7+1)))</f>
        <v>1</v>
      </c>
      <c r="AD7" s="49" t="n">
        <f aca="false">MAX(0,MIN(1,(AD$5-$G7+1)/($H7-$G7+1)))</f>
        <v>1</v>
      </c>
      <c r="AE7" s="49" t="n">
        <f aca="false">MAX(0,MIN(1,(AE$5-$G7+1)/($H7-$G7+1)))</f>
        <v>1</v>
      </c>
      <c r="AF7" s="49" t="n">
        <f aca="false">MAX(0,MIN(1,(AF$5-$G7+1)/($H7-$G7+1)))</f>
        <v>1</v>
      </c>
      <c r="AG7" s="49" t="n">
        <f aca="false">MAX(0,MIN(1,(AG$5-$G7+1)/($H7-$G7+1)))</f>
        <v>1</v>
      </c>
      <c r="AH7" s="49" t="n">
        <f aca="false">MAX(0,MIN(1,(AH$5-$G7+1)/($H7-$G7+1)))</f>
        <v>1</v>
      </c>
      <c r="AI7" s="49" t="n">
        <f aca="false">MAX(0,MIN(1,(AI$5-$G7+1)/($H7-$G7+1)))</f>
        <v>1</v>
      </c>
      <c r="AJ7" s="49" t="n">
        <f aca="false">MAX(0,MIN(1,(AJ$5-$G7+1)/($H7-$G7+1)))</f>
        <v>1</v>
      </c>
      <c r="AK7" s="49" t="n">
        <f aca="false">MAX(0,MIN(1,(AK$5-$G7+1)/($H7-$G7+1)))</f>
        <v>1</v>
      </c>
    </row>
    <row r="8" customFormat="false" ht="15" hidden="false" customHeight="false" outlineLevel="0" collapsed="false">
      <c r="A8" s="25" t="n">
        <v>3</v>
      </c>
      <c r="B8" s="5" t="s">
        <v>176</v>
      </c>
      <c r="C8" s="5" t="s">
        <v>117</v>
      </c>
      <c r="D8" s="40" t="n">
        <f aca="false">INDEX('LISTA DE COMPRAS'!$B$30:$E$35,MATCH(B8,'LISTA DE COMPRAS'!$A$30:$A$35,0),MATCH(C8,'LISTA DE COMPRAS'!$B$29:$E$29,0))</f>
        <v>12201</v>
      </c>
      <c r="E8" s="23" t="n">
        <f aca="false">IF($D$30&gt;0,D8/$D$30,0)</f>
        <v>0.0713910315170252</v>
      </c>
      <c r="F8" s="9" t="n">
        <v>3</v>
      </c>
      <c r="G8" s="48" t="n">
        <f aca="false">MAX(H6,H7)+1</f>
        <v>46308</v>
      </c>
      <c r="H8" s="48" t="n">
        <f aca="false">G8+F8-1</f>
        <v>46310</v>
      </c>
      <c r="I8" s="23" t="n">
        <f aca="false">MAX(0,MIN(1,(PARÁMETROS!$B$7-G8+1)/(H8-G8+1)))</f>
        <v>0</v>
      </c>
      <c r="J8" s="23" t="n">
        <f aca="false">_xlfn.MAXIFS('AVANCE REAL'!$E$6:$E$405,'AVANCE REAL'!$C$6:$C$405,B8,'AVANCE REAL'!$D$6:$D$405,C8,'AVANCE REAL'!$A$6:$A$405,"&lt;="&amp;PARÁMETROS!$B$7)</f>
        <v>0</v>
      </c>
      <c r="L8" s="49" t="n">
        <f aca="false">MAX(0,MIN(1,(L$5-$G8+1)/($H8-$G8+1)))</f>
        <v>0</v>
      </c>
      <c r="M8" s="49" t="n">
        <f aca="false">MAX(0,MIN(1,(M$5-$G8+1)/($H8-$G8+1)))</f>
        <v>1</v>
      </c>
      <c r="N8" s="49" t="n">
        <f aca="false">MAX(0,MIN(1,(N$5-$G8+1)/($H8-$G8+1)))</f>
        <v>1</v>
      </c>
      <c r="O8" s="49" t="n">
        <f aca="false">MAX(0,MIN(1,(O$5-$G8+1)/($H8-$G8+1)))</f>
        <v>1</v>
      </c>
      <c r="P8" s="49" t="n">
        <f aca="false">MAX(0,MIN(1,(P$5-$G8+1)/($H8-$G8+1)))</f>
        <v>1</v>
      </c>
      <c r="Q8" s="49" t="n">
        <f aca="false">MAX(0,MIN(1,(Q$5-$G8+1)/($H8-$G8+1)))</f>
        <v>1</v>
      </c>
      <c r="R8" s="49" t="n">
        <f aca="false">MAX(0,MIN(1,(R$5-$G8+1)/($H8-$G8+1)))</f>
        <v>1</v>
      </c>
      <c r="S8" s="49" t="n">
        <f aca="false">MAX(0,MIN(1,(S$5-$G8+1)/($H8-$G8+1)))</f>
        <v>1</v>
      </c>
      <c r="T8" s="49" t="n">
        <f aca="false">MAX(0,MIN(1,(T$5-$G8+1)/($H8-$G8+1)))</f>
        <v>1</v>
      </c>
      <c r="U8" s="49" t="n">
        <f aca="false">MAX(0,MIN(1,(U$5-$G8+1)/($H8-$G8+1)))</f>
        <v>1</v>
      </c>
      <c r="V8" s="49" t="n">
        <f aca="false">MAX(0,MIN(1,(V$5-$G8+1)/($H8-$G8+1)))</f>
        <v>1</v>
      </c>
      <c r="W8" s="49" t="n">
        <f aca="false">MAX(0,MIN(1,(W$5-$G8+1)/($H8-$G8+1)))</f>
        <v>1</v>
      </c>
      <c r="X8" s="49" t="n">
        <f aca="false">MAX(0,MIN(1,(X$5-$G8+1)/($H8-$G8+1)))</f>
        <v>1</v>
      </c>
      <c r="Y8" s="49" t="n">
        <f aca="false">MAX(0,MIN(1,(Y$5-$G8+1)/($H8-$G8+1)))</f>
        <v>1</v>
      </c>
      <c r="Z8" s="49" t="n">
        <f aca="false">MAX(0,MIN(1,(Z$5-$G8+1)/($H8-$G8+1)))</f>
        <v>1</v>
      </c>
      <c r="AA8" s="49" t="n">
        <f aca="false">MAX(0,MIN(1,(AA$5-$G8+1)/($H8-$G8+1)))</f>
        <v>1</v>
      </c>
      <c r="AB8" s="49" t="n">
        <f aca="false">MAX(0,MIN(1,(AB$5-$G8+1)/($H8-$G8+1)))</f>
        <v>1</v>
      </c>
      <c r="AC8" s="49" t="n">
        <f aca="false">MAX(0,MIN(1,(AC$5-$G8+1)/($H8-$G8+1)))</f>
        <v>1</v>
      </c>
      <c r="AD8" s="49" t="n">
        <f aca="false">MAX(0,MIN(1,(AD$5-$G8+1)/($H8-$G8+1)))</f>
        <v>1</v>
      </c>
      <c r="AE8" s="49" t="n">
        <f aca="false">MAX(0,MIN(1,(AE$5-$G8+1)/($H8-$G8+1)))</f>
        <v>1</v>
      </c>
      <c r="AF8" s="49" t="n">
        <f aca="false">MAX(0,MIN(1,(AF$5-$G8+1)/($H8-$G8+1)))</f>
        <v>1</v>
      </c>
      <c r="AG8" s="49" t="n">
        <f aca="false">MAX(0,MIN(1,(AG$5-$G8+1)/($H8-$G8+1)))</f>
        <v>1</v>
      </c>
      <c r="AH8" s="49" t="n">
        <f aca="false">MAX(0,MIN(1,(AH$5-$G8+1)/($H8-$G8+1)))</f>
        <v>1</v>
      </c>
      <c r="AI8" s="49" t="n">
        <f aca="false">MAX(0,MIN(1,(AI$5-$G8+1)/($H8-$G8+1)))</f>
        <v>1</v>
      </c>
      <c r="AJ8" s="49" t="n">
        <f aca="false">MAX(0,MIN(1,(AJ$5-$G8+1)/($H8-$G8+1)))</f>
        <v>1</v>
      </c>
      <c r="AK8" s="49" t="n">
        <f aca="false">MAX(0,MIN(1,(AK$5-$G8+1)/($H8-$G8+1)))</f>
        <v>1</v>
      </c>
    </row>
    <row r="9" customFormat="false" ht="15" hidden="false" customHeight="false" outlineLevel="0" collapsed="false">
      <c r="A9" s="25" t="n">
        <v>4</v>
      </c>
      <c r="B9" s="5" t="s">
        <v>176</v>
      </c>
      <c r="C9" s="5" t="s">
        <v>163</v>
      </c>
      <c r="D9" s="40" t="n">
        <f aca="false">INDEX('LISTA DE COMPRAS'!$B$30:$E$35,MATCH(B9,'LISTA DE COMPRAS'!$A$30:$A$35,0),MATCH(C9,'LISTA DE COMPRAS'!$B$29:$E$29,0))</f>
        <v>200</v>
      </c>
      <c r="E9" s="23" t="n">
        <f aca="false">IF($D$30&gt;0,D9/$D$30,0)</f>
        <v>0.00117024885693017</v>
      </c>
      <c r="F9" s="9" t="n">
        <v>7</v>
      </c>
      <c r="G9" s="48" t="n">
        <f aca="false">H8+1</f>
        <v>46311</v>
      </c>
      <c r="H9" s="48" t="n">
        <f aca="false">G9+F9-1</f>
        <v>46317</v>
      </c>
      <c r="I9" s="23" t="n">
        <f aca="false">MAX(0,MIN(1,(PARÁMETROS!$B$7-G9+1)/(H9-G9+1)))</f>
        <v>0</v>
      </c>
      <c r="J9" s="23" t="n">
        <f aca="false">_xlfn.MAXIFS('AVANCE REAL'!$E$6:$E$405,'AVANCE REAL'!$C$6:$C$405,B9,'AVANCE REAL'!$D$6:$D$405,C9,'AVANCE REAL'!$A$6:$A$405,"&lt;="&amp;PARÁMETROS!$B$7)</f>
        <v>0</v>
      </c>
      <c r="L9" s="49" t="n">
        <f aca="false">MAX(0,MIN(1,(L$5-$G9+1)/($H9-$G9+1)))</f>
        <v>0</v>
      </c>
      <c r="M9" s="49" t="n">
        <f aca="false">MAX(0,MIN(1,(M$5-$G9+1)/($H9-$G9+1)))</f>
        <v>0.428571428571429</v>
      </c>
      <c r="N9" s="49" t="n">
        <f aca="false">MAX(0,MIN(1,(N$5-$G9+1)/($H9-$G9+1)))</f>
        <v>1</v>
      </c>
      <c r="O9" s="49" t="n">
        <f aca="false">MAX(0,MIN(1,(O$5-$G9+1)/($H9-$G9+1)))</f>
        <v>1</v>
      </c>
      <c r="P9" s="49" t="n">
        <f aca="false">MAX(0,MIN(1,(P$5-$G9+1)/($H9-$G9+1)))</f>
        <v>1</v>
      </c>
      <c r="Q9" s="49" t="n">
        <f aca="false">MAX(0,MIN(1,(Q$5-$G9+1)/($H9-$G9+1)))</f>
        <v>1</v>
      </c>
      <c r="R9" s="49" t="n">
        <f aca="false">MAX(0,MIN(1,(R$5-$G9+1)/($H9-$G9+1)))</f>
        <v>1</v>
      </c>
      <c r="S9" s="49" t="n">
        <f aca="false">MAX(0,MIN(1,(S$5-$G9+1)/($H9-$G9+1)))</f>
        <v>1</v>
      </c>
      <c r="T9" s="49" t="n">
        <f aca="false">MAX(0,MIN(1,(T$5-$G9+1)/($H9-$G9+1)))</f>
        <v>1</v>
      </c>
      <c r="U9" s="49" t="n">
        <f aca="false">MAX(0,MIN(1,(U$5-$G9+1)/($H9-$G9+1)))</f>
        <v>1</v>
      </c>
      <c r="V9" s="49" t="n">
        <f aca="false">MAX(0,MIN(1,(V$5-$G9+1)/($H9-$G9+1)))</f>
        <v>1</v>
      </c>
      <c r="W9" s="49" t="n">
        <f aca="false">MAX(0,MIN(1,(W$5-$G9+1)/($H9-$G9+1)))</f>
        <v>1</v>
      </c>
      <c r="X9" s="49" t="n">
        <f aca="false">MAX(0,MIN(1,(X$5-$G9+1)/($H9-$G9+1)))</f>
        <v>1</v>
      </c>
      <c r="Y9" s="49" t="n">
        <f aca="false">MAX(0,MIN(1,(Y$5-$G9+1)/($H9-$G9+1)))</f>
        <v>1</v>
      </c>
      <c r="Z9" s="49" t="n">
        <f aca="false">MAX(0,MIN(1,(Z$5-$G9+1)/($H9-$G9+1)))</f>
        <v>1</v>
      </c>
      <c r="AA9" s="49" t="n">
        <f aca="false">MAX(0,MIN(1,(AA$5-$G9+1)/($H9-$G9+1)))</f>
        <v>1</v>
      </c>
      <c r="AB9" s="49" t="n">
        <f aca="false">MAX(0,MIN(1,(AB$5-$G9+1)/($H9-$G9+1)))</f>
        <v>1</v>
      </c>
      <c r="AC9" s="49" t="n">
        <f aca="false">MAX(0,MIN(1,(AC$5-$G9+1)/($H9-$G9+1)))</f>
        <v>1</v>
      </c>
      <c r="AD9" s="49" t="n">
        <f aca="false">MAX(0,MIN(1,(AD$5-$G9+1)/($H9-$G9+1)))</f>
        <v>1</v>
      </c>
      <c r="AE9" s="49" t="n">
        <f aca="false">MAX(0,MIN(1,(AE$5-$G9+1)/($H9-$G9+1)))</f>
        <v>1</v>
      </c>
      <c r="AF9" s="49" t="n">
        <f aca="false">MAX(0,MIN(1,(AF$5-$G9+1)/($H9-$G9+1)))</f>
        <v>1</v>
      </c>
      <c r="AG9" s="49" t="n">
        <f aca="false">MAX(0,MIN(1,(AG$5-$G9+1)/($H9-$G9+1)))</f>
        <v>1</v>
      </c>
      <c r="AH9" s="49" t="n">
        <f aca="false">MAX(0,MIN(1,(AH$5-$G9+1)/($H9-$G9+1)))</f>
        <v>1</v>
      </c>
      <c r="AI9" s="49" t="n">
        <f aca="false">MAX(0,MIN(1,(AI$5-$G9+1)/($H9-$G9+1)))</f>
        <v>1</v>
      </c>
      <c r="AJ9" s="49" t="n">
        <f aca="false">MAX(0,MIN(1,(AJ$5-$G9+1)/($H9-$G9+1)))</f>
        <v>1</v>
      </c>
      <c r="AK9" s="49" t="n">
        <f aca="false">MAX(0,MIN(1,(AK$5-$G9+1)/($H9-$G9+1)))</f>
        <v>1</v>
      </c>
    </row>
    <row r="10" customFormat="false" ht="15" hidden="false" customHeight="false" outlineLevel="0" collapsed="false">
      <c r="A10" s="25" t="n">
        <v>5</v>
      </c>
      <c r="B10" s="5" t="s">
        <v>212</v>
      </c>
      <c r="C10" s="5" t="s">
        <v>134</v>
      </c>
      <c r="D10" s="40" t="n">
        <f aca="false">INDEX('LISTA DE COMPRAS'!$B$30:$E$35,MATCH(B10,'LISTA DE COMPRAS'!$A$30:$A$35,0),MATCH(C10,'LISTA DE COMPRAS'!$B$29:$E$29,0))</f>
        <v>6108.93</v>
      </c>
      <c r="E10" s="23" t="n">
        <f aca="false">IF($D$30&gt;0,D10/$D$30,0)</f>
        <v>0.0357448417478322</v>
      </c>
      <c r="F10" s="9" t="n">
        <v>4</v>
      </c>
      <c r="G10" s="48" t="n">
        <f aca="false">H8+1</f>
        <v>46311</v>
      </c>
      <c r="H10" s="48" t="n">
        <f aca="false">G10+F10-1</f>
        <v>46314</v>
      </c>
      <c r="I10" s="23" t="n">
        <f aca="false">MAX(0,MIN(1,(PARÁMETROS!$B$7-G10+1)/(H10-G10+1)))</f>
        <v>0</v>
      </c>
      <c r="J10" s="23" t="n">
        <f aca="false">_xlfn.MAXIFS('AVANCE REAL'!$E$6:$E$405,'AVANCE REAL'!$C$6:$C$405,B10,'AVANCE REAL'!$D$6:$D$405,C10,'AVANCE REAL'!$A$6:$A$405,"&lt;="&amp;PARÁMETROS!$B$7)</f>
        <v>0</v>
      </c>
      <c r="L10" s="49" t="n">
        <f aca="false">MAX(0,MIN(1,(L$5-$G10+1)/($H10-$G10+1)))</f>
        <v>0</v>
      </c>
      <c r="M10" s="49" t="n">
        <f aca="false">MAX(0,MIN(1,(M$5-$G10+1)/($H10-$G10+1)))</f>
        <v>0.75</v>
      </c>
      <c r="N10" s="49" t="n">
        <f aca="false">MAX(0,MIN(1,(N$5-$G10+1)/($H10-$G10+1)))</f>
        <v>1</v>
      </c>
      <c r="O10" s="49" t="n">
        <f aca="false">MAX(0,MIN(1,(O$5-$G10+1)/($H10-$G10+1)))</f>
        <v>1</v>
      </c>
      <c r="P10" s="49" t="n">
        <f aca="false">MAX(0,MIN(1,(P$5-$G10+1)/($H10-$G10+1)))</f>
        <v>1</v>
      </c>
      <c r="Q10" s="49" t="n">
        <f aca="false">MAX(0,MIN(1,(Q$5-$G10+1)/($H10-$G10+1)))</f>
        <v>1</v>
      </c>
      <c r="R10" s="49" t="n">
        <f aca="false">MAX(0,MIN(1,(R$5-$G10+1)/($H10-$G10+1)))</f>
        <v>1</v>
      </c>
      <c r="S10" s="49" t="n">
        <f aca="false">MAX(0,MIN(1,(S$5-$G10+1)/($H10-$G10+1)))</f>
        <v>1</v>
      </c>
      <c r="T10" s="49" t="n">
        <f aca="false">MAX(0,MIN(1,(T$5-$G10+1)/($H10-$G10+1)))</f>
        <v>1</v>
      </c>
      <c r="U10" s="49" t="n">
        <f aca="false">MAX(0,MIN(1,(U$5-$G10+1)/($H10-$G10+1)))</f>
        <v>1</v>
      </c>
      <c r="V10" s="49" t="n">
        <f aca="false">MAX(0,MIN(1,(V$5-$G10+1)/($H10-$G10+1)))</f>
        <v>1</v>
      </c>
      <c r="W10" s="49" t="n">
        <f aca="false">MAX(0,MIN(1,(W$5-$G10+1)/($H10-$G10+1)))</f>
        <v>1</v>
      </c>
      <c r="X10" s="49" t="n">
        <f aca="false">MAX(0,MIN(1,(X$5-$G10+1)/($H10-$G10+1)))</f>
        <v>1</v>
      </c>
      <c r="Y10" s="49" t="n">
        <f aca="false">MAX(0,MIN(1,(Y$5-$G10+1)/($H10-$G10+1)))</f>
        <v>1</v>
      </c>
      <c r="Z10" s="49" t="n">
        <f aca="false">MAX(0,MIN(1,(Z$5-$G10+1)/($H10-$G10+1)))</f>
        <v>1</v>
      </c>
      <c r="AA10" s="49" t="n">
        <f aca="false">MAX(0,MIN(1,(AA$5-$G10+1)/($H10-$G10+1)))</f>
        <v>1</v>
      </c>
      <c r="AB10" s="49" t="n">
        <f aca="false">MAX(0,MIN(1,(AB$5-$G10+1)/($H10-$G10+1)))</f>
        <v>1</v>
      </c>
      <c r="AC10" s="49" t="n">
        <f aca="false">MAX(0,MIN(1,(AC$5-$G10+1)/($H10-$G10+1)))</f>
        <v>1</v>
      </c>
      <c r="AD10" s="49" t="n">
        <f aca="false">MAX(0,MIN(1,(AD$5-$G10+1)/($H10-$G10+1)))</f>
        <v>1</v>
      </c>
      <c r="AE10" s="49" t="n">
        <f aca="false">MAX(0,MIN(1,(AE$5-$G10+1)/($H10-$G10+1)))</f>
        <v>1</v>
      </c>
      <c r="AF10" s="49" t="n">
        <f aca="false">MAX(0,MIN(1,(AF$5-$G10+1)/($H10-$G10+1)))</f>
        <v>1</v>
      </c>
      <c r="AG10" s="49" t="n">
        <f aca="false">MAX(0,MIN(1,(AG$5-$G10+1)/($H10-$G10+1)))</f>
        <v>1</v>
      </c>
      <c r="AH10" s="49" t="n">
        <f aca="false">MAX(0,MIN(1,(AH$5-$G10+1)/($H10-$G10+1)))</f>
        <v>1</v>
      </c>
      <c r="AI10" s="49" t="n">
        <f aca="false">MAX(0,MIN(1,(AI$5-$G10+1)/($H10-$G10+1)))</f>
        <v>1</v>
      </c>
      <c r="AJ10" s="49" t="n">
        <f aca="false">MAX(0,MIN(1,(AJ$5-$G10+1)/($H10-$G10+1)))</f>
        <v>1</v>
      </c>
      <c r="AK10" s="49" t="n">
        <f aca="false">MAX(0,MIN(1,(AK$5-$G10+1)/($H10-$G10+1)))</f>
        <v>1</v>
      </c>
    </row>
    <row r="11" customFormat="false" ht="15" hidden="false" customHeight="false" outlineLevel="0" collapsed="false">
      <c r="A11" s="25" t="n">
        <v>6</v>
      </c>
      <c r="B11" s="5" t="s">
        <v>212</v>
      </c>
      <c r="C11" s="5" t="s">
        <v>151</v>
      </c>
      <c r="D11" s="40" t="n">
        <f aca="false">INDEX('LISTA DE COMPRAS'!$B$30:$E$35,MATCH(B11,'LISTA DE COMPRAS'!$A$30:$A$35,0),MATCH(C11,'LISTA DE COMPRAS'!$B$29:$E$29,0))</f>
        <v>630.6</v>
      </c>
      <c r="E11" s="23" t="n">
        <f aca="false">IF($D$30&gt;0,D11/$D$30,0)</f>
        <v>0.00368979464590083</v>
      </c>
      <c r="F11" s="9" t="n">
        <v>3</v>
      </c>
      <c r="G11" s="48" t="n">
        <f aca="false">G10+PARÁMETROS!$B$21</f>
        <v>46313</v>
      </c>
      <c r="H11" s="48" t="n">
        <f aca="false">G11+F11-1</f>
        <v>46315</v>
      </c>
      <c r="I11" s="23" t="n">
        <f aca="false">MAX(0,MIN(1,(PARÁMETROS!$B$7-G11+1)/(H11-G11+1)))</f>
        <v>0</v>
      </c>
      <c r="J11" s="23" t="n">
        <f aca="false">_xlfn.MAXIFS('AVANCE REAL'!$E$6:$E$405,'AVANCE REAL'!$C$6:$C$405,B11,'AVANCE REAL'!$D$6:$D$405,C11,'AVANCE REAL'!$A$6:$A$405,"&lt;="&amp;PARÁMETROS!$B$7)</f>
        <v>0</v>
      </c>
      <c r="L11" s="49" t="n">
        <f aca="false">MAX(0,MIN(1,(L$5-$G11+1)/($H11-$G11+1)))</f>
        <v>0</v>
      </c>
      <c r="M11" s="49" t="n">
        <f aca="false">MAX(0,MIN(1,(M$5-$G11+1)/($H11-$G11+1)))</f>
        <v>0.333333333333333</v>
      </c>
      <c r="N11" s="49" t="n">
        <f aca="false">MAX(0,MIN(1,(N$5-$G11+1)/($H11-$G11+1)))</f>
        <v>1</v>
      </c>
      <c r="O11" s="49" t="n">
        <f aca="false">MAX(0,MIN(1,(O$5-$G11+1)/($H11-$G11+1)))</f>
        <v>1</v>
      </c>
      <c r="P11" s="49" t="n">
        <f aca="false">MAX(0,MIN(1,(P$5-$G11+1)/($H11-$G11+1)))</f>
        <v>1</v>
      </c>
      <c r="Q11" s="49" t="n">
        <f aca="false">MAX(0,MIN(1,(Q$5-$G11+1)/($H11-$G11+1)))</f>
        <v>1</v>
      </c>
      <c r="R11" s="49" t="n">
        <f aca="false">MAX(0,MIN(1,(R$5-$G11+1)/($H11-$G11+1)))</f>
        <v>1</v>
      </c>
      <c r="S11" s="49" t="n">
        <f aca="false">MAX(0,MIN(1,(S$5-$G11+1)/($H11-$G11+1)))</f>
        <v>1</v>
      </c>
      <c r="T11" s="49" t="n">
        <f aca="false">MAX(0,MIN(1,(T$5-$G11+1)/($H11-$G11+1)))</f>
        <v>1</v>
      </c>
      <c r="U11" s="49" t="n">
        <f aca="false">MAX(0,MIN(1,(U$5-$G11+1)/($H11-$G11+1)))</f>
        <v>1</v>
      </c>
      <c r="V11" s="49" t="n">
        <f aca="false">MAX(0,MIN(1,(V$5-$G11+1)/($H11-$G11+1)))</f>
        <v>1</v>
      </c>
      <c r="W11" s="49" t="n">
        <f aca="false">MAX(0,MIN(1,(W$5-$G11+1)/($H11-$G11+1)))</f>
        <v>1</v>
      </c>
      <c r="X11" s="49" t="n">
        <f aca="false">MAX(0,MIN(1,(X$5-$G11+1)/($H11-$G11+1)))</f>
        <v>1</v>
      </c>
      <c r="Y11" s="49" t="n">
        <f aca="false">MAX(0,MIN(1,(Y$5-$G11+1)/($H11-$G11+1)))</f>
        <v>1</v>
      </c>
      <c r="Z11" s="49" t="n">
        <f aca="false">MAX(0,MIN(1,(Z$5-$G11+1)/($H11-$G11+1)))</f>
        <v>1</v>
      </c>
      <c r="AA11" s="49" t="n">
        <f aca="false">MAX(0,MIN(1,(AA$5-$G11+1)/($H11-$G11+1)))</f>
        <v>1</v>
      </c>
      <c r="AB11" s="49" t="n">
        <f aca="false">MAX(0,MIN(1,(AB$5-$G11+1)/($H11-$G11+1)))</f>
        <v>1</v>
      </c>
      <c r="AC11" s="49" t="n">
        <f aca="false">MAX(0,MIN(1,(AC$5-$G11+1)/($H11-$G11+1)))</f>
        <v>1</v>
      </c>
      <c r="AD11" s="49" t="n">
        <f aca="false">MAX(0,MIN(1,(AD$5-$G11+1)/($H11-$G11+1)))</f>
        <v>1</v>
      </c>
      <c r="AE11" s="49" t="n">
        <f aca="false">MAX(0,MIN(1,(AE$5-$G11+1)/($H11-$G11+1)))</f>
        <v>1</v>
      </c>
      <c r="AF11" s="49" t="n">
        <f aca="false">MAX(0,MIN(1,(AF$5-$G11+1)/($H11-$G11+1)))</f>
        <v>1</v>
      </c>
      <c r="AG11" s="49" t="n">
        <f aca="false">MAX(0,MIN(1,(AG$5-$G11+1)/($H11-$G11+1)))</f>
        <v>1</v>
      </c>
      <c r="AH11" s="49" t="n">
        <f aca="false">MAX(0,MIN(1,(AH$5-$G11+1)/($H11-$G11+1)))</f>
        <v>1</v>
      </c>
      <c r="AI11" s="49" t="n">
        <f aca="false">MAX(0,MIN(1,(AI$5-$G11+1)/($H11-$G11+1)))</f>
        <v>1</v>
      </c>
      <c r="AJ11" s="49" t="n">
        <f aca="false">MAX(0,MIN(1,(AJ$5-$G11+1)/($H11-$G11+1)))</f>
        <v>1</v>
      </c>
      <c r="AK11" s="49" t="n">
        <f aca="false">MAX(0,MIN(1,(AK$5-$G11+1)/($H11-$G11+1)))</f>
        <v>1</v>
      </c>
    </row>
    <row r="12" customFormat="false" ht="15" hidden="false" customHeight="false" outlineLevel="0" collapsed="false">
      <c r="A12" s="25" t="n">
        <v>7</v>
      </c>
      <c r="B12" s="5" t="s">
        <v>212</v>
      </c>
      <c r="C12" s="5" t="s">
        <v>117</v>
      </c>
      <c r="D12" s="40" t="n">
        <f aca="false">INDEX('LISTA DE COMPRAS'!$B$30:$E$35,MATCH(B12,'LISTA DE COMPRAS'!$A$30:$A$35,0),MATCH(C12,'LISTA DE COMPRAS'!$B$29:$E$29,0))</f>
        <v>4507</v>
      </c>
      <c r="E12" s="23" t="n">
        <f aca="false">IF($D$30&gt;0,D12/$D$30,0)</f>
        <v>0.0263715579909214</v>
      </c>
      <c r="F12" s="9" t="n">
        <v>2</v>
      </c>
      <c r="G12" s="48" t="n">
        <f aca="false">MAX(H10,H11)+1</f>
        <v>46316</v>
      </c>
      <c r="H12" s="48" t="n">
        <f aca="false">G12+F12-1</f>
        <v>46317</v>
      </c>
      <c r="I12" s="23" t="n">
        <f aca="false">MAX(0,MIN(1,(PARÁMETROS!$B$7-G12+1)/(H12-G12+1)))</f>
        <v>0</v>
      </c>
      <c r="J12" s="23" t="n">
        <f aca="false">_xlfn.MAXIFS('AVANCE REAL'!$E$6:$E$405,'AVANCE REAL'!$C$6:$C$405,B12,'AVANCE REAL'!$D$6:$D$405,C12,'AVANCE REAL'!$A$6:$A$405,"&lt;="&amp;PARÁMETROS!$B$7)</f>
        <v>0</v>
      </c>
      <c r="L12" s="49" t="n">
        <f aca="false">MAX(0,MIN(1,(L$5-$G12+1)/($H12-$G12+1)))</f>
        <v>0</v>
      </c>
      <c r="M12" s="49" t="n">
        <f aca="false">MAX(0,MIN(1,(M$5-$G12+1)/($H12-$G12+1)))</f>
        <v>0</v>
      </c>
      <c r="N12" s="49" t="n">
        <f aca="false">MAX(0,MIN(1,(N$5-$G12+1)/($H12-$G12+1)))</f>
        <v>1</v>
      </c>
      <c r="O12" s="49" t="n">
        <f aca="false">MAX(0,MIN(1,(O$5-$G12+1)/($H12-$G12+1)))</f>
        <v>1</v>
      </c>
      <c r="P12" s="49" t="n">
        <f aca="false">MAX(0,MIN(1,(P$5-$G12+1)/($H12-$G12+1)))</f>
        <v>1</v>
      </c>
      <c r="Q12" s="49" t="n">
        <f aca="false">MAX(0,MIN(1,(Q$5-$G12+1)/($H12-$G12+1)))</f>
        <v>1</v>
      </c>
      <c r="R12" s="49" t="n">
        <f aca="false">MAX(0,MIN(1,(R$5-$G12+1)/($H12-$G12+1)))</f>
        <v>1</v>
      </c>
      <c r="S12" s="49" t="n">
        <f aca="false">MAX(0,MIN(1,(S$5-$G12+1)/($H12-$G12+1)))</f>
        <v>1</v>
      </c>
      <c r="T12" s="49" t="n">
        <f aca="false">MAX(0,MIN(1,(T$5-$G12+1)/($H12-$G12+1)))</f>
        <v>1</v>
      </c>
      <c r="U12" s="49" t="n">
        <f aca="false">MAX(0,MIN(1,(U$5-$G12+1)/($H12-$G12+1)))</f>
        <v>1</v>
      </c>
      <c r="V12" s="49" t="n">
        <f aca="false">MAX(0,MIN(1,(V$5-$G12+1)/($H12-$G12+1)))</f>
        <v>1</v>
      </c>
      <c r="W12" s="49" t="n">
        <f aca="false">MAX(0,MIN(1,(W$5-$G12+1)/($H12-$G12+1)))</f>
        <v>1</v>
      </c>
      <c r="X12" s="49" t="n">
        <f aca="false">MAX(0,MIN(1,(X$5-$G12+1)/($H12-$G12+1)))</f>
        <v>1</v>
      </c>
      <c r="Y12" s="49" t="n">
        <f aca="false">MAX(0,MIN(1,(Y$5-$G12+1)/($H12-$G12+1)))</f>
        <v>1</v>
      </c>
      <c r="Z12" s="49" t="n">
        <f aca="false">MAX(0,MIN(1,(Z$5-$G12+1)/($H12-$G12+1)))</f>
        <v>1</v>
      </c>
      <c r="AA12" s="49" t="n">
        <f aca="false">MAX(0,MIN(1,(AA$5-$G12+1)/($H12-$G12+1)))</f>
        <v>1</v>
      </c>
      <c r="AB12" s="49" t="n">
        <f aca="false">MAX(0,MIN(1,(AB$5-$G12+1)/($H12-$G12+1)))</f>
        <v>1</v>
      </c>
      <c r="AC12" s="49" t="n">
        <f aca="false">MAX(0,MIN(1,(AC$5-$G12+1)/($H12-$G12+1)))</f>
        <v>1</v>
      </c>
      <c r="AD12" s="49" t="n">
        <f aca="false">MAX(0,MIN(1,(AD$5-$G12+1)/($H12-$G12+1)))</f>
        <v>1</v>
      </c>
      <c r="AE12" s="49" t="n">
        <f aca="false">MAX(0,MIN(1,(AE$5-$G12+1)/($H12-$G12+1)))</f>
        <v>1</v>
      </c>
      <c r="AF12" s="49" t="n">
        <f aca="false">MAX(0,MIN(1,(AF$5-$G12+1)/($H12-$G12+1)))</f>
        <v>1</v>
      </c>
      <c r="AG12" s="49" t="n">
        <f aca="false">MAX(0,MIN(1,(AG$5-$G12+1)/($H12-$G12+1)))</f>
        <v>1</v>
      </c>
      <c r="AH12" s="49" t="n">
        <f aca="false">MAX(0,MIN(1,(AH$5-$G12+1)/($H12-$G12+1)))</f>
        <v>1</v>
      </c>
      <c r="AI12" s="49" t="n">
        <f aca="false">MAX(0,MIN(1,(AI$5-$G12+1)/($H12-$G12+1)))</f>
        <v>1</v>
      </c>
      <c r="AJ12" s="49" t="n">
        <f aca="false">MAX(0,MIN(1,(AJ$5-$G12+1)/($H12-$G12+1)))</f>
        <v>1</v>
      </c>
      <c r="AK12" s="49" t="n">
        <f aca="false">MAX(0,MIN(1,(AK$5-$G12+1)/($H12-$G12+1)))</f>
        <v>1</v>
      </c>
    </row>
    <row r="13" customFormat="false" ht="15" hidden="false" customHeight="false" outlineLevel="0" collapsed="false">
      <c r="A13" s="25" t="n">
        <v>8</v>
      </c>
      <c r="B13" s="5" t="s">
        <v>212</v>
      </c>
      <c r="C13" s="5" t="s">
        <v>163</v>
      </c>
      <c r="D13" s="40" t="n">
        <f aca="false">INDEX('LISTA DE COMPRAS'!$B$30:$E$35,MATCH(B13,'LISTA DE COMPRAS'!$A$30:$A$35,0),MATCH(C13,'LISTA DE COMPRAS'!$B$29:$E$29,0))</f>
        <v>280</v>
      </c>
      <c r="E13" s="23" t="n">
        <f aca="false">IF($D$30&gt;0,D13/$D$30,0)</f>
        <v>0.00163834839970224</v>
      </c>
      <c r="F13" s="9" t="n">
        <v>7</v>
      </c>
      <c r="G13" s="48" t="n">
        <f aca="false">H12+1</f>
        <v>46318</v>
      </c>
      <c r="H13" s="48" t="n">
        <f aca="false">G13+F13-1</f>
        <v>46324</v>
      </c>
      <c r="I13" s="23" t="n">
        <f aca="false">MAX(0,MIN(1,(PARÁMETROS!$B$7-G13+1)/(H13-G13+1)))</f>
        <v>0</v>
      </c>
      <c r="J13" s="23" t="n">
        <f aca="false">_xlfn.MAXIFS('AVANCE REAL'!$E$6:$E$405,'AVANCE REAL'!$C$6:$C$405,B13,'AVANCE REAL'!$D$6:$D$405,C13,'AVANCE REAL'!$A$6:$A$405,"&lt;="&amp;PARÁMETROS!$B$7)</f>
        <v>0</v>
      </c>
      <c r="L13" s="49" t="n">
        <f aca="false">MAX(0,MIN(1,(L$5-$G13+1)/($H13-$G13+1)))</f>
        <v>0</v>
      </c>
      <c r="M13" s="49" t="n">
        <f aca="false">MAX(0,MIN(1,(M$5-$G13+1)/($H13-$G13+1)))</f>
        <v>0</v>
      </c>
      <c r="N13" s="49" t="n">
        <f aca="false">MAX(0,MIN(1,(N$5-$G13+1)/($H13-$G13+1)))</f>
        <v>0.428571428571429</v>
      </c>
      <c r="O13" s="49" t="n">
        <f aca="false">MAX(0,MIN(1,(O$5-$G13+1)/($H13-$G13+1)))</f>
        <v>1</v>
      </c>
      <c r="P13" s="49" t="n">
        <f aca="false">MAX(0,MIN(1,(P$5-$G13+1)/($H13-$G13+1)))</f>
        <v>1</v>
      </c>
      <c r="Q13" s="49" t="n">
        <f aca="false">MAX(0,MIN(1,(Q$5-$G13+1)/($H13-$G13+1)))</f>
        <v>1</v>
      </c>
      <c r="R13" s="49" t="n">
        <f aca="false">MAX(0,MIN(1,(R$5-$G13+1)/($H13-$G13+1)))</f>
        <v>1</v>
      </c>
      <c r="S13" s="49" t="n">
        <f aca="false">MAX(0,MIN(1,(S$5-$G13+1)/($H13-$G13+1)))</f>
        <v>1</v>
      </c>
      <c r="T13" s="49" t="n">
        <f aca="false">MAX(0,MIN(1,(T$5-$G13+1)/($H13-$G13+1)))</f>
        <v>1</v>
      </c>
      <c r="U13" s="49" t="n">
        <f aca="false">MAX(0,MIN(1,(U$5-$G13+1)/($H13-$G13+1)))</f>
        <v>1</v>
      </c>
      <c r="V13" s="49" t="n">
        <f aca="false">MAX(0,MIN(1,(V$5-$G13+1)/($H13-$G13+1)))</f>
        <v>1</v>
      </c>
      <c r="W13" s="49" t="n">
        <f aca="false">MAX(0,MIN(1,(W$5-$G13+1)/($H13-$G13+1)))</f>
        <v>1</v>
      </c>
      <c r="X13" s="49" t="n">
        <f aca="false">MAX(0,MIN(1,(X$5-$G13+1)/($H13-$G13+1)))</f>
        <v>1</v>
      </c>
      <c r="Y13" s="49" t="n">
        <f aca="false">MAX(0,MIN(1,(Y$5-$G13+1)/($H13-$G13+1)))</f>
        <v>1</v>
      </c>
      <c r="Z13" s="49" t="n">
        <f aca="false">MAX(0,MIN(1,(Z$5-$G13+1)/($H13-$G13+1)))</f>
        <v>1</v>
      </c>
      <c r="AA13" s="49" t="n">
        <f aca="false">MAX(0,MIN(1,(AA$5-$G13+1)/($H13-$G13+1)))</f>
        <v>1</v>
      </c>
      <c r="AB13" s="49" t="n">
        <f aca="false">MAX(0,MIN(1,(AB$5-$G13+1)/($H13-$G13+1)))</f>
        <v>1</v>
      </c>
      <c r="AC13" s="49" t="n">
        <f aca="false">MAX(0,MIN(1,(AC$5-$G13+1)/($H13-$G13+1)))</f>
        <v>1</v>
      </c>
      <c r="AD13" s="49" t="n">
        <f aca="false">MAX(0,MIN(1,(AD$5-$G13+1)/($H13-$G13+1)))</f>
        <v>1</v>
      </c>
      <c r="AE13" s="49" t="n">
        <f aca="false">MAX(0,MIN(1,(AE$5-$G13+1)/($H13-$G13+1)))</f>
        <v>1</v>
      </c>
      <c r="AF13" s="49" t="n">
        <f aca="false">MAX(0,MIN(1,(AF$5-$G13+1)/($H13-$G13+1)))</f>
        <v>1</v>
      </c>
      <c r="AG13" s="49" t="n">
        <f aca="false">MAX(0,MIN(1,(AG$5-$G13+1)/($H13-$G13+1)))</f>
        <v>1</v>
      </c>
      <c r="AH13" s="49" t="n">
        <f aca="false">MAX(0,MIN(1,(AH$5-$G13+1)/($H13-$G13+1)))</f>
        <v>1</v>
      </c>
      <c r="AI13" s="49" t="n">
        <f aca="false">MAX(0,MIN(1,(AI$5-$G13+1)/($H13-$G13+1)))</f>
        <v>1</v>
      </c>
      <c r="AJ13" s="49" t="n">
        <f aca="false">MAX(0,MIN(1,(AJ$5-$G13+1)/($H13-$G13+1)))</f>
        <v>1</v>
      </c>
      <c r="AK13" s="49" t="n">
        <f aca="false">MAX(0,MIN(1,(AK$5-$G13+1)/($H13-$G13+1)))</f>
        <v>1</v>
      </c>
    </row>
    <row r="14" customFormat="false" ht="15" hidden="false" customHeight="false" outlineLevel="0" collapsed="false">
      <c r="A14" s="25" t="n">
        <v>9</v>
      </c>
      <c r="B14" s="5" t="s">
        <v>216</v>
      </c>
      <c r="C14" s="5" t="s">
        <v>134</v>
      </c>
      <c r="D14" s="40" t="n">
        <f aca="false">INDEX('LISTA DE COMPRAS'!$B$30:$E$35,MATCH(B14,'LISTA DE COMPRAS'!$A$30:$A$35,0),MATCH(C14,'LISTA DE COMPRAS'!$B$29:$E$29,0))</f>
        <v>20473.24</v>
      </c>
      <c r="E14" s="23" t="n">
        <f aca="false">IF($D$30&gt;0,D14/$D$30,0)</f>
        <v>0.119793928538285</v>
      </c>
      <c r="F14" s="9" t="n">
        <v>12</v>
      </c>
      <c r="G14" s="48" t="n">
        <f aca="false">H12+1</f>
        <v>46318</v>
      </c>
      <c r="H14" s="48" t="n">
        <f aca="false">G14+F14-1</f>
        <v>46329</v>
      </c>
      <c r="I14" s="23" t="n">
        <f aca="false">MAX(0,MIN(1,(PARÁMETROS!$B$7-G14+1)/(H14-G14+1)))</f>
        <v>0</v>
      </c>
      <c r="J14" s="23" t="n">
        <f aca="false">_xlfn.MAXIFS('AVANCE REAL'!$E$6:$E$405,'AVANCE REAL'!$C$6:$C$405,B14,'AVANCE REAL'!$D$6:$D$405,C14,'AVANCE REAL'!$A$6:$A$405,"&lt;="&amp;PARÁMETROS!$B$7)</f>
        <v>0</v>
      </c>
      <c r="L14" s="49" t="n">
        <f aca="false">MAX(0,MIN(1,(L$5-$G14+1)/($H14-$G14+1)))</f>
        <v>0</v>
      </c>
      <c r="M14" s="49" t="n">
        <f aca="false">MAX(0,MIN(1,(M$5-$G14+1)/($H14-$G14+1)))</f>
        <v>0</v>
      </c>
      <c r="N14" s="49" t="n">
        <f aca="false">MAX(0,MIN(1,(N$5-$G14+1)/($H14-$G14+1)))</f>
        <v>0.25</v>
      </c>
      <c r="O14" s="49" t="n">
        <f aca="false">MAX(0,MIN(1,(O$5-$G14+1)/($H14-$G14+1)))</f>
        <v>0.833333333333333</v>
      </c>
      <c r="P14" s="49" t="n">
        <f aca="false">MAX(0,MIN(1,(P$5-$G14+1)/($H14-$G14+1)))</f>
        <v>1</v>
      </c>
      <c r="Q14" s="49" t="n">
        <f aca="false">MAX(0,MIN(1,(Q$5-$G14+1)/($H14-$G14+1)))</f>
        <v>1</v>
      </c>
      <c r="R14" s="49" t="n">
        <f aca="false">MAX(0,MIN(1,(R$5-$G14+1)/($H14-$G14+1)))</f>
        <v>1</v>
      </c>
      <c r="S14" s="49" t="n">
        <f aca="false">MAX(0,MIN(1,(S$5-$G14+1)/($H14-$G14+1)))</f>
        <v>1</v>
      </c>
      <c r="T14" s="49" t="n">
        <f aca="false">MAX(0,MIN(1,(T$5-$G14+1)/($H14-$G14+1)))</f>
        <v>1</v>
      </c>
      <c r="U14" s="49" t="n">
        <f aca="false">MAX(0,MIN(1,(U$5-$G14+1)/($H14-$G14+1)))</f>
        <v>1</v>
      </c>
      <c r="V14" s="49" t="n">
        <f aca="false">MAX(0,MIN(1,(V$5-$G14+1)/($H14-$G14+1)))</f>
        <v>1</v>
      </c>
      <c r="W14" s="49" t="n">
        <f aca="false">MAX(0,MIN(1,(W$5-$G14+1)/($H14-$G14+1)))</f>
        <v>1</v>
      </c>
      <c r="X14" s="49" t="n">
        <f aca="false">MAX(0,MIN(1,(X$5-$G14+1)/($H14-$G14+1)))</f>
        <v>1</v>
      </c>
      <c r="Y14" s="49" t="n">
        <f aca="false">MAX(0,MIN(1,(Y$5-$G14+1)/($H14-$G14+1)))</f>
        <v>1</v>
      </c>
      <c r="Z14" s="49" t="n">
        <f aca="false">MAX(0,MIN(1,(Z$5-$G14+1)/($H14-$G14+1)))</f>
        <v>1</v>
      </c>
      <c r="AA14" s="49" t="n">
        <f aca="false">MAX(0,MIN(1,(AA$5-$G14+1)/($H14-$G14+1)))</f>
        <v>1</v>
      </c>
      <c r="AB14" s="49" t="n">
        <f aca="false">MAX(0,MIN(1,(AB$5-$G14+1)/($H14-$G14+1)))</f>
        <v>1</v>
      </c>
      <c r="AC14" s="49" t="n">
        <f aca="false">MAX(0,MIN(1,(AC$5-$G14+1)/($H14-$G14+1)))</f>
        <v>1</v>
      </c>
      <c r="AD14" s="49" t="n">
        <f aca="false">MAX(0,MIN(1,(AD$5-$G14+1)/($H14-$G14+1)))</f>
        <v>1</v>
      </c>
      <c r="AE14" s="49" t="n">
        <f aca="false">MAX(0,MIN(1,(AE$5-$G14+1)/($H14-$G14+1)))</f>
        <v>1</v>
      </c>
      <c r="AF14" s="49" t="n">
        <f aca="false">MAX(0,MIN(1,(AF$5-$G14+1)/($H14-$G14+1)))</f>
        <v>1</v>
      </c>
      <c r="AG14" s="49" t="n">
        <f aca="false">MAX(0,MIN(1,(AG$5-$G14+1)/($H14-$G14+1)))</f>
        <v>1</v>
      </c>
      <c r="AH14" s="49" t="n">
        <f aca="false">MAX(0,MIN(1,(AH$5-$G14+1)/($H14-$G14+1)))</f>
        <v>1</v>
      </c>
      <c r="AI14" s="49" t="n">
        <f aca="false">MAX(0,MIN(1,(AI$5-$G14+1)/($H14-$G14+1)))</f>
        <v>1</v>
      </c>
      <c r="AJ14" s="49" t="n">
        <f aca="false">MAX(0,MIN(1,(AJ$5-$G14+1)/($H14-$G14+1)))</f>
        <v>1</v>
      </c>
      <c r="AK14" s="49" t="n">
        <f aca="false">MAX(0,MIN(1,(AK$5-$G14+1)/($H14-$G14+1)))</f>
        <v>1</v>
      </c>
    </row>
    <row r="15" customFormat="false" ht="15" hidden="false" customHeight="false" outlineLevel="0" collapsed="false">
      <c r="A15" s="25" t="n">
        <v>10</v>
      </c>
      <c r="B15" s="5" t="s">
        <v>216</v>
      </c>
      <c r="C15" s="5" t="s">
        <v>151</v>
      </c>
      <c r="D15" s="40" t="n">
        <f aca="false">INDEX('LISTA DE COMPRAS'!$B$30:$E$35,MATCH(B15,'LISTA DE COMPRAS'!$A$30:$A$35,0),MATCH(C15,'LISTA DE COMPRAS'!$B$29:$E$29,0))</f>
        <v>3966.9</v>
      </c>
      <c r="E15" s="23" t="n">
        <f aca="false">IF($D$30&gt;0,D15/$D$30,0)</f>
        <v>0.0232113009527815</v>
      </c>
      <c r="F15" s="9" t="n">
        <v>12</v>
      </c>
      <c r="G15" s="48" t="n">
        <f aca="false">G14+PARÁMETROS!$B$21</f>
        <v>46320</v>
      </c>
      <c r="H15" s="48" t="n">
        <f aca="false">G15+F15-1</f>
        <v>46331</v>
      </c>
      <c r="I15" s="23" t="n">
        <f aca="false">MAX(0,MIN(1,(PARÁMETROS!$B$7-G15+1)/(H15-G15+1)))</f>
        <v>0</v>
      </c>
      <c r="J15" s="23" t="n">
        <f aca="false">_xlfn.MAXIFS('AVANCE REAL'!$E$6:$E$405,'AVANCE REAL'!$C$6:$C$405,B15,'AVANCE REAL'!$D$6:$D$405,C15,'AVANCE REAL'!$A$6:$A$405,"&lt;="&amp;PARÁMETROS!$B$7)</f>
        <v>0</v>
      </c>
      <c r="L15" s="49" t="n">
        <f aca="false">MAX(0,MIN(1,(L$5-$G15+1)/($H15-$G15+1)))</f>
        <v>0</v>
      </c>
      <c r="M15" s="49" t="n">
        <f aca="false">MAX(0,MIN(1,(M$5-$G15+1)/($H15-$G15+1)))</f>
        <v>0</v>
      </c>
      <c r="N15" s="49" t="n">
        <f aca="false">MAX(0,MIN(1,(N$5-$G15+1)/($H15-$G15+1)))</f>
        <v>0.0833333333333333</v>
      </c>
      <c r="O15" s="49" t="n">
        <f aca="false">MAX(0,MIN(1,(O$5-$G15+1)/($H15-$G15+1)))</f>
        <v>0.666666666666667</v>
      </c>
      <c r="P15" s="49" t="n">
        <f aca="false">MAX(0,MIN(1,(P$5-$G15+1)/($H15-$G15+1)))</f>
        <v>1</v>
      </c>
      <c r="Q15" s="49" t="n">
        <f aca="false">MAX(0,MIN(1,(Q$5-$G15+1)/($H15-$G15+1)))</f>
        <v>1</v>
      </c>
      <c r="R15" s="49" t="n">
        <f aca="false">MAX(0,MIN(1,(R$5-$G15+1)/($H15-$G15+1)))</f>
        <v>1</v>
      </c>
      <c r="S15" s="49" t="n">
        <f aca="false">MAX(0,MIN(1,(S$5-$G15+1)/($H15-$G15+1)))</f>
        <v>1</v>
      </c>
      <c r="T15" s="49" t="n">
        <f aca="false">MAX(0,MIN(1,(T$5-$G15+1)/($H15-$G15+1)))</f>
        <v>1</v>
      </c>
      <c r="U15" s="49" t="n">
        <f aca="false">MAX(0,MIN(1,(U$5-$G15+1)/($H15-$G15+1)))</f>
        <v>1</v>
      </c>
      <c r="V15" s="49" t="n">
        <f aca="false">MAX(0,MIN(1,(V$5-$G15+1)/($H15-$G15+1)))</f>
        <v>1</v>
      </c>
      <c r="W15" s="49" t="n">
        <f aca="false">MAX(0,MIN(1,(W$5-$G15+1)/($H15-$G15+1)))</f>
        <v>1</v>
      </c>
      <c r="X15" s="49" t="n">
        <f aca="false">MAX(0,MIN(1,(X$5-$G15+1)/($H15-$G15+1)))</f>
        <v>1</v>
      </c>
      <c r="Y15" s="49" t="n">
        <f aca="false">MAX(0,MIN(1,(Y$5-$G15+1)/($H15-$G15+1)))</f>
        <v>1</v>
      </c>
      <c r="Z15" s="49" t="n">
        <f aca="false">MAX(0,MIN(1,(Z$5-$G15+1)/($H15-$G15+1)))</f>
        <v>1</v>
      </c>
      <c r="AA15" s="49" t="n">
        <f aca="false">MAX(0,MIN(1,(AA$5-$G15+1)/($H15-$G15+1)))</f>
        <v>1</v>
      </c>
      <c r="AB15" s="49" t="n">
        <f aca="false">MAX(0,MIN(1,(AB$5-$G15+1)/($H15-$G15+1)))</f>
        <v>1</v>
      </c>
      <c r="AC15" s="49" t="n">
        <f aca="false">MAX(0,MIN(1,(AC$5-$G15+1)/($H15-$G15+1)))</f>
        <v>1</v>
      </c>
      <c r="AD15" s="49" t="n">
        <f aca="false">MAX(0,MIN(1,(AD$5-$G15+1)/($H15-$G15+1)))</f>
        <v>1</v>
      </c>
      <c r="AE15" s="49" t="n">
        <f aca="false">MAX(0,MIN(1,(AE$5-$G15+1)/($H15-$G15+1)))</f>
        <v>1</v>
      </c>
      <c r="AF15" s="49" t="n">
        <f aca="false">MAX(0,MIN(1,(AF$5-$G15+1)/($H15-$G15+1)))</f>
        <v>1</v>
      </c>
      <c r="AG15" s="49" t="n">
        <f aca="false">MAX(0,MIN(1,(AG$5-$G15+1)/($H15-$G15+1)))</f>
        <v>1</v>
      </c>
      <c r="AH15" s="49" t="n">
        <f aca="false">MAX(0,MIN(1,(AH$5-$G15+1)/($H15-$G15+1)))</f>
        <v>1</v>
      </c>
      <c r="AI15" s="49" t="n">
        <f aca="false">MAX(0,MIN(1,(AI$5-$G15+1)/($H15-$G15+1)))</f>
        <v>1</v>
      </c>
      <c r="AJ15" s="49" t="n">
        <f aca="false">MAX(0,MIN(1,(AJ$5-$G15+1)/($H15-$G15+1)))</f>
        <v>1</v>
      </c>
      <c r="AK15" s="49" t="n">
        <f aca="false">MAX(0,MIN(1,(AK$5-$G15+1)/($H15-$G15+1)))</f>
        <v>1</v>
      </c>
    </row>
    <row r="16" customFormat="false" ht="15" hidden="false" customHeight="false" outlineLevel="0" collapsed="false">
      <c r="A16" s="25" t="n">
        <v>11</v>
      </c>
      <c r="B16" s="5" t="s">
        <v>216</v>
      </c>
      <c r="C16" s="5" t="s">
        <v>117</v>
      </c>
      <c r="D16" s="40" t="n">
        <f aca="false">INDEX('LISTA DE COMPRAS'!$B$30:$E$35,MATCH(B16,'LISTA DE COMPRAS'!$A$30:$A$35,0),MATCH(C16,'LISTA DE COMPRAS'!$B$29:$E$29,0))</f>
        <v>12145</v>
      </c>
      <c r="E16" s="23" t="n">
        <f aca="false">IF($D$30&gt;0,D16/$D$30,0)</f>
        <v>0.0710633618370847</v>
      </c>
      <c r="F16" s="9" t="n">
        <v>2</v>
      </c>
      <c r="G16" s="48" t="n">
        <f aca="false">MAX(H14,H15)+1</f>
        <v>46332</v>
      </c>
      <c r="H16" s="48" t="n">
        <f aca="false">G16+F16-1</f>
        <v>46333</v>
      </c>
      <c r="I16" s="23" t="n">
        <f aca="false">MAX(0,MIN(1,(PARÁMETROS!$B$7-G16+1)/(H16-G16+1)))</f>
        <v>0</v>
      </c>
      <c r="J16" s="23" t="n">
        <f aca="false">_xlfn.MAXIFS('AVANCE REAL'!$E$6:$E$405,'AVANCE REAL'!$C$6:$C$405,B16,'AVANCE REAL'!$D$6:$D$405,C16,'AVANCE REAL'!$A$6:$A$405,"&lt;="&amp;PARÁMETROS!$B$7)</f>
        <v>0</v>
      </c>
      <c r="L16" s="49" t="n">
        <f aca="false">MAX(0,MIN(1,(L$5-$G16+1)/($H16-$G16+1)))</f>
        <v>0</v>
      </c>
      <c r="M16" s="49" t="n">
        <f aca="false">MAX(0,MIN(1,(M$5-$G16+1)/($H16-$G16+1)))</f>
        <v>0</v>
      </c>
      <c r="N16" s="49" t="n">
        <f aca="false">MAX(0,MIN(1,(N$5-$G16+1)/($H16-$G16+1)))</f>
        <v>0</v>
      </c>
      <c r="O16" s="49" t="n">
        <f aca="false">MAX(0,MIN(1,(O$5-$G16+1)/($H16-$G16+1)))</f>
        <v>0</v>
      </c>
      <c r="P16" s="49" t="n">
        <f aca="false">MAX(0,MIN(1,(P$5-$G16+1)/($H16-$G16+1)))</f>
        <v>1</v>
      </c>
      <c r="Q16" s="49" t="n">
        <f aca="false">MAX(0,MIN(1,(Q$5-$G16+1)/($H16-$G16+1)))</f>
        <v>1</v>
      </c>
      <c r="R16" s="49" t="n">
        <f aca="false">MAX(0,MIN(1,(R$5-$G16+1)/($H16-$G16+1)))</f>
        <v>1</v>
      </c>
      <c r="S16" s="49" t="n">
        <f aca="false">MAX(0,MIN(1,(S$5-$G16+1)/($H16-$G16+1)))</f>
        <v>1</v>
      </c>
      <c r="T16" s="49" t="n">
        <f aca="false">MAX(0,MIN(1,(T$5-$G16+1)/($H16-$G16+1)))</f>
        <v>1</v>
      </c>
      <c r="U16" s="49" t="n">
        <f aca="false">MAX(0,MIN(1,(U$5-$G16+1)/($H16-$G16+1)))</f>
        <v>1</v>
      </c>
      <c r="V16" s="49" t="n">
        <f aca="false">MAX(0,MIN(1,(V$5-$G16+1)/($H16-$G16+1)))</f>
        <v>1</v>
      </c>
      <c r="W16" s="49" t="n">
        <f aca="false">MAX(0,MIN(1,(W$5-$G16+1)/($H16-$G16+1)))</f>
        <v>1</v>
      </c>
      <c r="X16" s="49" t="n">
        <f aca="false">MAX(0,MIN(1,(X$5-$G16+1)/($H16-$G16+1)))</f>
        <v>1</v>
      </c>
      <c r="Y16" s="49" t="n">
        <f aca="false">MAX(0,MIN(1,(Y$5-$G16+1)/($H16-$G16+1)))</f>
        <v>1</v>
      </c>
      <c r="Z16" s="49" t="n">
        <f aca="false">MAX(0,MIN(1,(Z$5-$G16+1)/($H16-$G16+1)))</f>
        <v>1</v>
      </c>
      <c r="AA16" s="49" t="n">
        <f aca="false">MAX(0,MIN(1,(AA$5-$G16+1)/($H16-$G16+1)))</f>
        <v>1</v>
      </c>
      <c r="AB16" s="49" t="n">
        <f aca="false">MAX(0,MIN(1,(AB$5-$G16+1)/($H16-$G16+1)))</f>
        <v>1</v>
      </c>
      <c r="AC16" s="49" t="n">
        <f aca="false">MAX(0,MIN(1,(AC$5-$G16+1)/($H16-$G16+1)))</f>
        <v>1</v>
      </c>
      <c r="AD16" s="49" t="n">
        <f aca="false">MAX(0,MIN(1,(AD$5-$G16+1)/($H16-$G16+1)))</f>
        <v>1</v>
      </c>
      <c r="AE16" s="49" t="n">
        <f aca="false">MAX(0,MIN(1,(AE$5-$G16+1)/($H16-$G16+1)))</f>
        <v>1</v>
      </c>
      <c r="AF16" s="49" t="n">
        <f aca="false">MAX(0,MIN(1,(AF$5-$G16+1)/($H16-$G16+1)))</f>
        <v>1</v>
      </c>
      <c r="AG16" s="49" t="n">
        <f aca="false">MAX(0,MIN(1,(AG$5-$G16+1)/($H16-$G16+1)))</f>
        <v>1</v>
      </c>
      <c r="AH16" s="49" t="n">
        <f aca="false">MAX(0,MIN(1,(AH$5-$G16+1)/($H16-$G16+1)))</f>
        <v>1</v>
      </c>
      <c r="AI16" s="49" t="n">
        <f aca="false">MAX(0,MIN(1,(AI$5-$G16+1)/($H16-$G16+1)))</f>
        <v>1</v>
      </c>
      <c r="AJ16" s="49" t="n">
        <f aca="false">MAX(0,MIN(1,(AJ$5-$G16+1)/($H16-$G16+1)))</f>
        <v>1</v>
      </c>
      <c r="AK16" s="49" t="n">
        <f aca="false">MAX(0,MIN(1,(AK$5-$G16+1)/($H16-$G16+1)))</f>
        <v>1</v>
      </c>
    </row>
    <row r="17" customFormat="false" ht="15" hidden="false" customHeight="false" outlineLevel="0" collapsed="false">
      <c r="A17" s="25" t="n">
        <v>12</v>
      </c>
      <c r="B17" s="5" t="s">
        <v>216</v>
      </c>
      <c r="C17" s="5" t="s">
        <v>163</v>
      </c>
      <c r="D17" s="40" t="n">
        <f aca="false">INDEX('LISTA DE COMPRAS'!$B$30:$E$35,MATCH(B17,'LISTA DE COMPRAS'!$A$30:$A$35,0),MATCH(C17,'LISTA DE COMPRAS'!$B$29:$E$29,0))</f>
        <v>520</v>
      </c>
      <c r="E17" s="23" t="n">
        <f aca="false">IF($D$30&gt;0,D17/$D$30,0)</f>
        <v>0.00304264702801845</v>
      </c>
      <c r="F17" s="9" t="n">
        <v>7</v>
      </c>
      <c r="G17" s="48" t="n">
        <f aca="false">H16+1</f>
        <v>46334</v>
      </c>
      <c r="H17" s="48" t="n">
        <f aca="false">G17+F17-1</f>
        <v>46340</v>
      </c>
      <c r="I17" s="23" t="n">
        <f aca="false">MAX(0,MIN(1,(PARÁMETROS!$B$7-G17+1)/(H17-G17+1)))</f>
        <v>0</v>
      </c>
      <c r="J17" s="23" t="n">
        <f aca="false">_xlfn.MAXIFS('AVANCE REAL'!$E$6:$E$405,'AVANCE REAL'!$C$6:$C$405,B17,'AVANCE REAL'!$D$6:$D$405,C17,'AVANCE REAL'!$A$6:$A$405,"&lt;="&amp;PARÁMETROS!$B$7)</f>
        <v>0</v>
      </c>
      <c r="L17" s="49" t="n">
        <f aca="false">MAX(0,MIN(1,(L$5-$G17+1)/($H17-$G17+1)))</f>
        <v>0</v>
      </c>
      <c r="M17" s="49" t="n">
        <f aca="false">MAX(0,MIN(1,(M$5-$G17+1)/($H17-$G17+1)))</f>
        <v>0</v>
      </c>
      <c r="N17" s="49" t="n">
        <f aca="false">MAX(0,MIN(1,(N$5-$G17+1)/($H17-$G17+1)))</f>
        <v>0</v>
      </c>
      <c r="O17" s="49" t="n">
        <f aca="false">MAX(0,MIN(1,(O$5-$G17+1)/($H17-$G17+1)))</f>
        <v>0</v>
      </c>
      <c r="P17" s="49" t="n">
        <f aca="false">MAX(0,MIN(1,(P$5-$G17+1)/($H17-$G17+1)))</f>
        <v>0.142857142857143</v>
      </c>
      <c r="Q17" s="49" t="n">
        <f aca="false">MAX(0,MIN(1,(Q$5-$G17+1)/($H17-$G17+1)))</f>
        <v>1</v>
      </c>
      <c r="R17" s="49" t="n">
        <f aca="false">MAX(0,MIN(1,(R$5-$G17+1)/($H17-$G17+1)))</f>
        <v>1</v>
      </c>
      <c r="S17" s="49" t="n">
        <f aca="false">MAX(0,MIN(1,(S$5-$G17+1)/($H17-$G17+1)))</f>
        <v>1</v>
      </c>
      <c r="T17" s="49" t="n">
        <f aca="false">MAX(0,MIN(1,(T$5-$G17+1)/($H17-$G17+1)))</f>
        <v>1</v>
      </c>
      <c r="U17" s="49" t="n">
        <f aca="false">MAX(0,MIN(1,(U$5-$G17+1)/($H17-$G17+1)))</f>
        <v>1</v>
      </c>
      <c r="V17" s="49" t="n">
        <f aca="false">MAX(0,MIN(1,(V$5-$G17+1)/($H17-$G17+1)))</f>
        <v>1</v>
      </c>
      <c r="W17" s="49" t="n">
        <f aca="false">MAX(0,MIN(1,(W$5-$G17+1)/($H17-$G17+1)))</f>
        <v>1</v>
      </c>
      <c r="X17" s="49" t="n">
        <f aca="false">MAX(0,MIN(1,(X$5-$G17+1)/($H17-$G17+1)))</f>
        <v>1</v>
      </c>
      <c r="Y17" s="49" t="n">
        <f aca="false">MAX(0,MIN(1,(Y$5-$G17+1)/($H17-$G17+1)))</f>
        <v>1</v>
      </c>
      <c r="Z17" s="49" t="n">
        <f aca="false">MAX(0,MIN(1,(Z$5-$G17+1)/($H17-$G17+1)))</f>
        <v>1</v>
      </c>
      <c r="AA17" s="49" t="n">
        <f aca="false">MAX(0,MIN(1,(AA$5-$G17+1)/($H17-$G17+1)))</f>
        <v>1</v>
      </c>
      <c r="AB17" s="49" t="n">
        <f aca="false">MAX(0,MIN(1,(AB$5-$G17+1)/($H17-$G17+1)))</f>
        <v>1</v>
      </c>
      <c r="AC17" s="49" t="n">
        <f aca="false">MAX(0,MIN(1,(AC$5-$G17+1)/($H17-$G17+1)))</f>
        <v>1</v>
      </c>
      <c r="AD17" s="49" t="n">
        <f aca="false">MAX(0,MIN(1,(AD$5-$G17+1)/($H17-$G17+1)))</f>
        <v>1</v>
      </c>
      <c r="AE17" s="49" t="n">
        <f aca="false">MAX(0,MIN(1,(AE$5-$G17+1)/($H17-$G17+1)))</f>
        <v>1</v>
      </c>
      <c r="AF17" s="49" t="n">
        <f aca="false">MAX(0,MIN(1,(AF$5-$G17+1)/($H17-$G17+1)))</f>
        <v>1</v>
      </c>
      <c r="AG17" s="49" t="n">
        <f aca="false">MAX(0,MIN(1,(AG$5-$G17+1)/($H17-$G17+1)))</f>
        <v>1</v>
      </c>
      <c r="AH17" s="49" t="n">
        <f aca="false">MAX(0,MIN(1,(AH$5-$G17+1)/($H17-$G17+1)))</f>
        <v>1</v>
      </c>
      <c r="AI17" s="49" t="n">
        <f aca="false">MAX(0,MIN(1,(AI$5-$G17+1)/($H17-$G17+1)))</f>
        <v>1</v>
      </c>
      <c r="AJ17" s="49" t="n">
        <f aca="false">MAX(0,MIN(1,(AJ$5-$G17+1)/($H17-$G17+1)))</f>
        <v>1</v>
      </c>
      <c r="AK17" s="49" t="n">
        <f aca="false">MAX(0,MIN(1,(AK$5-$G17+1)/($H17-$G17+1)))</f>
        <v>1</v>
      </c>
    </row>
    <row r="18" customFormat="false" ht="15" hidden="false" customHeight="false" outlineLevel="0" collapsed="false">
      <c r="A18" s="25" t="n">
        <v>13</v>
      </c>
      <c r="B18" s="5" t="s">
        <v>227</v>
      </c>
      <c r="C18" s="5" t="s">
        <v>134</v>
      </c>
      <c r="D18" s="40" t="n">
        <f aca="false">INDEX('LISTA DE COMPRAS'!$B$30:$E$35,MATCH(B18,'LISTA DE COMPRAS'!$A$30:$A$35,0),MATCH(C18,'LISTA DE COMPRAS'!$B$29:$E$29,0))</f>
        <v>18077.68</v>
      </c>
      <c r="E18" s="23" t="n">
        <f aca="false">IF($D$30&gt;0,D18/$D$30,0)</f>
        <v>0.105776921779747</v>
      </c>
      <c r="F18" s="9" t="n">
        <v>12</v>
      </c>
      <c r="G18" s="48" t="n">
        <f aca="false">H16+1</f>
        <v>46334</v>
      </c>
      <c r="H18" s="48" t="n">
        <f aca="false">G18+F18-1</f>
        <v>46345</v>
      </c>
      <c r="I18" s="23" t="n">
        <f aca="false">MAX(0,MIN(1,(PARÁMETROS!$B$7-G18+1)/(H18-G18+1)))</f>
        <v>0</v>
      </c>
      <c r="J18" s="23" t="n">
        <f aca="false">_xlfn.MAXIFS('AVANCE REAL'!$E$6:$E$405,'AVANCE REAL'!$C$6:$C$405,B18,'AVANCE REAL'!$D$6:$D$405,C18,'AVANCE REAL'!$A$6:$A$405,"&lt;="&amp;PARÁMETROS!$B$7)</f>
        <v>0</v>
      </c>
      <c r="L18" s="49" t="n">
        <f aca="false">MAX(0,MIN(1,(L$5-$G18+1)/($H18-$G18+1)))</f>
        <v>0</v>
      </c>
      <c r="M18" s="49" t="n">
        <f aca="false">MAX(0,MIN(1,(M$5-$G18+1)/($H18-$G18+1)))</f>
        <v>0</v>
      </c>
      <c r="N18" s="49" t="n">
        <f aca="false">MAX(0,MIN(1,(N$5-$G18+1)/($H18-$G18+1)))</f>
        <v>0</v>
      </c>
      <c r="O18" s="49" t="n">
        <f aca="false">MAX(0,MIN(1,(O$5-$G18+1)/($H18-$G18+1)))</f>
        <v>0</v>
      </c>
      <c r="P18" s="49" t="n">
        <f aca="false">MAX(0,MIN(1,(P$5-$G18+1)/($H18-$G18+1)))</f>
        <v>0.0833333333333333</v>
      </c>
      <c r="Q18" s="49" t="n">
        <f aca="false">MAX(0,MIN(1,(Q$5-$G18+1)/($H18-$G18+1)))</f>
        <v>0.666666666666667</v>
      </c>
      <c r="R18" s="49" t="n">
        <f aca="false">MAX(0,MIN(1,(R$5-$G18+1)/($H18-$G18+1)))</f>
        <v>1</v>
      </c>
      <c r="S18" s="49" t="n">
        <f aca="false">MAX(0,MIN(1,(S$5-$G18+1)/($H18-$G18+1)))</f>
        <v>1</v>
      </c>
      <c r="T18" s="49" t="n">
        <f aca="false">MAX(0,MIN(1,(T$5-$G18+1)/($H18-$G18+1)))</f>
        <v>1</v>
      </c>
      <c r="U18" s="49" t="n">
        <f aca="false">MAX(0,MIN(1,(U$5-$G18+1)/($H18-$G18+1)))</f>
        <v>1</v>
      </c>
      <c r="V18" s="49" t="n">
        <f aca="false">MAX(0,MIN(1,(V$5-$G18+1)/($H18-$G18+1)))</f>
        <v>1</v>
      </c>
      <c r="W18" s="49" t="n">
        <f aca="false">MAX(0,MIN(1,(W$5-$G18+1)/($H18-$G18+1)))</f>
        <v>1</v>
      </c>
      <c r="X18" s="49" t="n">
        <f aca="false">MAX(0,MIN(1,(X$5-$G18+1)/($H18-$G18+1)))</f>
        <v>1</v>
      </c>
      <c r="Y18" s="49" t="n">
        <f aca="false">MAX(0,MIN(1,(Y$5-$G18+1)/($H18-$G18+1)))</f>
        <v>1</v>
      </c>
      <c r="Z18" s="49" t="n">
        <f aca="false">MAX(0,MIN(1,(Z$5-$G18+1)/($H18-$G18+1)))</f>
        <v>1</v>
      </c>
      <c r="AA18" s="49" t="n">
        <f aca="false">MAX(0,MIN(1,(AA$5-$G18+1)/($H18-$G18+1)))</f>
        <v>1</v>
      </c>
      <c r="AB18" s="49" t="n">
        <f aca="false">MAX(0,MIN(1,(AB$5-$G18+1)/($H18-$G18+1)))</f>
        <v>1</v>
      </c>
      <c r="AC18" s="49" t="n">
        <f aca="false">MAX(0,MIN(1,(AC$5-$G18+1)/($H18-$G18+1)))</f>
        <v>1</v>
      </c>
      <c r="AD18" s="49" t="n">
        <f aca="false">MAX(0,MIN(1,(AD$5-$G18+1)/($H18-$G18+1)))</f>
        <v>1</v>
      </c>
      <c r="AE18" s="49" t="n">
        <f aca="false">MAX(0,MIN(1,(AE$5-$G18+1)/($H18-$G18+1)))</f>
        <v>1</v>
      </c>
      <c r="AF18" s="49" t="n">
        <f aca="false">MAX(0,MIN(1,(AF$5-$G18+1)/($H18-$G18+1)))</f>
        <v>1</v>
      </c>
      <c r="AG18" s="49" t="n">
        <f aca="false">MAX(0,MIN(1,(AG$5-$G18+1)/($H18-$G18+1)))</f>
        <v>1</v>
      </c>
      <c r="AH18" s="49" t="n">
        <f aca="false">MAX(0,MIN(1,(AH$5-$G18+1)/($H18-$G18+1)))</f>
        <v>1</v>
      </c>
      <c r="AI18" s="49" t="n">
        <f aca="false">MAX(0,MIN(1,(AI$5-$G18+1)/($H18-$G18+1)))</f>
        <v>1</v>
      </c>
      <c r="AJ18" s="49" t="n">
        <f aca="false">MAX(0,MIN(1,(AJ$5-$G18+1)/($H18-$G18+1)))</f>
        <v>1</v>
      </c>
      <c r="AK18" s="49" t="n">
        <f aca="false">MAX(0,MIN(1,(AK$5-$G18+1)/($H18-$G18+1)))</f>
        <v>1</v>
      </c>
    </row>
    <row r="19" customFormat="false" ht="15" hidden="false" customHeight="false" outlineLevel="0" collapsed="false">
      <c r="A19" s="25" t="n">
        <v>14</v>
      </c>
      <c r="B19" s="5" t="s">
        <v>227</v>
      </c>
      <c r="C19" s="5" t="s">
        <v>151</v>
      </c>
      <c r="D19" s="40" t="n">
        <f aca="false">INDEX('LISTA DE COMPRAS'!$B$30:$E$35,MATCH(B19,'LISTA DE COMPRAS'!$A$30:$A$35,0),MATCH(C19,'LISTA DE COMPRAS'!$B$29:$E$29,0))</f>
        <v>3686.8</v>
      </c>
      <c r="E19" s="23" t="n">
        <f aca="false">IF($D$30&gt;0,D19/$D$30,0)</f>
        <v>0.0215723674286508</v>
      </c>
      <c r="F19" s="9" t="n">
        <v>12</v>
      </c>
      <c r="G19" s="48" t="n">
        <f aca="false">G18+PARÁMETROS!$B$21</f>
        <v>46336</v>
      </c>
      <c r="H19" s="48" t="n">
        <f aca="false">G19+F19-1</f>
        <v>46347</v>
      </c>
      <c r="I19" s="23" t="n">
        <f aca="false">MAX(0,MIN(1,(PARÁMETROS!$B$7-G19+1)/(H19-G19+1)))</f>
        <v>0</v>
      </c>
      <c r="J19" s="23" t="n">
        <f aca="false">_xlfn.MAXIFS('AVANCE REAL'!$E$6:$E$405,'AVANCE REAL'!$C$6:$C$405,B19,'AVANCE REAL'!$D$6:$D$405,C19,'AVANCE REAL'!$A$6:$A$405,"&lt;="&amp;PARÁMETROS!$B$7)</f>
        <v>0</v>
      </c>
      <c r="L19" s="49" t="n">
        <f aca="false">MAX(0,MIN(1,(L$5-$G19+1)/($H19-$G19+1)))</f>
        <v>0</v>
      </c>
      <c r="M19" s="49" t="n">
        <f aca="false">MAX(0,MIN(1,(M$5-$G19+1)/($H19-$G19+1)))</f>
        <v>0</v>
      </c>
      <c r="N19" s="49" t="n">
        <f aca="false">MAX(0,MIN(1,(N$5-$G19+1)/($H19-$G19+1)))</f>
        <v>0</v>
      </c>
      <c r="O19" s="49" t="n">
        <f aca="false">MAX(0,MIN(1,(O$5-$G19+1)/($H19-$G19+1)))</f>
        <v>0</v>
      </c>
      <c r="P19" s="49" t="n">
        <f aca="false">MAX(0,MIN(1,(P$5-$G19+1)/($H19-$G19+1)))</f>
        <v>0</v>
      </c>
      <c r="Q19" s="49" t="n">
        <f aca="false">MAX(0,MIN(1,(Q$5-$G19+1)/($H19-$G19+1)))</f>
        <v>0.5</v>
      </c>
      <c r="R19" s="49" t="n">
        <f aca="false">MAX(0,MIN(1,(R$5-$G19+1)/($H19-$G19+1)))</f>
        <v>1</v>
      </c>
      <c r="S19" s="49" t="n">
        <f aca="false">MAX(0,MIN(1,(S$5-$G19+1)/($H19-$G19+1)))</f>
        <v>1</v>
      </c>
      <c r="T19" s="49" t="n">
        <f aca="false">MAX(0,MIN(1,(T$5-$G19+1)/($H19-$G19+1)))</f>
        <v>1</v>
      </c>
      <c r="U19" s="49" t="n">
        <f aca="false">MAX(0,MIN(1,(U$5-$G19+1)/($H19-$G19+1)))</f>
        <v>1</v>
      </c>
      <c r="V19" s="49" t="n">
        <f aca="false">MAX(0,MIN(1,(V$5-$G19+1)/($H19-$G19+1)))</f>
        <v>1</v>
      </c>
      <c r="W19" s="49" t="n">
        <f aca="false">MAX(0,MIN(1,(W$5-$G19+1)/($H19-$G19+1)))</f>
        <v>1</v>
      </c>
      <c r="X19" s="49" t="n">
        <f aca="false">MAX(0,MIN(1,(X$5-$G19+1)/($H19-$G19+1)))</f>
        <v>1</v>
      </c>
      <c r="Y19" s="49" t="n">
        <f aca="false">MAX(0,MIN(1,(Y$5-$G19+1)/($H19-$G19+1)))</f>
        <v>1</v>
      </c>
      <c r="Z19" s="49" t="n">
        <f aca="false">MAX(0,MIN(1,(Z$5-$G19+1)/($H19-$G19+1)))</f>
        <v>1</v>
      </c>
      <c r="AA19" s="49" t="n">
        <f aca="false">MAX(0,MIN(1,(AA$5-$G19+1)/($H19-$G19+1)))</f>
        <v>1</v>
      </c>
      <c r="AB19" s="49" t="n">
        <f aca="false">MAX(0,MIN(1,(AB$5-$G19+1)/($H19-$G19+1)))</f>
        <v>1</v>
      </c>
      <c r="AC19" s="49" t="n">
        <f aca="false">MAX(0,MIN(1,(AC$5-$G19+1)/($H19-$G19+1)))</f>
        <v>1</v>
      </c>
      <c r="AD19" s="49" t="n">
        <f aca="false">MAX(0,MIN(1,(AD$5-$G19+1)/($H19-$G19+1)))</f>
        <v>1</v>
      </c>
      <c r="AE19" s="49" t="n">
        <f aca="false">MAX(0,MIN(1,(AE$5-$G19+1)/($H19-$G19+1)))</f>
        <v>1</v>
      </c>
      <c r="AF19" s="49" t="n">
        <f aca="false">MAX(0,MIN(1,(AF$5-$G19+1)/($H19-$G19+1)))</f>
        <v>1</v>
      </c>
      <c r="AG19" s="49" t="n">
        <f aca="false">MAX(0,MIN(1,(AG$5-$G19+1)/($H19-$G19+1)))</f>
        <v>1</v>
      </c>
      <c r="AH19" s="49" t="n">
        <f aca="false">MAX(0,MIN(1,(AH$5-$G19+1)/($H19-$G19+1)))</f>
        <v>1</v>
      </c>
      <c r="AI19" s="49" t="n">
        <f aca="false">MAX(0,MIN(1,(AI$5-$G19+1)/($H19-$G19+1)))</f>
        <v>1</v>
      </c>
      <c r="AJ19" s="49" t="n">
        <f aca="false">MAX(0,MIN(1,(AJ$5-$G19+1)/($H19-$G19+1)))</f>
        <v>1</v>
      </c>
      <c r="AK19" s="49" t="n">
        <f aca="false">MAX(0,MIN(1,(AK$5-$G19+1)/($H19-$G19+1)))</f>
        <v>1</v>
      </c>
    </row>
    <row r="20" customFormat="false" ht="15" hidden="false" customHeight="false" outlineLevel="0" collapsed="false">
      <c r="A20" s="25" t="n">
        <v>15</v>
      </c>
      <c r="B20" s="5" t="s">
        <v>227</v>
      </c>
      <c r="C20" s="5" t="s">
        <v>117</v>
      </c>
      <c r="D20" s="40" t="n">
        <f aca="false">INDEX('LISTA DE COMPRAS'!$B$30:$E$35,MATCH(B20,'LISTA DE COMPRAS'!$A$30:$A$35,0),MATCH(C20,'LISTA DE COMPRAS'!$B$29:$E$29,0))</f>
        <v>11424.5</v>
      </c>
      <c r="E20" s="23" t="n">
        <f aca="false">IF($D$30&gt;0,D20/$D$30,0)</f>
        <v>0.0668475403299938</v>
      </c>
      <c r="F20" s="9" t="n">
        <v>2</v>
      </c>
      <c r="G20" s="48" t="n">
        <f aca="false">MAX(H18,H19)+1</f>
        <v>46348</v>
      </c>
      <c r="H20" s="48" t="n">
        <f aca="false">G20+F20-1</f>
        <v>46349</v>
      </c>
      <c r="I20" s="23" t="n">
        <f aca="false">MAX(0,MIN(1,(PARÁMETROS!$B$7-G20+1)/(H20-G20+1)))</f>
        <v>0</v>
      </c>
      <c r="J20" s="23" t="n">
        <f aca="false">_xlfn.MAXIFS('AVANCE REAL'!$E$6:$E$405,'AVANCE REAL'!$C$6:$C$405,B20,'AVANCE REAL'!$D$6:$D$405,C20,'AVANCE REAL'!$A$6:$A$405,"&lt;="&amp;PARÁMETROS!$B$7)</f>
        <v>0</v>
      </c>
      <c r="L20" s="49" t="n">
        <f aca="false">MAX(0,MIN(1,(L$5-$G20+1)/($H20-$G20+1)))</f>
        <v>0</v>
      </c>
      <c r="M20" s="49" t="n">
        <f aca="false">MAX(0,MIN(1,(M$5-$G20+1)/($H20-$G20+1)))</f>
        <v>0</v>
      </c>
      <c r="N20" s="49" t="n">
        <f aca="false">MAX(0,MIN(1,(N$5-$G20+1)/($H20-$G20+1)))</f>
        <v>0</v>
      </c>
      <c r="O20" s="49" t="n">
        <f aca="false">MAX(0,MIN(1,(O$5-$G20+1)/($H20-$G20+1)))</f>
        <v>0</v>
      </c>
      <c r="P20" s="49" t="n">
        <f aca="false">MAX(0,MIN(1,(P$5-$G20+1)/($H20-$G20+1)))</f>
        <v>0</v>
      </c>
      <c r="Q20" s="49" t="n">
        <f aca="false">MAX(0,MIN(1,(Q$5-$G20+1)/($H20-$G20+1)))</f>
        <v>0</v>
      </c>
      <c r="R20" s="49" t="n">
        <f aca="false">MAX(0,MIN(1,(R$5-$G20+1)/($H20-$G20+1)))</f>
        <v>0.5</v>
      </c>
      <c r="S20" s="49" t="n">
        <f aca="false">MAX(0,MIN(1,(S$5-$G20+1)/($H20-$G20+1)))</f>
        <v>1</v>
      </c>
      <c r="T20" s="49" t="n">
        <f aca="false">MAX(0,MIN(1,(T$5-$G20+1)/($H20-$G20+1)))</f>
        <v>1</v>
      </c>
      <c r="U20" s="49" t="n">
        <f aca="false">MAX(0,MIN(1,(U$5-$G20+1)/($H20-$G20+1)))</f>
        <v>1</v>
      </c>
      <c r="V20" s="49" t="n">
        <f aca="false">MAX(0,MIN(1,(V$5-$G20+1)/($H20-$G20+1)))</f>
        <v>1</v>
      </c>
      <c r="W20" s="49" t="n">
        <f aca="false">MAX(0,MIN(1,(W$5-$G20+1)/($H20-$G20+1)))</f>
        <v>1</v>
      </c>
      <c r="X20" s="49" t="n">
        <f aca="false">MAX(0,MIN(1,(X$5-$G20+1)/($H20-$G20+1)))</f>
        <v>1</v>
      </c>
      <c r="Y20" s="49" t="n">
        <f aca="false">MAX(0,MIN(1,(Y$5-$G20+1)/($H20-$G20+1)))</f>
        <v>1</v>
      </c>
      <c r="Z20" s="49" t="n">
        <f aca="false">MAX(0,MIN(1,(Z$5-$G20+1)/($H20-$G20+1)))</f>
        <v>1</v>
      </c>
      <c r="AA20" s="49" t="n">
        <f aca="false">MAX(0,MIN(1,(AA$5-$G20+1)/($H20-$G20+1)))</f>
        <v>1</v>
      </c>
      <c r="AB20" s="49" t="n">
        <f aca="false">MAX(0,MIN(1,(AB$5-$G20+1)/($H20-$G20+1)))</f>
        <v>1</v>
      </c>
      <c r="AC20" s="49" t="n">
        <f aca="false">MAX(0,MIN(1,(AC$5-$G20+1)/($H20-$G20+1)))</f>
        <v>1</v>
      </c>
      <c r="AD20" s="49" t="n">
        <f aca="false">MAX(0,MIN(1,(AD$5-$G20+1)/($H20-$G20+1)))</f>
        <v>1</v>
      </c>
      <c r="AE20" s="49" t="n">
        <f aca="false">MAX(0,MIN(1,(AE$5-$G20+1)/($H20-$G20+1)))</f>
        <v>1</v>
      </c>
      <c r="AF20" s="49" t="n">
        <f aca="false">MAX(0,MIN(1,(AF$5-$G20+1)/($H20-$G20+1)))</f>
        <v>1</v>
      </c>
      <c r="AG20" s="49" t="n">
        <f aca="false">MAX(0,MIN(1,(AG$5-$G20+1)/($H20-$G20+1)))</f>
        <v>1</v>
      </c>
      <c r="AH20" s="49" t="n">
        <f aca="false">MAX(0,MIN(1,(AH$5-$G20+1)/($H20-$G20+1)))</f>
        <v>1</v>
      </c>
      <c r="AI20" s="49" t="n">
        <f aca="false">MAX(0,MIN(1,(AI$5-$G20+1)/($H20-$G20+1)))</f>
        <v>1</v>
      </c>
      <c r="AJ20" s="49" t="n">
        <f aca="false">MAX(0,MIN(1,(AJ$5-$G20+1)/($H20-$G20+1)))</f>
        <v>1</v>
      </c>
      <c r="AK20" s="49" t="n">
        <f aca="false">MAX(0,MIN(1,(AK$5-$G20+1)/($H20-$G20+1)))</f>
        <v>1</v>
      </c>
    </row>
    <row r="21" customFormat="false" ht="15" hidden="false" customHeight="false" outlineLevel="0" collapsed="false">
      <c r="A21" s="25" t="n">
        <v>16</v>
      </c>
      <c r="B21" s="5" t="s">
        <v>227</v>
      </c>
      <c r="C21" s="5" t="s">
        <v>163</v>
      </c>
      <c r="D21" s="40" t="n">
        <f aca="false">INDEX('LISTA DE COMPRAS'!$B$30:$E$35,MATCH(B21,'LISTA DE COMPRAS'!$A$30:$A$35,0),MATCH(C21,'LISTA DE COMPRAS'!$B$29:$E$29,0))</f>
        <v>480</v>
      </c>
      <c r="E21" s="23" t="n">
        <f aca="false">IF($D$30&gt;0,D21/$D$30,0)</f>
        <v>0.00280859725663241</v>
      </c>
      <c r="F21" s="9" t="n">
        <v>7</v>
      </c>
      <c r="G21" s="48" t="n">
        <f aca="false">H20+1</f>
        <v>46350</v>
      </c>
      <c r="H21" s="48" t="n">
        <f aca="false">G21+F21-1</f>
        <v>46356</v>
      </c>
      <c r="I21" s="23" t="n">
        <f aca="false">MAX(0,MIN(1,(PARÁMETROS!$B$7-G21+1)/(H21-G21+1)))</f>
        <v>0</v>
      </c>
      <c r="J21" s="23" t="n">
        <f aca="false">_xlfn.MAXIFS('AVANCE REAL'!$E$6:$E$405,'AVANCE REAL'!$C$6:$C$405,B21,'AVANCE REAL'!$D$6:$D$405,C21,'AVANCE REAL'!$A$6:$A$405,"&lt;="&amp;PARÁMETROS!$B$7)</f>
        <v>0</v>
      </c>
      <c r="L21" s="49" t="n">
        <f aca="false">MAX(0,MIN(1,(L$5-$G21+1)/($H21-$G21+1)))</f>
        <v>0</v>
      </c>
      <c r="M21" s="49" t="n">
        <f aca="false">MAX(0,MIN(1,(M$5-$G21+1)/($H21-$G21+1)))</f>
        <v>0</v>
      </c>
      <c r="N21" s="49" t="n">
        <f aca="false">MAX(0,MIN(1,(N$5-$G21+1)/($H21-$G21+1)))</f>
        <v>0</v>
      </c>
      <c r="O21" s="49" t="n">
        <f aca="false">MAX(0,MIN(1,(O$5-$G21+1)/($H21-$G21+1)))</f>
        <v>0</v>
      </c>
      <c r="P21" s="49" t="n">
        <f aca="false">MAX(0,MIN(1,(P$5-$G21+1)/($H21-$G21+1)))</f>
        <v>0</v>
      </c>
      <c r="Q21" s="49" t="n">
        <f aca="false">MAX(0,MIN(1,(Q$5-$G21+1)/($H21-$G21+1)))</f>
        <v>0</v>
      </c>
      <c r="R21" s="49" t="n">
        <f aca="false">MAX(0,MIN(1,(R$5-$G21+1)/($H21-$G21+1)))</f>
        <v>0</v>
      </c>
      <c r="S21" s="49" t="n">
        <f aca="false">MAX(0,MIN(1,(S$5-$G21+1)/($H21-$G21+1)))</f>
        <v>0.857142857142857</v>
      </c>
      <c r="T21" s="49" t="n">
        <f aca="false">MAX(0,MIN(1,(T$5-$G21+1)/($H21-$G21+1)))</f>
        <v>1</v>
      </c>
      <c r="U21" s="49" t="n">
        <f aca="false">MAX(0,MIN(1,(U$5-$G21+1)/($H21-$G21+1)))</f>
        <v>1</v>
      </c>
      <c r="V21" s="49" t="n">
        <f aca="false">MAX(0,MIN(1,(V$5-$G21+1)/($H21-$G21+1)))</f>
        <v>1</v>
      </c>
      <c r="W21" s="49" t="n">
        <f aca="false">MAX(0,MIN(1,(W$5-$G21+1)/($H21-$G21+1)))</f>
        <v>1</v>
      </c>
      <c r="X21" s="49" t="n">
        <f aca="false">MAX(0,MIN(1,(X$5-$G21+1)/($H21-$G21+1)))</f>
        <v>1</v>
      </c>
      <c r="Y21" s="49" t="n">
        <f aca="false">MAX(0,MIN(1,(Y$5-$G21+1)/($H21-$G21+1)))</f>
        <v>1</v>
      </c>
      <c r="Z21" s="49" t="n">
        <f aca="false">MAX(0,MIN(1,(Z$5-$G21+1)/($H21-$G21+1)))</f>
        <v>1</v>
      </c>
      <c r="AA21" s="49" t="n">
        <f aca="false">MAX(0,MIN(1,(AA$5-$G21+1)/($H21-$G21+1)))</f>
        <v>1</v>
      </c>
      <c r="AB21" s="49" t="n">
        <f aca="false">MAX(0,MIN(1,(AB$5-$G21+1)/($H21-$G21+1)))</f>
        <v>1</v>
      </c>
      <c r="AC21" s="49" t="n">
        <f aca="false">MAX(0,MIN(1,(AC$5-$G21+1)/($H21-$G21+1)))</f>
        <v>1</v>
      </c>
      <c r="AD21" s="49" t="n">
        <f aca="false">MAX(0,MIN(1,(AD$5-$G21+1)/($H21-$G21+1)))</f>
        <v>1</v>
      </c>
      <c r="AE21" s="49" t="n">
        <f aca="false">MAX(0,MIN(1,(AE$5-$G21+1)/($H21-$G21+1)))</f>
        <v>1</v>
      </c>
      <c r="AF21" s="49" t="n">
        <f aca="false">MAX(0,MIN(1,(AF$5-$G21+1)/($H21-$G21+1)))</f>
        <v>1</v>
      </c>
      <c r="AG21" s="49" t="n">
        <f aca="false">MAX(0,MIN(1,(AG$5-$G21+1)/($H21-$G21+1)))</f>
        <v>1</v>
      </c>
      <c r="AH21" s="49" t="n">
        <f aca="false">MAX(0,MIN(1,(AH$5-$G21+1)/($H21-$G21+1)))</f>
        <v>1</v>
      </c>
      <c r="AI21" s="49" t="n">
        <f aca="false">MAX(0,MIN(1,(AI$5-$G21+1)/($H21-$G21+1)))</f>
        <v>1</v>
      </c>
      <c r="AJ21" s="49" t="n">
        <f aca="false">MAX(0,MIN(1,(AJ$5-$G21+1)/($H21-$G21+1)))</f>
        <v>1</v>
      </c>
      <c r="AK21" s="49" t="n">
        <f aca="false">MAX(0,MIN(1,(AK$5-$G21+1)/($H21-$G21+1)))</f>
        <v>1</v>
      </c>
    </row>
    <row r="22" customFormat="false" ht="15" hidden="false" customHeight="false" outlineLevel="0" collapsed="false">
      <c r="A22" s="25" t="n">
        <v>17</v>
      </c>
      <c r="B22" s="5" t="s">
        <v>229</v>
      </c>
      <c r="C22" s="5" t="s">
        <v>134</v>
      </c>
      <c r="D22" s="40" t="n">
        <f aca="false">INDEX('LISTA DE COMPRAS'!$B$30:$E$35,MATCH(B22,'LISTA DE COMPRAS'!$A$30:$A$35,0),MATCH(C22,'LISTA DE COMPRAS'!$B$29:$E$29,0))</f>
        <v>17909.85</v>
      </c>
      <c r="E22" s="23" t="n">
        <f aca="false">IF($D$30&gt;0,D22/$D$30,0)</f>
        <v>0.104794907451454</v>
      </c>
      <c r="F22" s="9" t="n">
        <v>12</v>
      </c>
      <c r="G22" s="48" t="n">
        <f aca="false">H20+1</f>
        <v>46350</v>
      </c>
      <c r="H22" s="48" t="n">
        <f aca="false">G22+F22-1</f>
        <v>46361</v>
      </c>
      <c r="I22" s="23" t="n">
        <f aca="false">MAX(0,MIN(1,(PARÁMETROS!$B$7-G22+1)/(H22-G22+1)))</f>
        <v>0</v>
      </c>
      <c r="J22" s="23" t="n">
        <f aca="false">_xlfn.MAXIFS('AVANCE REAL'!$E$6:$E$405,'AVANCE REAL'!$C$6:$C$405,B22,'AVANCE REAL'!$D$6:$D$405,C22,'AVANCE REAL'!$A$6:$A$405,"&lt;="&amp;PARÁMETROS!$B$7)</f>
        <v>0</v>
      </c>
      <c r="L22" s="49" t="n">
        <f aca="false">MAX(0,MIN(1,(L$5-$G22+1)/($H22-$G22+1)))</f>
        <v>0</v>
      </c>
      <c r="M22" s="49" t="n">
        <f aca="false">MAX(0,MIN(1,(M$5-$G22+1)/($H22-$G22+1)))</f>
        <v>0</v>
      </c>
      <c r="N22" s="49" t="n">
        <f aca="false">MAX(0,MIN(1,(N$5-$G22+1)/($H22-$G22+1)))</f>
        <v>0</v>
      </c>
      <c r="O22" s="49" t="n">
        <f aca="false">MAX(0,MIN(1,(O$5-$G22+1)/($H22-$G22+1)))</f>
        <v>0</v>
      </c>
      <c r="P22" s="49" t="n">
        <f aca="false">MAX(0,MIN(1,(P$5-$G22+1)/($H22-$G22+1)))</f>
        <v>0</v>
      </c>
      <c r="Q22" s="49" t="n">
        <f aca="false">MAX(0,MIN(1,(Q$5-$G22+1)/($H22-$G22+1)))</f>
        <v>0</v>
      </c>
      <c r="R22" s="49" t="n">
        <f aca="false">MAX(0,MIN(1,(R$5-$G22+1)/($H22-$G22+1)))</f>
        <v>0</v>
      </c>
      <c r="S22" s="49" t="n">
        <f aca="false">MAX(0,MIN(1,(S$5-$G22+1)/($H22-$G22+1)))</f>
        <v>0.5</v>
      </c>
      <c r="T22" s="49" t="n">
        <f aca="false">MAX(0,MIN(1,(T$5-$G22+1)/($H22-$G22+1)))</f>
        <v>1</v>
      </c>
      <c r="U22" s="49" t="n">
        <f aca="false">MAX(0,MIN(1,(U$5-$G22+1)/($H22-$G22+1)))</f>
        <v>1</v>
      </c>
      <c r="V22" s="49" t="n">
        <f aca="false">MAX(0,MIN(1,(V$5-$G22+1)/($H22-$G22+1)))</f>
        <v>1</v>
      </c>
      <c r="W22" s="49" t="n">
        <f aca="false">MAX(0,MIN(1,(W$5-$G22+1)/($H22-$G22+1)))</f>
        <v>1</v>
      </c>
      <c r="X22" s="49" t="n">
        <f aca="false">MAX(0,MIN(1,(X$5-$G22+1)/($H22-$G22+1)))</f>
        <v>1</v>
      </c>
      <c r="Y22" s="49" t="n">
        <f aca="false">MAX(0,MIN(1,(Y$5-$G22+1)/($H22-$G22+1)))</f>
        <v>1</v>
      </c>
      <c r="Z22" s="49" t="n">
        <f aca="false">MAX(0,MIN(1,(Z$5-$G22+1)/($H22-$G22+1)))</f>
        <v>1</v>
      </c>
      <c r="AA22" s="49" t="n">
        <f aca="false">MAX(0,MIN(1,(AA$5-$G22+1)/($H22-$G22+1)))</f>
        <v>1</v>
      </c>
      <c r="AB22" s="49" t="n">
        <f aca="false">MAX(0,MIN(1,(AB$5-$G22+1)/($H22-$G22+1)))</f>
        <v>1</v>
      </c>
      <c r="AC22" s="49" t="n">
        <f aca="false">MAX(0,MIN(1,(AC$5-$G22+1)/($H22-$G22+1)))</f>
        <v>1</v>
      </c>
      <c r="AD22" s="49" t="n">
        <f aca="false">MAX(0,MIN(1,(AD$5-$G22+1)/($H22-$G22+1)))</f>
        <v>1</v>
      </c>
      <c r="AE22" s="49" t="n">
        <f aca="false">MAX(0,MIN(1,(AE$5-$G22+1)/($H22-$G22+1)))</f>
        <v>1</v>
      </c>
      <c r="AF22" s="49" t="n">
        <f aca="false">MAX(0,MIN(1,(AF$5-$G22+1)/($H22-$G22+1)))</f>
        <v>1</v>
      </c>
      <c r="AG22" s="49" t="n">
        <f aca="false">MAX(0,MIN(1,(AG$5-$G22+1)/($H22-$G22+1)))</f>
        <v>1</v>
      </c>
      <c r="AH22" s="49" t="n">
        <f aca="false">MAX(0,MIN(1,(AH$5-$G22+1)/($H22-$G22+1)))</f>
        <v>1</v>
      </c>
      <c r="AI22" s="49" t="n">
        <f aca="false">MAX(0,MIN(1,(AI$5-$G22+1)/($H22-$G22+1)))</f>
        <v>1</v>
      </c>
      <c r="AJ22" s="49" t="n">
        <f aca="false">MAX(0,MIN(1,(AJ$5-$G22+1)/($H22-$G22+1)))</f>
        <v>1</v>
      </c>
      <c r="AK22" s="49" t="n">
        <f aca="false">MAX(0,MIN(1,(AK$5-$G22+1)/($H22-$G22+1)))</f>
        <v>1</v>
      </c>
    </row>
    <row r="23" customFormat="false" ht="15" hidden="false" customHeight="false" outlineLevel="0" collapsed="false">
      <c r="A23" s="25" t="n">
        <v>18</v>
      </c>
      <c r="B23" s="5" t="s">
        <v>229</v>
      </c>
      <c r="C23" s="5" t="s">
        <v>151</v>
      </c>
      <c r="D23" s="40" t="n">
        <f aca="false">INDEX('LISTA DE COMPRAS'!$B$30:$E$35,MATCH(B23,'LISTA DE COMPRAS'!$A$30:$A$35,0),MATCH(C23,'LISTA DE COMPRAS'!$B$29:$E$29,0))</f>
        <v>3686.8</v>
      </c>
      <c r="E23" s="23" t="n">
        <f aca="false">IF($D$30&gt;0,D23/$D$30,0)</f>
        <v>0.0215723674286508</v>
      </c>
      <c r="F23" s="9" t="n">
        <v>12</v>
      </c>
      <c r="G23" s="48" t="n">
        <f aca="false">G22+PARÁMETROS!$B$21</f>
        <v>46352</v>
      </c>
      <c r="H23" s="48" t="n">
        <f aca="false">G23+F23-1</f>
        <v>46363</v>
      </c>
      <c r="I23" s="23" t="n">
        <f aca="false">MAX(0,MIN(1,(PARÁMETROS!$B$7-G23+1)/(H23-G23+1)))</f>
        <v>0</v>
      </c>
      <c r="J23" s="23" t="n">
        <f aca="false">_xlfn.MAXIFS('AVANCE REAL'!$E$6:$E$405,'AVANCE REAL'!$C$6:$C$405,B23,'AVANCE REAL'!$D$6:$D$405,C23,'AVANCE REAL'!$A$6:$A$405,"&lt;="&amp;PARÁMETROS!$B$7)</f>
        <v>0</v>
      </c>
      <c r="L23" s="49" t="n">
        <f aca="false">MAX(0,MIN(1,(L$5-$G23+1)/($H23-$G23+1)))</f>
        <v>0</v>
      </c>
      <c r="M23" s="49" t="n">
        <f aca="false">MAX(0,MIN(1,(M$5-$G23+1)/($H23-$G23+1)))</f>
        <v>0</v>
      </c>
      <c r="N23" s="49" t="n">
        <f aca="false">MAX(0,MIN(1,(N$5-$G23+1)/($H23-$G23+1)))</f>
        <v>0</v>
      </c>
      <c r="O23" s="49" t="n">
        <f aca="false">MAX(0,MIN(1,(O$5-$G23+1)/($H23-$G23+1)))</f>
        <v>0</v>
      </c>
      <c r="P23" s="49" t="n">
        <f aca="false">MAX(0,MIN(1,(P$5-$G23+1)/($H23-$G23+1)))</f>
        <v>0</v>
      </c>
      <c r="Q23" s="49" t="n">
        <f aca="false">MAX(0,MIN(1,(Q$5-$G23+1)/($H23-$G23+1)))</f>
        <v>0</v>
      </c>
      <c r="R23" s="49" t="n">
        <f aca="false">MAX(0,MIN(1,(R$5-$G23+1)/($H23-$G23+1)))</f>
        <v>0</v>
      </c>
      <c r="S23" s="49" t="n">
        <f aca="false">MAX(0,MIN(1,(S$5-$G23+1)/($H23-$G23+1)))</f>
        <v>0.333333333333333</v>
      </c>
      <c r="T23" s="49" t="n">
        <f aca="false">MAX(0,MIN(1,(T$5-$G23+1)/($H23-$G23+1)))</f>
        <v>0.916666666666667</v>
      </c>
      <c r="U23" s="49" t="n">
        <f aca="false">MAX(0,MIN(1,(U$5-$G23+1)/($H23-$G23+1)))</f>
        <v>1</v>
      </c>
      <c r="V23" s="49" t="n">
        <f aca="false">MAX(0,MIN(1,(V$5-$G23+1)/($H23-$G23+1)))</f>
        <v>1</v>
      </c>
      <c r="W23" s="49" t="n">
        <f aca="false">MAX(0,MIN(1,(W$5-$G23+1)/($H23-$G23+1)))</f>
        <v>1</v>
      </c>
      <c r="X23" s="49" t="n">
        <f aca="false">MAX(0,MIN(1,(X$5-$G23+1)/($H23-$G23+1)))</f>
        <v>1</v>
      </c>
      <c r="Y23" s="49" t="n">
        <f aca="false">MAX(0,MIN(1,(Y$5-$G23+1)/($H23-$G23+1)))</f>
        <v>1</v>
      </c>
      <c r="Z23" s="49" t="n">
        <f aca="false">MAX(0,MIN(1,(Z$5-$G23+1)/($H23-$G23+1)))</f>
        <v>1</v>
      </c>
      <c r="AA23" s="49" t="n">
        <f aca="false">MAX(0,MIN(1,(AA$5-$G23+1)/($H23-$G23+1)))</f>
        <v>1</v>
      </c>
      <c r="AB23" s="49" t="n">
        <f aca="false">MAX(0,MIN(1,(AB$5-$G23+1)/($H23-$G23+1)))</f>
        <v>1</v>
      </c>
      <c r="AC23" s="49" t="n">
        <f aca="false">MAX(0,MIN(1,(AC$5-$G23+1)/($H23-$G23+1)))</f>
        <v>1</v>
      </c>
      <c r="AD23" s="49" t="n">
        <f aca="false">MAX(0,MIN(1,(AD$5-$G23+1)/($H23-$G23+1)))</f>
        <v>1</v>
      </c>
      <c r="AE23" s="49" t="n">
        <f aca="false">MAX(0,MIN(1,(AE$5-$G23+1)/($H23-$G23+1)))</f>
        <v>1</v>
      </c>
      <c r="AF23" s="49" t="n">
        <f aca="false">MAX(0,MIN(1,(AF$5-$G23+1)/($H23-$G23+1)))</f>
        <v>1</v>
      </c>
      <c r="AG23" s="49" t="n">
        <f aca="false">MAX(0,MIN(1,(AG$5-$G23+1)/($H23-$G23+1)))</f>
        <v>1</v>
      </c>
      <c r="AH23" s="49" t="n">
        <f aca="false">MAX(0,MIN(1,(AH$5-$G23+1)/($H23-$G23+1)))</f>
        <v>1</v>
      </c>
      <c r="AI23" s="49" t="n">
        <f aca="false">MAX(0,MIN(1,(AI$5-$G23+1)/($H23-$G23+1)))</f>
        <v>1</v>
      </c>
      <c r="AJ23" s="49" t="n">
        <f aca="false">MAX(0,MIN(1,(AJ$5-$G23+1)/($H23-$G23+1)))</f>
        <v>1</v>
      </c>
      <c r="AK23" s="49" t="n">
        <f aca="false">MAX(0,MIN(1,(AK$5-$G23+1)/($H23-$G23+1)))</f>
        <v>1</v>
      </c>
    </row>
    <row r="24" customFormat="false" ht="15" hidden="false" customHeight="false" outlineLevel="0" collapsed="false">
      <c r="A24" s="25" t="n">
        <v>19</v>
      </c>
      <c r="B24" s="5" t="s">
        <v>229</v>
      </c>
      <c r="C24" s="5" t="s">
        <v>117</v>
      </c>
      <c r="D24" s="40" t="n">
        <f aca="false">INDEX('LISTA DE COMPRAS'!$B$30:$E$35,MATCH(B24,'LISTA DE COMPRAS'!$A$30:$A$35,0),MATCH(C24,'LISTA DE COMPRAS'!$B$29:$E$29,0))</f>
        <v>11424.5</v>
      </c>
      <c r="E24" s="23" t="n">
        <f aca="false">IF($D$30&gt;0,D24/$D$30,0)</f>
        <v>0.0668475403299938</v>
      </c>
      <c r="F24" s="9" t="n">
        <v>2</v>
      </c>
      <c r="G24" s="48" t="n">
        <f aca="false">MAX(H22,H23)+1</f>
        <v>46364</v>
      </c>
      <c r="H24" s="48" t="n">
        <f aca="false">G24+F24-1</f>
        <v>46365</v>
      </c>
      <c r="I24" s="23" t="n">
        <f aca="false">MAX(0,MIN(1,(PARÁMETROS!$B$7-G24+1)/(H24-G24+1)))</f>
        <v>0</v>
      </c>
      <c r="J24" s="23" t="n">
        <f aca="false">_xlfn.MAXIFS('AVANCE REAL'!$E$6:$E$405,'AVANCE REAL'!$C$6:$C$405,B24,'AVANCE REAL'!$D$6:$D$405,C24,'AVANCE REAL'!$A$6:$A$405,"&lt;="&amp;PARÁMETROS!$B$7)</f>
        <v>0</v>
      </c>
      <c r="L24" s="49" t="n">
        <f aca="false">MAX(0,MIN(1,(L$5-$G24+1)/($H24-$G24+1)))</f>
        <v>0</v>
      </c>
      <c r="M24" s="49" t="n">
        <f aca="false">MAX(0,MIN(1,(M$5-$G24+1)/($H24-$G24+1)))</f>
        <v>0</v>
      </c>
      <c r="N24" s="49" t="n">
        <f aca="false">MAX(0,MIN(1,(N$5-$G24+1)/($H24-$G24+1)))</f>
        <v>0</v>
      </c>
      <c r="O24" s="49" t="n">
        <f aca="false">MAX(0,MIN(1,(O$5-$G24+1)/($H24-$G24+1)))</f>
        <v>0</v>
      </c>
      <c r="P24" s="49" t="n">
        <f aca="false">MAX(0,MIN(1,(P$5-$G24+1)/($H24-$G24+1)))</f>
        <v>0</v>
      </c>
      <c r="Q24" s="49" t="n">
        <f aca="false">MAX(0,MIN(1,(Q$5-$G24+1)/($H24-$G24+1)))</f>
        <v>0</v>
      </c>
      <c r="R24" s="49" t="n">
        <f aca="false">MAX(0,MIN(1,(R$5-$G24+1)/($H24-$G24+1)))</f>
        <v>0</v>
      </c>
      <c r="S24" s="49" t="n">
        <f aca="false">MAX(0,MIN(1,(S$5-$G24+1)/($H24-$G24+1)))</f>
        <v>0</v>
      </c>
      <c r="T24" s="49" t="n">
        <f aca="false">MAX(0,MIN(1,(T$5-$G24+1)/($H24-$G24+1)))</f>
        <v>0</v>
      </c>
      <c r="U24" s="49" t="n">
        <f aca="false">MAX(0,MIN(1,(U$5-$G24+1)/($H24-$G24+1)))</f>
        <v>1</v>
      </c>
      <c r="V24" s="49" t="n">
        <f aca="false">MAX(0,MIN(1,(V$5-$G24+1)/($H24-$G24+1)))</f>
        <v>1</v>
      </c>
      <c r="W24" s="49" t="n">
        <f aca="false">MAX(0,MIN(1,(W$5-$G24+1)/($H24-$G24+1)))</f>
        <v>1</v>
      </c>
      <c r="X24" s="49" t="n">
        <f aca="false">MAX(0,MIN(1,(X$5-$G24+1)/($H24-$G24+1)))</f>
        <v>1</v>
      </c>
      <c r="Y24" s="49" t="n">
        <f aca="false">MAX(0,MIN(1,(Y$5-$G24+1)/($H24-$G24+1)))</f>
        <v>1</v>
      </c>
      <c r="Z24" s="49" t="n">
        <f aca="false">MAX(0,MIN(1,(Z$5-$G24+1)/($H24-$G24+1)))</f>
        <v>1</v>
      </c>
      <c r="AA24" s="49" t="n">
        <f aca="false">MAX(0,MIN(1,(AA$5-$G24+1)/($H24-$G24+1)))</f>
        <v>1</v>
      </c>
      <c r="AB24" s="49" t="n">
        <f aca="false">MAX(0,MIN(1,(AB$5-$G24+1)/($H24-$G24+1)))</f>
        <v>1</v>
      </c>
      <c r="AC24" s="49" t="n">
        <f aca="false">MAX(0,MIN(1,(AC$5-$G24+1)/($H24-$G24+1)))</f>
        <v>1</v>
      </c>
      <c r="AD24" s="49" t="n">
        <f aca="false">MAX(0,MIN(1,(AD$5-$G24+1)/($H24-$G24+1)))</f>
        <v>1</v>
      </c>
      <c r="AE24" s="49" t="n">
        <f aca="false">MAX(0,MIN(1,(AE$5-$G24+1)/($H24-$G24+1)))</f>
        <v>1</v>
      </c>
      <c r="AF24" s="49" t="n">
        <f aca="false">MAX(0,MIN(1,(AF$5-$G24+1)/($H24-$G24+1)))</f>
        <v>1</v>
      </c>
      <c r="AG24" s="49" t="n">
        <f aca="false">MAX(0,MIN(1,(AG$5-$G24+1)/($H24-$G24+1)))</f>
        <v>1</v>
      </c>
      <c r="AH24" s="49" t="n">
        <f aca="false">MAX(0,MIN(1,(AH$5-$G24+1)/($H24-$G24+1)))</f>
        <v>1</v>
      </c>
      <c r="AI24" s="49" t="n">
        <f aca="false">MAX(0,MIN(1,(AI$5-$G24+1)/($H24-$G24+1)))</f>
        <v>1</v>
      </c>
      <c r="AJ24" s="49" t="n">
        <f aca="false">MAX(0,MIN(1,(AJ$5-$G24+1)/($H24-$G24+1)))</f>
        <v>1</v>
      </c>
      <c r="AK24" s="49" t="n">
        <f aca="false">MAX(0,MIN(1,(AK$5-$G24+1)/($H24-$G24+1)))</f>
        <v>1</v>
      </c>
    </row>
    <row r="25" customFormat="false" ht="15" hidden="false" customHeight="false" outlineLevel="0" collapsed="false">
      <c r="A25" s="25" t="n">
        <v>20</v>
      </c>
      <c r="B25" s="5" t="s">
        <v>229</v>
      </c>
      <c r="C25" s="5" t="s">
        <v>163</v>
      </c>
      <c r="D25" s="40" t="n">
        <f aca="false">INDEX('LISTA DE COMPRAS'!$B$30:$E$35,MATCH(B25,'LISTA DE COMPRAS'!$A$30:$A$35,0),MATCH(C25,'LISTA DE COMPRAS'!$B$29:$E$29,0))</f>
        <v>480</v>
      </c>
      <c r="E25" s="23" t="n">
        <f aca="false">IF($D$30&gt;0,D25/$D$30,0)</f>
        <v>0.00280859725663241</v>
      </c>
      <c r="F25" s="9" t="n">
        <v>7</v>
      </c>
      <c r="G25" s="48" t="n">
        <f aca="false">H24+1</f>
        <v>46366</v>
      </c>
      <c r="H25" s="48" t="n">
        <f aca="false">G25+F25-1</f>
        <v>46372</v>
      </c>
      <c r="I25" s="23" t="n">
        <f aca="false">MAX(0,MIN(1,(PARÁMETROS!$B$7-G25+1)/(H25-G25+1)))</f>
        <v>0</v>
      </c>
      <c r="J25" s="23" t="n">
        <f aca="false">_xlfn.MAXIFS('AVANCE REAL'!$E$6:$E$405,'AVANCE REAL'!$C$6:$C$405,B25,'AVANCE REAL'!$D$6:$D$405,C25,'AVANCE REAL'!$A$6:$A$405,"&lt;="&amp;PARÁMETROS!$B$7)</f>
        <v>0</v>
      </c>
      <c r="L25" s="49" t="n">
        <f aca="false">MAX(0,MIN(1,(L$5-$G25+1)/($H25-$G25+1)))</f>
        <v>0</v>
      </c>
      <c r="M25" s="49" t="n">
        <f aca="false">MAX(0,MIN(1,(M$5-$G25+1)/($H25-$G25+1)))</f>
        <v>0</v>
      </c>
      <c r="N25" s="49" t="n">
        <f aca="false">MAX(0,MIN(1,(N$5-$G25+1)/($H25-$G25+1)))</f>
        <v>0</v>
      </c>
      <c r="O25" s="49" t="n">
        <f aca="false">MAX(0,MIN(1,(O$5-$G25+1)/($H25-$G25+1)))</f>
        <v>0</v>
      </c>
      <c r="P25" s="49" t="n">
        <f aca="false">MAX(0,MIN(1,(P$5-$G25+1)/($H25-$G25+1)))</f>
        <v>0</v>
      </c>
      <c r="Q25" s="49" t="n">
        <f aca="false">MAX(0,MIN(1,(Q$5-$G25+1)/($H25-$G25+1)))</f>
        <v>0</v>
      </c>
      <c r="R25" s="49" t="n">
        <f aca="false">MAX(0,MIN(1,(R$5-$G25+1)/($H25-$G25+1)))</f>
        <v>0</v>
      </c>
      <c r="S25" s="49" t="n">
        <f aca="false">MAX(0,MIN(1,(S$5-$G25+1)/($H25-$G25+1)))</f>
        <v>0</v>
      </c>
      <c r="T25" s="49" t="n">
        <f aca="false">MAX(0,MIN(1,(T$5-$G25+1)/($H25-$G25+1)))</f>
        <v>0</v>
      </c>
      <c r="U25" s="49" t="n">
        <f aca="false">MAX(0,MIN(1,(U$5-$G25+1)/($H25-$G25+1)))</f>
        <v>0.571428571428571</v>
      </c>
      <c r="V25" s="49" t="n">
        <f aca="false">MAX(0,MIN(1,(V$5-$G25+1)/($H25-$G25+1)))</f>
        <v>1</v>
      </c>
      <c r="W25" s="49" t="n">
        <f aca="false">MAX(0,MIN(1,(W$5-$G25+1)/($H25-$G25+1)))</f>
        <v>1</v>
      </c>
      <c r="X25" s="49" t="n">
        <f aca="false">MAX(0,MIN(1,(X$5-$G25+1)/($H25-$G25+1)))</f>
        <v>1</v>
      </c>
      <c r="Y25" s="49" t="n">
        <f aca="false">MAX(0,MIN(1,(Y$5-$G25+1)/($H25-$G25+1)))</f>
        <v>1</v>
      </c>
      <c r="Z25" s="49" t="n">
        <f aca="false">MAX(0,MIN(1,(Z$5-$G25+1)/($H25-$G25+1)))</f>
        <v>1</v>
      </c>
      <c r="AA25" s="49" t="n">
        <f aca="false">MAX(0,MIN(1,(AA$5-$G25+1)/($H25-$G25+1)))</f>
        <v>1</v>
      </c>
      <c r="AB25" s="49" t="n">
        <f aca="false">MAX(0,MIN(1,(AB$5-$G25+1)/($H25-$G25+1)))</f>
        <v>1</v>
      </c>
      <c r="AC25" s="49" t="n">
        <f aca="false">MAX(0,MIN(1,(AC$5-$G25+1)/($H25-$G25+1)))</f>
        <v>1</v>
      </c>
      <c r="AD25" s="49" t="n">
        <f aca="false">MAX(0,MIN(1,(AD$5-$G25+1)/($H25-$G25+1)))</f>
        <v>1</v>
      </c>
      <c r="AE25" s="49" t="n">
        <f aca="false">MAX(0,MIN(1,(AE$5-$G25+1)/($H25-$G25+1)))</f>
        <v>1</v>
      </c>
      <c r="AF25" s="49" t="n">
        <f aca="false">MAX(0,MIN(1,(AF$5-$G25+1)/($H25-$G25+1)))</f>
        <v>1</v>
      </c>
      <c r="AG25" s="49" t="n">
        <f aca="false">MAX(0,MIN(1,(AG$5-$G25+1)/($H25-$G25+1)))</f>
        <v>1</v>
      </c>
      <c r="AH25" s="49" t="n">
        <f aca="false">MAX(0,MIN(1,(AH$5-$G25+1)/($H25-$G25+1)))</f>
        <v>1</v>
      </c>
      <c r="AI25" s="49" t="n">
        <f aca="false">MAX(0,MIN(1,(AI$5-$G25+1)/($H25-$G25+1)))</f>
        <v>1</v>
      </c>
      <c r="AJ25" s="49" t="n">
        <f aca="false">MAX(0,MIN(1,(AJ$5-$G25+1)/($H25-$G25+1)))</f>
        <v>1</v>
      </c>
      <c r="AK25" s="49" t="n">
        <f aca="false">MAX(0,MIN(1,(AK$5-$G25+1)/($H25-$G25+1)))</f>
        <v>1</v>
      </c>
    </row>
    <row r="26" customFormat="false" ht="15" hidden="false" customHeight="false" outlineLevel="0" collapsed="false">
      <c r="A26" s="25" t="n">
        <v>21</v>
      </c>
      <c r="B26" s="5" t="s">
        <v>231</v>
      </c>
      <c r="C26" s="5" t="s">
        <v>134</v>
      </c>
      <c r="D26" s="40" t="n">
        <f aca="false">INDEX('LISTA DE COMPRAS'!$B$30:$E$35,MATCH(B26,'LISTA DE COMPRAS'!$A$30:$A$35,0),MATCH(C26,'LISTA DE COMPRAS'!$B$29:$E$29,0))</f>
        <v>15551.64</v>
      </c>
      <c r="E26" s="23" t="n">
        <f aca="false">IF($D$30&gt;0,D26/$D$30,0)</f>
        <v>0.0909964446669478</v>
      </c>
      <c r="F26" s="9" t="n">
        <v>12</v>
      </c>
      <c r="G26" s="48" t="n">
        <f aca="false">H24+1</f>
        <v>46366</v>
      </c>
      <c r="H26" s="48" t="n">
        <f aca="false">G26+F26-1</f>
        <v>46377</v>
      </c>
      <c r="I26" s="23" t="n">
        <f aca="false">MAX(0,MIN(1,(PARÁMETROS!$B$7-G26+1)/(H26-G26+1)))</f>
        <v>0</v>
      </c>
      <c r="J26" s="23" t="n">
        <f aca="false">_xlfn.MAXIFS('AVANCE REAL'!$E$6:$E$405,'AVANCE REAL'!$C$6:$C$405,B26,'AVANCE REAL'!$D$6:$D$405,C26,'AVANCE REAL'!$A$6:$A$405,"&lt;="&amp;PARÁMETROS!$B$7)</f>
        <v>0</v>
      </c>
      <c r="L26" s="49" t="n">
        <f aca="false">MAX(0,MIN(1,(L$5-$G26+1)/($H26-$G26+1)))</f>
        <v>0</v>
      </c>
      <c r="M26" s="49" t="n">
        <f aca="false">MAX(0,MIN(1,(M$5-$G26+1)/($H26-$G26+1)))</f>
        <v>0</v>
      </c>
      <c r="N26" s="49" t="n">
        <f aca="false">MAX(0,MIN(1,(N$5-$G26+1)/($H26-$G26+1)))</f>
        <v>0</v>
      </c>
      <c r="O26" s="49" t="n">
        <f aca="false">MAX(0,MIN(1,(O$5-$G26+1)/($H26-$G26+1)))</f>
        <v>0</v>
      </c>
      <c r="P26" s="49" t="n">
        <f aca="false">MAX(0,MIN(1,(P$5-$G26+1)/($H26-$G26+1)))</f>
        <v>0</v>
      </c>
      <c r="Q26" s="49" t="n">
        <f aca="false">MAX(0,MIN(1,(Q$5-$G26+1)/($H26-$G26+1)))</f>
        <v>0</v>
      </c>
      <c r="R26" s="49" t="n">
        <f aca="false">MAX(0,MIN(1,(R$5-$G26+1)/($H26-$G26+1)))</f>
        <v>0</v>
      </c>
      <c r="S26" s="49" t="n">
        <f aca="false">MAX(0,MIN(1,(S$5-$G26+1)/($H26-$G26+1)))</f>
        <v>0</v>
      </c>
      <c r="T26" s="49" t="n">
        <f aca="false">MAX(0,MIN(1,(T$5-$G26+1)/($H26-$G26+1)))</f>
        <v>0</v>
      </c>
      <c r="U26" s="49" t="n">
        <f aca="false">MAX(0,MIN(1,(U$5-$G26+1)/($H26-$G26+1)))</f>
        <v>0.333333333333333</v>
      </c>
      <c r="V26" s="49" t="n">
        <f aca="false">MAX(0,MIN(1,(V$5-$G26+1)/($H26-$G26+1)))</f>
        <v>0.916666666666667</v>
      </c>
      <c r="W26" s="49" t="n">
        <f aca="false">MAX(0,MIN(1,(W$5-$G26+1)/($H26-$G26+1)))</f>
        <v>1</v>
      </c>
      <c r="X26" s="49" t="n">
        <f aca="false">MAX(0,MIN(1,(X$5-$G26+1)/($H26-$G26+1)))</f>
        <v>1</v>
      </c>
      <c r="Y26" s="49" t="n">
        <f aca="false">MAX(0,MIN(1,(Y$5-$G26+1)/($H26-$G26+1)))</f>
        <v>1</v>
      </c>
      <c r="Z26" s="49" t="n">
        <f aca="false">MAX(0,MIN(1,(Z$5-$G26+1)/($H26-$G26+1)))</f>
        <v>1</v>
      </c>
      <c r="AA26" s="49" t="n">
        <f aca="false">MAX(0,MIN(1,(AA$5-$G26+1)/($H26-$G26+1)))</f>
        <v>1</v>
      </c>
      <c r="AB26" s="49" t="n">
        <f aca="false">MAX(0,MIN(1,(AB$5-$G26+1)/($H26-$G26+1)))</f>
        <v>1</v>
      </c>
      <c r="AC26" s="49" t="n">
        <f aca="false">MAX(0,MIN(1,(AC$5-$G26+1)/($H26-$G26+1)))</f>
        <v>1</v>
      </c>
      <c r="AD26" s="49" t="n">
        <f aca="false">MAX(0,MIN(1,(AD$5-$G26+1)/($H26-$G26+1)))</f>
        <v>1</v>
      </c>
      <c r="AE26" s="49" t="n">
        <f aca="false">MAX(0,MIN(1,(AE$5-$G26+1)/($H26-$G26+1)))</f>
        <v>1</v>
      </c>
      <c r="AF26" s="49" t="n">
        <f aca="false">MAX(0,MIN(1,(AF$5-$G26+1)/($H26-$G26+1)))</f>
        <v>1</v>
      </c>
      <c r="AG26" s="49" t="n">
        <f aca="false">MAX(0,MIN(1,(AG$5-$G26+1)/($H26-$G26+1)))</f>
        <v>1</v>
      </c>
      <c r="AH26" s="49" t="n">
        <f aca="false">MAX(0,MIN(1,(AH$5-$G26+1)/($H26-$G26+1)))</f>
        <v>1</v>
      </c>
      <c r="AI26" s="49" t="n">
        <f aca="false">MAX(0,MIN(1,(AI$5-$G26+1)/($H26-$G26+1)))</f>
        <v>1</v>
      </c>
      <c r="AJ26" s="49" t="n">
        <f aca="false">MAX(0,MIN(1,(AJ$5-$G26+1)/($H26-$G26+1)))</f>
        <v>1</v>
      </c>
      <c r="AK26" s="49" t="n">
        <f aca="false">MAX(0,MIN(1,(AK$5-$G26+1)/($H26-$G26+1)))</f>
        <v>1</v>
      </c>
    </row>
    <row r="27" customFormat="false" ht="15" hidden="false" customHeight="false" outlineLevel="0" collapsed="false">
      <c r="A27" s="25" t="n">
        <v>22</v>
      </c>
      <c r="B27" s="5" t="s">
        <v>231</v>
      </c>
      <c r="C27" s="5" t="s">
        <v>151</v>
      </c>
      <c r="D27" s="40" t="n">
        <f aca="false">INDEX('LISTA DE COMPRAS'!$B$30:$E$35,MATCH(B27,'LISTA DE COMPRAS'!$A$30:$A$35,0),MATCH(C27,'LISTA DE COMPRAS'!$B$29:$E$29,0))</f>
        <v>3686.8</v>
      </c>
      <c r="E27" s="23" t="n">
        <f aca="false">IF($D$30&gt;0,D27/$D$30,0)</f>
        <v>0.0215723674286508</v>
      </c>
      <c r="F27" s="9" t="n">
        <v>12</v>
      </c>
      <c r="G27" s="48" t="n">
        <f aca="false">G26+PARÁMETROS!$B$21</f>
        <v>46368</v>
      </c>
      <c r="H27" s="48" t="n">
        <f aca="false">G27+F27-1</f>
        <v>46379</v>
      </c>
      <c r="I27" s="23" t="n">
        <f aca="false">MAX(0,MIN(1,(PARÁMETROS!$B$7-G27+1)/(H27-G27+1)))</f>
        <v>0</v>
      </c>
      <c r="J27" s="23" t="n">
        <f aca="false">_xlfn.MAXIFS('AVANCE REAL'!$E$6:$E$405,'AVANCE REAL'!$C$6:$C$405,B27,'AVANCE REAL'!$D$6:$D$405,C27,'AVANCE REAL'!$A$6:$A$405,"&lt;="&amp;PARÁMETROS!$B$7)</f>
        <v>0</v>
      </c>
      <c r="L27" s="49" t="n">
        <f aca="false">MAX(0,MIN(1,(L$5-$G27+1)/($H27-$G27+1)))</f>
        <v>0</v>
      </c>
      <c r="M27" s="49" t="n">
        <f aca="false">MAX(0,MIN(1,(M$5-$G27+1)/($H27-$G27+1)))</f>
        <v>0</v>
      </c>
      <c r="N27" s="49" t="n">
        <f aca="false">MAX(0,MIN(1,(N$5-$G27+1)/($H27-$G27+1)))</f>
        <v>0</v>
      </c>
      <c r="O27" s="49" t="n">
        <f aca="false">MAX(0,MIN(1,(O$5-$G27+1)/($H27-$G27+1)))</f>
        <v>0</v>
      </c>
      <c r="P27" s="49" t="n">
        <f aca="false">MAX(0,MIN(1,(P$5-$G27+1)/($H27-$G27+1)))</f>
        <v>0</v>
      </c>
      <c r="Q27" s="49" t="n">
        <f aca="false">MAX(0,MIN(1,(Q$5-$G27+1)/($H27-$G27+1)))</f>
        <v>0</v>
      </c>
      <c r="R27" s="49" t="n">
        <f aca="false">MAX(0,MIN(1,(R$5-$G27+1)/($H27-$G27+1)))</f>
        <v>0</v>
      </c>
      <c r="S27" s="49" t="n">
        <f aca="false">MAX(0,MIN(1,(S$5-$G27+1)/($H27-$G27+1)))</f>
        <v>0</v>
      </c>
      <c r="T27" s="49" t="n">
        <f aca="false">MAX(0,MIN(1,(T$5-$G27+1)/($H27-$G27+1)))</f>
        <v>0</v>
      </c>
      <c r="U27" s="49" t="n">
        <f aca="false">MAX(0,MIN(1,(U$5-$G27+1)/($H27-$G27+1)))</f>
        <v>0.166666666666667</v>
      </c>
      <c r="V27" s="49" t="n">
        <f aca="false">MAX(0,MIN(1,(V$5-$G27+1)/($H27-$G27+1)))</f>
        <v>0.75</v>
      </c>
      <c r="W27" s="49" t="n">
        <f aca="false">MAX(0,MIN(1,(W$5-$G27+1)/($H27-$G27+1)))</f>
        <v>1</v>
      </c>
      <c r="X27" s="49" t="n">
        <f aca="false">MAX(0,MIN(1,(X$5-$G27+1)/($H27-$G27+1)))</f>
        <v>1</v>
      </c>
      <c r="Y27" s="49" t="n">
        <f aca="false">MAX(0,MIN(1,(Y$5-$G27+1)/($H27-$G27+1)))</f>
        <v>1</v>
      </c>
      <c r="Z27" s="49" t="n">
        <f aca="false">MAX(0,MIN(1,(Z$5-$G27+1)/($H27-$G27+1)))</f>
        <v>1</v>
      </c>
      <c r="AA27" s="49" t="n">
        <f aca="false">MAX(0,MIN(1,(AA$5-$G27+1)/($H27-$G27+1)))</f>
        <v>1</v>
      </c>
      <c r="AB27" s="49" t="n">
        <f aca="false">MAX(0,MIN(1,(AB$5-$G27+1)/($H27-$G27+1)))</f>
        <v>1</v>
      </c>
      <c r="AC27" s="49" t="n">
        <f aca="false">MAX(0,MIN(1,(AC$5-$G27+1)/($H27-$G27+1)))</f>
        <v>1</v>
      </c>
      <c r="AD27" s="49" t="n">
        <f aca="false">MAX(0,MIN(1,(AD$5-$G27+1)/($H27-$G27+1)))</f>
        <v>1</v>
      </c>
      <c r="AE27" s="49" t="n">
        <f aca="false">MAX(0,MIN(1,(AE$5-$G27+1)/($H27-$G27+1)))</f>
        <v>1</v>
      </c>
      <c r="AF27" s="49" t="n">
        <f aca="false">MAX(0,MIN(1,(AF$5-$G27+1)/($H27-$G27+1)))</f>
        <v>1</v>
      </c>
      <c r="AG27" s="49" t="n">
        <f aca="false">MAX(0,MIN(1,(AG$5-$G27+1)/($H27-$G27+1)))</f>
        <v>1</v>
      </c>
      <c r="AH27" s="49" t="n">
        <f aca="false">MAX(0,MIN(1,(AH$5-$G27+1)/($H27-$G27+1)))</f>
        <v>1</v>
      </c>
      <c r="AI27" s="49" t="n">
        <f aca="false">MAX(0,MIN(1,(AI$5-$G27+1)/($H27-$G27+1)))</f>
        <v>1</v>
      </c>
      <c r="AJ27" s="49" t="n">
        <f aca="false">MAX(0,MIN(1,(AJ$5-$G27+1)/($H27-$G27+1)))</f>
        <v>1</v>
      </c>
      <c r="AK27" s="49" t="n">
        <f aca="false">MAX(0,MIN(1,(AK$5-$G27+1)/($H27-$G27+1)))</f>
        <v>1</v>
      </c>
    </row>
    <row r="28" customFormat="false" ht="15" hidden="false" customHeight="false" outlineLevel="0" collapsed="false">
      <c r="A28" s="25" t="n">
        <v>23</v>
      </c>
      <c r="B28" s="5" t="s">
        <v>231</v>
      </c>
      <c r="C28" s="5" t="s">
        <v>117</v>
      </c>
      <c r="D28" s="40" t="n">
        <f aca="false">INDEX('LISTA DE COMPRAS'!$B$30:$E$35,MATCH(B28,'LISTA DE COMPRAS'!$A$30:$A$35,0),MATCH(C28,'LISTA DE COMPRAS'!$B$29:$E$29,0))</f>
        <v>11424.5</v>
      </c>
      <c r="E28" s="23" t="n">
        <f aca="false">IF($D$30&gt;0,D28/$D$30,0)</f>
        <v>0.0668475403299938</v>
      </c>
      <c r="F28" s="9" t="n">
        <v>2</v>
      </c>
      <c r="G28" s="48" t="n">
        <f aca="false">MAX(H26,H27)+1</f>
        <v>46380</v>
      </c>
      <c r="H28" s="48" t="n">
        <f aca="false">G28+F28-1</f>
        <v>46381</v>
      </c>
      <c r="I28" s="23" t="n">
        <f aca="false">MAX(0,MIN(1,(PARÁMETROS!$B$7-G28+1)/(H28-G28+1)))</f>
        <v>0</v>
      </c>
      <c r="J28" s="23" t="n">
        <f aca="false">_xlfn.MAXIFS('AVANCE REAL'!$E$6:$E$405,'AVANCE REAL'!$C$6:$C$405,B28,'AVANCE REAL'!$D$6:$D$405,C28,'AVANCE REAL'!$A$6:$A$405,"&lt;="&amp;PARÁMETROS!$B$7)</f>
        <v>0</v>
      </c>
      <c r="L28" s="49" t="n">
        <f aca="false">MAX(0,MIN(1,(L$5-$G28+1)/($H28-$G28+1)))</f>
        <v>0</v>
      </c>
      <c r="M28" s="49" t="n">
        <f aca="false">MAX(0,MIN(1,(M$5-$G28+1)/($H28-$G28+1)))</f>
        <v>0</v>
      </c>
      <c r="N28" s="49" t="n">
        <f aca="false">MAX(0,MIN(1,(N$5-$G28+1)/($H28-$G28+1)))</f>
        <v>0</v>
      </c>
      <c r="O28" s="49" t="n">
        <f aca="false">MAX(0,MIN(1,(O$5-$G28+1)/($H28-$G28+1)))</f>
        <v>0</v>
      </c>
      <c r="P28" s="49" t="n">
        <f aca="false">MAX(0,MIN(1,(P$5-$G28+1)/($H28-$G28+1)))</f>
        <v>0</v>
      </c>
      <c r="Q28" s="49" t="n">
        <f aca="false">MAX(0,MIN(1,(Q$5-$G28+1)/($H28-$G28+1)))</f>
        <v>0</v>
      </c>
      <c r="R28" s="49" t="n">
        <f aca="false">MAX(0,MIN(1,(R$5-$G28+1)/($H28-$G28+1)))</f>
        <v>0</v>
      </c>
      <c r="S28" s="49" t="n">
        <f aca="false">MAX(0,MIN(1,(S$5-$G28+1)/($H28-$G28+1)))</f>
        <v>0</v>
      </c>
      <c r="T28" s="49" t="n">
        <f aca="false">MAX(0,MIN(1,(T$5-$G28+1)/($H28-$G28+1)))</f>
        <v>0</v>
      </c>
      <c r="U28" s="49" t="n">
        <f aca="false">MAX(0,MIN(1,(U$5-$G28+1)/($H28-$G28+1)))</f>
        <v>0</v>
      </c>
      <c r="V28" s="49" t="n">
        <f aca="false">MAX(0,MIN(1,(V$5-$G28+1)/($H28-$G28+1)))</f>
        <v>0</v>
      </c>
      <c r="W28" s="49" t="n">
        <f aca="false">MAX(0,MIN(1,(W$5-$G28+1)/($H28-$G28+1)))</f>
        <v>1</v>
      </c>
      <c r="X28" s="49" t="n">
        <f aca="false">MAX(0,MIN(1,(X$5-$G28+1)/($H28-$G28+1)))</f>
        <v>1</v>
      </c>
      <c r="Y28" s="49" t="n">
        <f aca="false">MAX(0,MIN(1,(Y$5-$G28+1)/($H28-$G28+1)))</f>
        <v>1</v>
      </c>
      <c r="Z28" s="49" t="n">
        <f aca="false">MAX(0,MIN(1,(Z$5-$G28+1)/($H28-$G28+1)))</f>
        <v>1</v>
      </c>
      <c r="AA28" s="49" t="n">
        <f aca="false">MAX(0,MIN(1,(AA$5-$G28+1)/($H28-$G28+1)))</f>
        <v>1</v>
      </c>
      <c r="AB28" s="49" t="n">
        <f aca="false">MAX(0,MIN(1,(AB$5-$G28+1)/($H28-$G28+1)))</f>
        <v>1</v>
      </c>
      <c r="AC28" s="49" t="n">
        <f aca="false">MAX(0,MIN(1,(AC$5-$G28+1)/($H28-$G28+1)))</f>
        <v>1</v>
      </c>
      <c r="AD28" s="49" t="n">
        <f aca="false">MAX(0,MIN(1,(AD$5-$G28+1)/($H28-$G28+1)))</f>
        <v>1</v>
      </c>
      <c r="AE28" s="49" t="n">
        <f aca="false">MAX(0,MIN(1,(AE$5-$G28+1)/($H28-$G28+1)))</f>
        <v>1</v>
      </c>
      <c r="AF28" s="49" t="n">
        <f aca="false">MAX(0,MIN(1,(AF$5-$G28+1)/($H28-$G28+1)))</f>
        <v>1</v>
      </c>
      <c r="AG28" s="49" t="n">
        <f aca="false">MAX(0,MIN(1,(AG$5-$G28+1)/($H28-$G28+1)))</f>
        <v>1</v>
      </c>
      <c r="AH28" s="49" t="n">
        <f aca="false">MAX(0,MIN(1,(AH$5-$G28+1)/($H28-$G28+1)))</f>
        <v>1</v>
      </c>
      <c r="AI28" s="49" t="n">
        <f aca="false">MAX(0,MIN(1,(AI$5-$G28+1)/($H28-$G28+1)))</f>
        <v>1</v>
      </c>
      <c r="AJ28" s="49" t="n">
        <f aca="false">MAX(0,MIN(1,(AJ$5-$G28+1)/($H28-$G28+1)))</f>
        <v>1</v>
      </c>
      <c r="AK28" s="49" t="n">
        <f aca="false">MAX(0,MIN(1,(AK$5-$G28+1)/($H28-$G28+1)))</f>
        <v>1</v>
      </c>
    </row>
    <row r="29" customFormat="false" ht="15" hidden="false" customHeight="false" outlineLevel="0" collapsed="false">
      <c r="A29" s="25" t="n">
        <v>24</v>
      </c>
      <c r="B29" s="5" t="s">
        <v>231</v>
      </c>
      <c r="C29" s="5" t="s">
        <v>163</v>
      </c>
      <c r="D29" s="40" t="n">
        <f aca="false">INDEX('LISTA DE COMPRAS'!$B$30:$E$35,MATCH(B29,'LISTA DE COMPRAS'!$A$30:$A$35,0),MATCH(C29,'LISTA DE COMPRAS'!$B$29:$E$29,0))</f>
        <v>480</v>
      </c>
      <c r="E29" s="23" t="n">
        <f aca="false">IF($D$30&gt;0,D29/$D$30,0)</f>
        <v>0.00280859725663241</v>
      </c>
      <c r="F29" s="9" t="n">
        <v>7</v>
      </c>
      <c r="G29" s="48" t="n">
        <f aca="false">H28+1</f>
        <v>46382</v>
      </c>
      <c r="H29" s="48" t="n">
        <f aca="false">G29+F29-1</f>
        <v>46388</v>
      </c>
      <c r="I29" s="23" t="n">
        <f aca="false">MAX(0,MIN(1,(PARÁMETROS!$B$7-G29+1)/(H29-G29+1)))</f>
        <v>0</v>
      </c>
      <c r="J29" s="23" t="n">
        <f aca="false">_xlfn.MAXIFS('AVANCE REAL'!$E$6:$E$405,'AVANCE REAL'!$C$6:$C$405,B29,'AVANCE REAL'!$D$6:$D$405,C29,'AVANCE REAL'!$A$6:$A$405,"&lt;="&amp;PARÁMETROS!$B$7)</f>
        <v>0</v>
      </c>
      <c r="L29" s="49" t="n">
        <f aca="false">MAX(0,MIN(1,(L$5-$G29+1)/($H29-$G29+1)))</f>
        <v>0</v>
      </c>
      <c r="M29" s="49" t="n">
        <f aca="false">MAX(0,MIN(1,(M$5-$G29+1)/($H29-$G29+1)))</f>
        <v>0</v>
      </c>
      <c r="N29" s="49" t="n">
        <f aca="false">MAX(0,MIN(1,(N$5-$G29+1)/($H29-$G29+1)))</f>
        <v>0</v>
      </c>
      <c r="O29" s="49" t="n">
        <f aca="false">MAX(0,MIN(1,(O$5-$G29+1)/($H29-$G29+1)))</f>
        <v>0</v>
      </c>
      <c r="P29" s="49" t="n">
        <f aca="false">MAX(0,MIN(1,(P$5-$G29+1)/($H29-$G29+1)))</f>
        <v>0</v>
      </c>
      <c r="Q29" s="49" t="n">
        <f aca="false">MAX(0,MIN(1,(Q$5-$G29+1)/($H29-$G29+1)))</f>
        <v>0</v>
      </c>
      <c r="R29" s="49" t="n">
        <f aca="false">MAX(0,MIN(1,(R$5-$G29+1)/($H29-$G29+1)))</f>
        <v>0</v>
      </c>
      <c r="S29" s="49" t="n">
        <f aca="false">MAX(0,MIN(1,(S$5-$G29+1)/($H29-$G29+1)))</f>
        <v>0</v>
      </c>
      <c r="T29" s="49" t="n">
        <f aca="false">MAX(0,MIN(1,(T$5-$G29+1)/($H29-$G29+1)))</f>
        <v>0</v>
      </c>
      <c r="U29" s="49" t="n">
        <f aca="false">MAX(0,MIN(1,(U$5-$G29+1)/($H29-$G29+1)))</f>
        <v>0</v>
      </c>
      <c r="V29" s="49" t="n">
        <f aca="false">MAX(0,MIN(1,(V$5-$G29+1)/($H29-$G29+1)))</f>
        <v>0</v>
      </c>
      <c r="W29" s="49" t="n">
        <f aca="false">MAX(0,MIN(1,(W$5-$G29+1)/($H29-$G29+1)))</f>
        <v>0.285714285714286</v>
      </c>
      <c r="X29" s="49" t="n">
        <f aca="false">MAX(0,MIN(1,(X$5-$G29+1)/($H29-$G29+1)))</f>
        <v>1</v>
      </c>
      <c r="Y29" s="49" t="n">
        <f aca="false">MAX(0,MIN(1,(Y$5-$G29+1)/($H29-$G29+1)))</f>
        <v>1</v>
      </c>
      <c r="Z29" s="49" t="n">
        <f aca="false">MAX(0,MIN(1,(Z$5-$G29+1)/($H29-$G29+1)))</f>
        <v>1</v>
      </c>
      <c r="AA29" s="49" t="n">
        <f aca="false">MAX(0,MIN(1,(AA$5-$G29+1)/($H29-$G29+1)))</f>
        <v>1</v>
      </c>
      <c r="AB29" s="49" t="n">
        <f aca="false">MAX(0,MIN(1,(AB$5-$G29+1)/($H29-$G29+1)))</f>
        <v>1</v>
      </c>
      <c r="AC29" s="49" t="n">
        <f aca="false">MAX(0,MIN(1,(AC$5-$G29+1)/($H29-$G29+1)))</f>
        <v>1</v>
      </c>
      <c r="AD29" s="49" t="n">
        <f aca="false">MAX(0,MIN(1,(AD$5-$G29+1)/($H29-$G29+1)))</f>
        <v>1</v>
      </c>
      <c r="AE29" s="49" t="n">
        <f aca="false">MAX(0,MIN(1,(AE$5-$G29+1)/($H29-$G29+1)))</f>
        <v>1</v>
      </c>
      <c r="AF29" s="49" t="n">
        <f aca="false">MAX(0,MIN(1,(AF$5-$G29+1)/($H29-$G29+1)))</f>
        <v>1</v>
      </c>
      <c r="AG29" s="49" t="n">
        <f aca="false">MAX(0,MIN(1,(AG$5-$G29+1)/($H29-$G29+1)))</f>
        <v>1</v>
      </c>
      <c r="AH29" s="49" t="n">
        <f aca="false">MAX(0,MIN(1,(AH$5-$G29+1)/($H29-$G29+1)))</f>
        <v>1</v>
      </c>
      <c r="AI29" s="49" t="n">
        <f aca="false">MAX(0,MIN(1,(AI$5-$G29+1)/($H29-$G29+1)))</f>
        <v>1</v>
      </c>
      <c r="AJ29" s="49" t="n">
        <f aca="false">MAX(0,MIN(1,(AJ$5-$G29+1)/($H29-$G29+1)))</f>
        <v>1</v>
      </c>
      <c r="AK29" s="49" t="n">
        <f aca="false">MAX(0,MIN(1,(AK$5-$G29+1)/($H29-$G29+1)))</f>
        <v>1</v>
      </c>
    </row>
    <row r="30" customFormat="false" ht="15" hidden="false" customHeight="false" outlineLevel="0" collapsed="false">
      <c r="C30" s="26" t="s">
        <v>283</v>
      </c>
      <c r="D30" s="45" t="n">
        <f aca="false">SUM(D6:D29)</f>
        <v>170903.82</v>
      </c>
      <c r="E30" s="38" t="n">
        <f aca="false">SUM(E6:E29)</f>
        <v>1</v>
      </c>
      <c r="G30" s="50" t="n">
        <f aca="false">MIN(G6:G29)</f>
        <v>46300</v>
      </c>
      <c r="H30" s="50" t="n">
        <f aca="false">MAX(H6:H29)</f>
        <v>46388</v>
      </c>
      <c r="I30" s="38" t="n">
        <f aca="false">SUMPRODUCT($E$6:$E$29,I6:I29)</f>
        <v>0.00819575010084619</v>
      </c>
      <c r="J30" s="38" t="n">
        <f aca="false">SUMPRODUCT($E$6:$E$29,J6:J29)</f>
        <v>0</v>
      </c>
    </row>
    <row r="32" customFormat="false" ht="15" hidden="false" customHeight="false" outlineLevel="0" collapsed="false">
      <c r="L32" s="3" t="s">
        <v>306</v>
      </c>
    </row>
    <row r="33" customFormat="false" ht="15" hidden="false" customHeight="false" outlineLevel="0" collapsed="false">
      <c r="B33" s="39" t="str">
        <f aca="false">B6</f>
        <v>CIMENTACIÓN</v>
      </c>
      <c r="C33" s="39" t="str">
        <f aca="false">C6</f>
        <v>Acero</v>
      </c>
      <c r="L33" s="49" t="n">
        <f aca="false">_xlfn.MAXIFS('AVANCE REAL'!$E$6:$E$405,'AVANCE REAL'!$C$6:$C$405,$B33,'AVANCE REAL'!$D$6:$D$405,$C33,'AVANCE REAL'!$A$6:$A$405,"&lt;="&amp;MIN(L$5,PARÁMETROS!$B$7))</f>
        <v>0</v>
      </c>
      <c r="M33" s="49" t="n">
        <f aca="false">_xlfn.MAXIFS('AVANCE REAL'!$E$6:$E$405,'AVANCE REAL'!$C$6:$C$405,$B33,'AVANCE REAL'!$D$6:$D$405,$C33,'AVANCE REAL'!$A$6:$A$405,"&lt;="&amp;MIN(M$5,PARÁMETROS!$B$7))</f>
        <v>0</v>
      </c>
      <c r="N33" s="49" t="n">
        <f aca="false">_xlfn.MAXIFS('AVANCE REAL'!$E$6:$E$405,'AVANCE REAL'!$C$6:$C$405,$B33,'AVANCE REAL'!$D$6:$D$405,$C33,'AVANCE REAL'!$A$6:$A$405,"&lt;="&amp;MIN(N$5,PARÁMETROS!$B$7))</f>
        <v>0</v>
      </c>
      <c r="O33" s="49" t="n">
        <f aca="false">_xlfn.MAXIFS('AVANCE REAL'!$E$6:$E$405,'AVANCE REAL'!$C$6:$C$405,$B33,'AVANCE REAL'!$D$6:$D$405,$C33,'AVANCE REAL'!$A$6:$A$405,"&lt;="&amp;MIN(O$5,PARÁMETROS!$B$7))</f>
        <v>0</v>
      </c>
      <c r="P33" s="49" t="n">
        <f aca="false">_xlfn.MAXIFS('AVANCE REAL'!$E$6:$E$405,'AVANCE REAL'!$C$6:$C$405,$B33,'AVANCE REAL'!$D$6:$D$405,$C33,'AVANCE REAL'!$A$6:$A$405,"&lt;="&amp;MIN(P$5,PARÁMETROS!$B$7))</f>
        <v>0</v>
      </c>
      <c r="Q33" s="49" t="n">
        <f aca="false">_xlfn.MAXIFS('AVANCE REAL'!$E$6:$E$405,'AVANCE REAL'!$C$6:$C$405,$B33,'AVANCE REAL'!$D$6:$D$405,$C33,'AVANCE REAL'!$A$6:$A$405,"&lt;="&amp;MIN(Q$5,PARÁMETROS!$B$7))</f>
        <v>0</v>
      </c>
      <c r="R33" s="49" t="n">
        <f aca="false">_xlfn.MAXIFS('AVANCE REAL'!$E$6:$E$405,'AVANCE REAL'!$C$6:$C$405,$B33,'AVANCE REAL'!$D$6:$D$405,$C33,'AVANCE REAL'!$A$6:$A$405,"&lt;="&amp;MIN(R$5,PARÁMETROS!$B$7))</f>
        <v>0</v>
      </c>
      <c r="S33" s="49" t="n">
        <f aca="false">_xlfn.MAXIFS('AVANCE REAL'!$E$6:$E$405,'AVANCE REAL'!$C$6:$C$405,$B33,'AVANCE REAL'!$D$6:$D$405,$C33,'AVANCE REAL'!$A$6:$A$405,"&lt;="&amp;MIN(S$5,PARÁMETROS!$B$7))</f>
        <v>0</v>
      </c>
      <c r="T33" s="49" t="n">
        <f aca="false">_xlfn.MAXIFS('AVANCE REAL'!$E$6:$E$405,'AVANCE REAL'!$C$6:$C$405,$B33,'AVANCE REAL'!$D$6:$D$405,$C33,'AVANCE REAL'!$A$6:$A$405,"&lt;="&amp;MIN(T$5,PARÁMETROS!$B$7))</f>
        <v>0</v>
      </c>
      <c r="U33" s="49" t="n">
        <f aca="false">_xlfn.MAXIFS('AVANCE REAL'!$E$6:$E$405,'AVANCE REAL'!$C$6:$C$405,$B33,'AVANCE REAL'!$D$6:$D$405,$C33,'AVANCE REAL'!$A$6:$A$405,"&lt;="&amp;MIN(U$5,PARÁMETROS!$B$7))</f>
        <v>0</v>
      </c>
      <c r="V33" s="49" t="n">
        <f aca="false">_xlfn.MAXIFS('AVANCE REAL'!$E$6:$E$405,'AVANCE REAL'!$C$6:$C$405,$B33,'AVANCE REAL'!$D$6:$D$405,$C33,'AVANCE REAL'!$A$6:$A$405,"&lt;="&amp;MIN(V$5,PARÁMETROS!$B$7))</f>
        <v>0</v>
      </c>
      <c r="W33" s="49" t="n">
        <f aca="false">_xlfn.MAXIFS('AVANCE REAL'!$E$6:$E$405,'AVANCE REAL'!$C$6:$C$405,$B33,'AVANCE REAL'!$D$6:$D$405,$C33,'AVANCE REAL'!$A$6:$A$405,"&lt;="&amp;MIN(W$5,PARÁMETROS!$B$7))</f>
        <v>0</v>
      </c>
      <c r="X33" s="49" t="n">
        <f aca="false">_xlfn.MAXIFS('AVANCE REAL'!$E$6:$E$405,'AVANCE REAL'!$C$6:$C$405,$B33,'AVANCE REAL'!$D$6:$D$405,$C33,'AVANCE REAL'!$A$6:$A$405,"&lt;="&amp;MIN(X$5,PARÁMETROS!$B$7))</f>
        <v>0</v>
      </c>
      <c r="Y33" s="49" t="n">
        <f aca="false">_xlfn.MAXIFS('AVANCE REAL'!$E$6:$E$405,'AVANCE REAL'!$C$6:$C$405,$B33,'AVANCE REAL'!$D$6:$D$405,$C33,'AVANCE REAL'!$A$6:$A$405,"&lt;="&amp;MIN(Y$5,PARÁMETROS!$B$7))</f>
        <v>0</v>
      </c>
      <c r="Z33" s="49" t="n">
        <f aca="false">_xlfn.MAXIFS('AVANCE REAL'!$E$6:$E$405,'AVANCE REAL'!$C$6:$C$405,$B33,'AVANCE REAL'!$D$6:$D$405,$C33,'AVANCE REAL'!$A$6:$A$405,"&lt;="&amp;MIN(Z$5,PARÁMETROS!$B$7))</f>
        <v>0</v>
      </c>
      <c r="AA33" s="49" t="n">
        <f aca="false">_xlfn.MAXIFS('AVANCE REAL'!$E$6:$E$405,'AVANCE REAL'!$C$6:$C$405,$B33,'AVANCE REAL'!$D$6:$D$405,$C33,'AVANCE REAL'!$A$6:$A$405,"&lt;="&amp;MIN(AA$5,PARÁMETROS!$B$7))</f>
        <v>0</v>
      </c>
      <c r="AB33" s="49" t="n">
        <f aca="false">_xlfn.MAXIFS('AVANCE REAL'!$E$6:$E$405,'AVANCE REAL'!$C$6:$C$405,$B33,'AVANCE REAL'!$D$6:$D$405,$C33,'AVANCE REAL'!$A$6:$A$405,"&lt;="&amp;MIN(AB$5,PARÁMETROS!$B$7))</f>
        <v>0</v>
      </c>
      <c r="AC33" s="49" t="n">
        <f aca="false">_xlfn.MAXIFS('AVANCE REAL'!$E$6:$E$405,'AVANCE REAL'!$C$6:$C$405,$B33,'AVANCE REAL'!$D$6:$D$405,$C33,'AVANCE REAL'!$A$6:$A$405,"&lt;="&amp;MIN(AC$5,PARÁMETROS!$B$7))</f>
        <v>0</v>
      </c>
      <c r="AD33" s="49" t="n">
        <f aca="false">_xlfn.MAXIFS('AVANCE REAL'!$E$6:$E$405,'AVANCE REAL'!$C$6:$C$405,$B33,'AVANCE REAL'!$D$6:$D$405,$C33,'AVANCE REAL'!$A$6:$A$405,"&lt;="&amp;MIN(AD$5,PARÁMETROS!$B$7))</f>
        <v>0</v>
      </c>
      <c r="AE33" s="49" t="n">
        <f aca="false">_xlfn.MAXIFS('AVANCE REAL'!$E$6:$E$405,'AVANCE REAL'!$C$6:$C$405,$B33,'AVANCE REAL'!$D$6:$D$405,$C33,'AVANCE REAL'!$A$6:$A$405,"&lt;="&amp;MIN(AE$5,PARÁMETROS!$B$7))</f>
        <v>0</v>
      </c>
      <c r="AF33" s="49" t="n">
        <f aca="false">_xlfn.MAXIFS('AVANCE REAL'!$E$6:$E$405,'AVANCE REAL'!$C$6:$C$405,$B33,'AVANCE REAL'!$D$6:$D$405,$C33,'AVANCE REAL'!$A$6:$A$405,"&lt;="&amp;MIN(AF$5,PARÁMETROS!$B$7))</f>
        <v>0</v>
      </c>
      <c r="AG33" s="49" t="n">
        <f aca="false">_xlfn.MAXIFS('AVANCE REAL'!$E$6:$E$405,'AVANCE REAL'!$C$6:$C$405,$B33,'AVANCE REAL'!$D$6:$D$405,$C33,'AVANCE REAL'!$A$6:$A$405,"&lt;="&amp;MIN(AG$5,PARÁMETROS!$B$7))</f>
        <v>0</v>
      </c>
      <c r="AH33" s="49" t="n">
        <f aca="false">_xlfn.MAXIFS('AVANCE REAL'!$E$6:$E$405,'AVANCE REAL'!$C$6:$C$405,$B33,'AVANCE REAL'!$D$6:$D$405,$C33,'AVANCE REAL'!$A$6:$A$405,"&lt;="&amp;MIN(AH$5,PARÁMETROS!$B$7))</f>
        <v>0</v>
      </c>
      <c r="AI33" s="49" t="n">
        <f aca="false">_xlfn.MAXIFS('AVANCE REAL'!$E$6:$E$405,'AVANCE REAL'!$C$6:$C$405,$B33,'AVANCE REAL'!$D$6:$D$405,$C33,'AVANCE REAL'!$A$6:$A$405,"&lt;="&amp;MIN(AI$5,PARÁMETROS!$B$7))</f>
        <v>0</v>
      </c>
      <c r="AJ33" s="49" t="n">
        <f aca="false">_xlfn.MAXIFS('AVANCE REAL'!$E$6:$E$405,'AVANCE REAL'!$C$6:$C$405,$B33,'AVANCE REAL'!$D$6:$D$405,$C33,'AVANCE REAL'!$A$6:$A$405,"&lt;="&amp;MIN(AJ$5,PARÁMETROS!$B$7))</f>
        <v>0</v>
      </c>
      <c r="AK33" s="49" t="n">
        <f aca="false">_xlfn.MAXIFS('AVANCE REAL'!$E$6:$E$405,'AVANCE REAL'!$C$6:$C$405,$B33,'AVANCE REAL'!$D$6:$D$405,$C33,'AVANCE REAL'!$A$6:$A$405,"&lt;="&amp;MIN(AK$5,PARÁMETROS!$B$7))</f>
        <v>0</v>
      </c>
    </row>
    <row r="34" customFormat="false" ht="15" hidden="false" customHeight="false" outlineLevel="0" collapsed="false">
      <c r="B34" s="39" t="str">
        <f aca="false">B7</f>
        <v>CIMENTACIÓN</v>
      </c>
      <c r="C34" s="39" t="str">
        <f aca="false">C7</f>
        <v>Encofrado</v>
      </c>
      <c r="L34" s="49" t="n">
        <f aca="false">_xlfn.MAXIFS('AVANCE REAL'!$E$6:$E$405,'AVANCE REAL'!$C$6:$C$405,$B34,'AVANCE REAL'!$D$6:$D$405,$C34,'AVANCE REAL'!$A$6:$A$405,"&lt;="&amp;MIN(L$5,PARÁMETROS!$B$7))</f>
        <v>0</v>
      </c>
      <c r="M34" s="49" t="n">
        <f aca="false">_xlfn.MAXIFS('AVANCE REAL'!$E$6:$E$405,'AVANCE REAL'!$C$6:$C$405,$B34,'AVANCE REAL'!$D$6:$D$405,$C34,'AVANCE REAL'!$A$6:$A$405,"&lt;="&amp;MIN(M$5,PARÁMETROS!$B$7))</f>
        <v>0</v>
      </c>
      <c r="N34" s="49" t="n">
        <f aca="false">_xlfn.MAXIFS('AVANCE REAL'!$E$6:$E$405,'AVANCE REAL'!$C$6:$C$405,$B34,'AVANCE REAL'!$D$6:$D$405,$C34,'AVANCE REAL'!$A$6:$A$405,"&lt;="&amp;MIN(N$5,PARÁMETROS!$B$7))</f>
        <v>0</v>
      </c>
      <c r="O34" s="49" t="n">
        <f aca="false">_xlfn.MAXIFS('AVANCE REAL'!$E$6:$E$405,'AVANCE REAL'!$C$6:$C$405,$B34,'AVANCE REAL'!$D$6:$D$405,$C34,'AVANCE REAL'!$A$6:$A$405,"&lt;="&amp;MIN(O$5,PARÁMETROS!$B$7))</f>
        <v>0</v>
      </c>
      <c r="P34" s="49" t="n">
        <f aca="false">_xlfn.MAXIFS('AVANCE REAL'!$E$6:$E$405,'AVANCE REAL'!$C$6:$C$405,$B34,'AVANCE REAL'!$D$6:$D$405,$C34,'AVANCE REAL'!$A$6:$A$405,"&lt;="&amp;MIN(P$5,PARÁMETROS!$B$7))</f>
        <v>0</v>
      </c>
      <c r="Q34" s="49" t="n">
        <f aca="false">_xlfn.MAXIFS('AVANCE REAL'!$E$6:$E$405,'AVANCE REAL'!$C$6:$C$405,$B34,'AVANCE REAL'!$D$6:$D$405,$C34,'AVANCE REAL'!$A$6:$A$405,"&lt;="&amp;MIN(Q$5,PARÁMETROS!$B$7))</f>
        <v>0</v>
      </c>
      <c r="R34" s="49" t="n">
        <f aca="false">_xlfn.MAXIFS('AVANCE REAL'!$E$6:$E$405,'AVANCE REAL'!$C$6:$C$405,$B34,'AVANCE REAL'!$D$6:$D$405,$C34,'AVANCE REAL'!$A$6:$A$405,"&lt;="&amp;MIN(R$5,PARÁMETROS!$B$7))</f>
        <v>0</v>
      </c>
      <c r="S34" s="49" t="n">
        <f aca="false">_xlfn.MAXIFS('AVANCE REAL'!$E$6:$E$405,'AVANCE REAL'!$C$6:$C$405,$B34,'AVANCE REAL'!$D$6:$D$405,$C34,'AVANCE REAL'!$A$6:$A$405,"&lt;="&amp;MIN(S$5,PARÁMETROS!$B$7))</f>
        <v>0</v>
      </c>
      <c r="T34" s="49" t="n">
        <f aca="false">_xlfn.MAXIFS('AVANCE REAL'!$E$6:$E$405,'AVANCE REAL'!$C$6:$C$405,$B34,'AVANCE REAL'!$D$6:$D$405,$C34,'AVANCE REAL'!$A$6:$A$405,"&lt;="&amp;MIN(T$5,PARÁMETROS!$B$7))</f>
        <v>0</v>
      </c>
      <c r="U34" s="49" t="n">
        <f aca="false">_xlfn.MAXIFS('AVANCE REAL'!$E$6:$E$405,'AVANCE REAL'!$C$6:$C$405,$B34,'AVANCE REAL'!$D$6:$D$405,$C34,'AVANCE REAL'!$A$6:$A$405,"&lt;="&amp;MIN(U$5,PARÁMETROS!$B$7))</f>
        <v>0</v>
      </c>
      <c r="V34" s="49" t="n">
        <f aca="false">_xlfn.MAXIFS('AVANCE REAL'!$E$6:$E$405,'AVANCE REAL'!$C$6:$C$405,$B34,'AVANCE REAL'!$D$6:$D$405,$C34,'AVANCE REAL'!$A$6:$A$405,"&lt;="&amp;MIN(V$5,PARÁMETROS!$B$7))</f>
        <v>0</v>
      </c>
      <c r="W34" s="49" t="n">
        <f aca="false">_xlfn.MAXIFS('AVANCE REAL'!$E$6:$E$405,'AVANCE REAL'!$C$6:$C$405,$B34,'AVANCE REAL'!$D$6:$D$405,$C34,'AVANCE REAL'!$A$6:$A$405,"&lt;="&amp;MIN(W$5,PARÁMETROS!$B$7))</f>
        <v>0</v>
      </c>
      <c r="X34" s="49" t="n">
        <f aca="false">_xlfn.MAXIFS('AVANCE REAL'!$E$6:$E$405,'AVANCE REAL'!$C$6:$C$405,$B34,'AVANCE REAL'!$D$6:$D$405,$C34,'AVANCE REAL'!$A$6:$A$405,"&lt;="&amp;MIN(X$5,PARÁMETROS!$B$7))</f>
        <v>0</v>
      </c>
      <c r="Y34" s="49" t="n">
        <f aca="false">_xlfn.MAXIFS('AVANCE REAL'!$E$6:$E$405,'AVANCE REAL'!$C$6:$C$405,$B34,'AVANCE REAL'!$D$6:$D$405,$C34,'AVANCE REAL'!$A$6:$A$405,"&lt;="&amp;MIN(Y$5,PARÁMETROS!$B$7))</f>
        <v>0</v>
      </c>
      <c r="Z34" s="49" t="n">
        <f aca="false">_xlfn.MAXIFS('AVANCE REAL'!$E$6:$E$405,'AVANCE REAL'!$C$6:$C$405,$B34,'AVANCE REAL'!$D$6:$D$405,$C34,'AVANCE REAL'!$A$6:$A$405,"&lt;="&amp;MIN(Z$5,PARÁMETROS!$B$7))</f>
        <v>0</v>
      </c>
      <c r="AA34" s="49" t="n">
        <f aca="false">_xlfn.MAXIFS('AVANCE REAL'!$E$6:$E$405,'AVANCE REAL'!$C$6:$C$405,$B34,'AVANCE REAL'!$D$6:$D$405,$C34,'AVANCE REAL'!$A$6:$A$405,"&lt;="&amp;MIN(AA$5,PARÁMETROS!$B$7))</f>
        <v>0</v>
      </c>
      <c r="AB34" s="49" t="n">
        <f aca="false">_xlfn.MAXIFS('AVANCE REAL'!$E$6:$E$405,'AVANCE REAL'!$C$6:$C$405,$B34,'AVANCE REAL'!$D$6:$D$405,$C34,'AVANCE REAL'!$A$6:$A$405,"&lt;="&amp;MIN(AB$5,PARÁMETROS!$B$7))</f>
        <v>0</v>
      </c>
      <c r="AC34" s="49" t="n">
        <f aca="false">_xlfn.MAXIFS('AVANCE REAL'!$E$6:$E$405,'AVANCE REAL'!$C$6:$C$405,$B34,'AVANCE REAL'!$D$6:$D$405,$C34,'AVANCE REAL'!$A$6:$A$405,"&lt;="&amp;MIN(AC$5,PARÁMETROS!$B$7))</f>
        <v>0</v>
      </c>
      <c r="AD34" s="49" t="n">
        <f aca="false">_xlfn.MAXIFS('AVANCE REAL'!$E$6:$E$405,'AVANCE REAL'!$C$6:$C$405,$B34,'AVANCE REAL'!$D$6:$D$405,$C34,'AVANCE REAL'!$A$6:$A$405,"&lt;="&amp;MIN(AD$5,PARÁMETROS!$B$7))</f>
        <v>0</v>
      </c>
      <c r="AE34" s="49" t="n">
        <f aca="false">_xlfn.MAXIFS('AVANCE REAL'!$E$6:$E$405,'AVANCE REAL'!$C$6:$C$405,$B34,'AVANCE REAL'!$D$6:$D$405,$C34,'AVANCE REAL'!$A$6:$A$405,"&lt;="&amp;MIN(AE$5,PARÁMETROS!$B$7))</f>
        <v>0</v>
      </c>
      <c r="AF34" s="49" t="n">
        <f aca="false">_xlfn.MAXIFS('AVANCE REAL'!$E$6:$E$405,'AVANCE REAL'!$C$6:$C$405,$B34,'AVANCE REAL'!$D$6:$D$405,$C34,'AVANCE REAL'!$A$6:$A$405,"&lt;="&amp;MIN(AF$5,PARÁMETROS!$B$7))</f>
        <v>0</v>
      </c>
      <c r="AG34" s="49" t="n">
        <f aca="false">_xlfn.MAXIFS('AVANCE REAL'!$E$6:$E$405,'AVANCE REAL'!$C$6:$C$405,$B34,'AVANCE REAL'!$D$6:$D$405,$C34,'AVANCE REAL'!$A$6:$A$405,"&lt;="&amp;MIN(AG$5,PARÁMETROS!$B$7))</f>
        <v>0</v>
      </c>
      <c r="AH34" s="49" t="n">
        <f aca="false">_xlfn.MAXIFS('AVANCE REAL'!$E$6:$E$405,'AVANCE REAL'!$C$6:$C$405,$B34,'AVANCE REAL'!$D$6:$D$405,$C34,'AVANCE REAL'!$A$6:$A$405,"&lt;="&amp;MIN(AH$5,PARÁMETROS!$B$7))</f>
        <v>0</v>
      </c>
      <c r="AI34" s="49" t="n">
        <f aca="false">_xlfn.MAXIFS('AVANCE REAL'!$E$6:$E$405,'AVANCE REAL'!$C$6:$C$405,$B34,'AVANCE REAL'!$D$6:$D$405,$C34,'AVANCE REAL'!$A$6:$A$405,"&lt;="&amp;MIN(AI$5,PARÁMETROS!$B$7))</f>
        <v>0</v>
      </c>
      <c r="AJ34" s="49" t="n">
        <f aca="false">_xlfn.MAXIFS('AVANCE REAL'!$E$6:$E$405,'AVANCE REAL'!$C$6:$C$405,$B34,'AVANCE REAL'!$D$6:$D$405,$C34,'AVANCE REAL'!$A$6:$A$405,"&lt;="&amp;MIN(AJ$5,PARÁMETROS!$B$7))</f>
        <v>0</v>
      </c>
      <c r="AK34" s="49" t="n">
        <f aca="false">_xlfn.MAXIFS('AVANCE REAL'!$E$6:$E$405,'AVANCE REAL'!$C$6:$C$405,$B34,'AVANCE REAL'!$D$6:$D$405,$C34,'AVANCE REAL'!$A$6:$A$405,"&lt;="&amp;MIN(AK$5,PARÁMETROS!$B$7))</f>
        <v>0</v>
      </c>
    </row>
    <row r="35" customFormat="false" ht="15" hidden="false" customHeight="false" outlineLevel="0" collapsed="false">
      <c r="B35" s="39" t="str">
        <f aca="false">B8</f>
        <v>CIMENTACIÓN</v>
      </c>
      <c r="C35" s="39" t="str">
        <f aca="false">C8</f>
        <v>Concreto</v>
      </c>
      <c r="L35" s="49" t="n">
        <f aca="false">_xlfn.MAXIFS('AVANCE REAL'!$E$6:$E$405,'AVANCE REAL'!$C$6:$C$405,$B35,'AVANCE REAL'!$D$6:$D$405,$C35,'AVANCE REAL'!$A$6:$A$405,"&lt;="&amp;MIN(L$5,PARÁMETROS!$B$7))</f>
        <v>0</v>
      </c>
      <c r="M35" s="49" t="n">
        <f aca="false">_xlfn.MAXIFS('AVANCE REAL'!$E$6:$E$405,'AVANCE REAL'!$C$6:$C$405,$B35,'AVANCE REAL'!$D$6:$D$405,$C35,'AVANCE REAL'!$A$6:$A$405,"&lt;="&amp;MIN(M$5,PARÁMETROS!$B$7))</f>
        <v>0</v>
      </c>
      <c r="N35" s="49" t="n">
        <f aca="false">_xlfn.MAXIFS('AVANCE REAL'!$E$6:$E$405,'AVANCE REAL'!$C$6:$C$405,$B35,'AVANCE REAL'!$D$6:$D$405,$C35,'AVANCE REAL'!$A$6:$A$405,"&lt;="&amp;MIN(N$5,PARÁMETROS!$B$7))</f>
        <v>0</v>
      </c>
      <c r="O35" s="49" t="n">
        <f aca="false">_xlfn.MAXIFS('AVANCE REAL'!$E$6:$E$405,'AVANCE REAL'!$C$6:$C$405,$B35,'AVANCE REAL'!$D$6:$D$405,$C35,'AVANCE REAL'!$A$6:$A$405,"&lt;="&amp;MIN(O$5,PARÁMETROS!$B$7))</f>
        <v>0</v>
      </c>
      <c r="P35" s="49" t="n">
        <f aca="false">_xlfn.MAXIFS('AVANCE REAL'!$E$6:$E$405,'AVANCE REAL'!$C$6:$C$405,$B35,'AVANCE REAL'!$D$6:$D$405,$C35,'AVANCE REAL'!$A$6:$A$405,"&lt;="&amp;MIN(P$5,PARÁMETROS!$B$7))</f>
        <v>0</v>
      </c>
      <c r="Q35" s="49" t="n">
        <f aca="false">_xlfn.MAXIFS('AVANCE REAL'!$E$6:$E$405,'AVANCE REAL'!$C$6:$C$405,$B35,'AVANCE REAL'!$D$6:$D$405,$C35,'AVANCE REAL'!$A$6:$A$405,"&lt;="&amp;MIN(Q$5,PARÁMETROS!$B$7))</f>
        <v>0</v>
      </c>
      <c r="R35" s="49" t="n">
        <f aca="false">_xlfn.MAXIFS('AVANCE REAL'!$E$6:$E$405,'AVANCE REAL'!$C$6:$C$405,$B35,'AVANCE REAL'!$D$6:$D$405,$C35,'AVANCE REAL'!$A$6:$A$405,"&lt;="&amp;MIN(R$5,PARÁMETROS!$B$7))</f>
        <v>0</v>
      </c>
      <c r="S35" s="49" t="n">
        <f aca="false">_xlfn.MAXIFS('AVANCE REAL'!$E$6:$E$405,'AVANCE REAL'!$C$6:$C$405,$B35,'AVANCE REAL'!$D$6:$D$405,$C35,'AVANCE REAL'!$A$6:$A$405,"&lt;="&amp;MIN(S$5,PARÁMETROS!$B$7))</f>
        <v>0</v>
      </c>
      <c r="T35" s="49" t="n">
        <f aca="false">_xlfn.MAXIFS('AVANCE REAL'!$E$6:$E$405,'AVANCE REAL'!$C$6:$C$405,$B35,'AVANCE REAL'!$D$6:$D$405,$C35,'AVANCE REAL'!$A$6:$A$405,"&lt;="&amp;MIN(T$5,PARÁMETROS!$B$7))</f>
        <v>0</v>
      </c>
      <c r="U35" s="49" t="n">
        <f aca="false">_xlfn.MAXIFS('AVANCE REAL'!$E$6:$E$405,'AVANCE REAL'!$C$6:$C$405,$B35,'AVANCE REAL'!$D$6:$D$405,$C35,'AVANCE REAL'!$A$6:$A$405,"&lt;="&amp;MIN(U$5,PARÁMETROS!$B$7))</f>
        <v>0</v>
      </c>
      <c r="V35" s="49" t="n">
        <f aca="false">_xlfn.MAXIFS('AVANCE REAL'!$E$6:$E$405,'AVANCE REAL'!$C$6:$C$405,$B35,'AVANCE REAL'!$D$6:$D$405,$C35,'AVANCE REAL'!$A$6:$A$405,"&lt;="&amp;MIN(V$5,PARÁMETROS!$B$7))</f>
        <v>0</v>
      </c>
      <c r="W35" s="49" t="n">
        <f aca="false">_xlfn.MAXIFS('AVANCE REAL'!$E$6:$E$405,'AVANCE REAL'!$C$6:$C$405,$B35,'AVANCE REAL'!$D$6:$D$405,$C35,'AVANCE REAL'!$A$6:$A$405,"&lt;="&amp;MIN(W$5,PARÁMETROS!$B$7))</f>
        <v>0</v>
      </c>
      <c r="X35" s="49" t="n">
        <f aca="false">_xlfn.MAXIFS('AVANCE REAL'!$E$6:$E$405,'AVANCE REAL'!$C$6:$C$405,$B35,'AVANCE REAL'!$D$6:$D$405,$C35,'AVANCE REAL'!$A$6:$A$405,"&lt;="&amp;MIN(X$5,PARÁMETROS!$B$7))</f>
        <v>0</v>
      </c>
      <c r="Y35" s="49" t="n">
        <f aca="false">_xlfn.MAXIFS('AVANCE REAL'!$E$6:$E$405,'AVANCE REAL'!$C$6:$C$405,$B35,'AVANCE REAL'!$D$6:$D$405,$C35,'AVANCE REAL'!$A$6:$A$405,"&lt;="&amp;MIN(Y$5,PARÁMETROS!$B$7))</f>
        <v>0</v>
      </c>
      <c r="Z35" s="49" t="n">
        <f aca="false">_xlfn.MAXIFS('AVANCE REAL'!$E$6:$E$405,'AVANCE REAL'!$C$6:$C$405,$B35,'AVANCE REAL'!$D$6:$D$405,$C35,'AVANCE REAL'!$A$6:$A$405,"&lt;="&amp;MIN(Z$5,PARÁMETROS!$B$7))</f>
        <v>0</v>
      </c>
      <c r="AA35" s="49" t="n">
        <f aca="false">_xlfn.MAXIFS('AVANCE REAL'!$E$6:$E$405,'AVANCE REAL'!$C$6:$C$405,$B35,'AVANCE REAL'!$D$6:$D$405,$C35,'AVANCE REAL'!$A$6:$A$405,"&lt;="&amp;MIN(AA$5,PARÁMETROS!$B$7))</f>
        <v>0</v>
      </c>
      <c r="AB35" s="49" t="n">
        <f aca="false">_xlfn.MAXIFS('AVANCE REAL'!$E$6:$E$405,'AVANCE REAL'!$C$6:$C$405,$B35,'AVANCE REAL'!$D$6:$D$405,$C35,'AVANCE REAL'!$A$6:$A$405,"&lt;="&amp;MIN(AB$5,PARÁMETROS!$B$7))</f>
        <v>0</v>
      </c>
      <c r="AC35" s="49" t="n">
        <f aca="false">_xlfn.MAXIFS('AVANCE REAL'!$E$6:$E$405,'AVANCE REAL'!$C$6:$C$405,$B35,'AVANCE REAL'!$D$6:$D$405,$C35,'AVANCE REAL'!$A$6:$A$405,"&lt;="&amp;MIN(AC$5,PARÁMETROS!$B$7))</f>
        <v>0</v>
      </c>
      <c r="AD35" s="49" t="n">
        <f aca="false">_xlfn.MAXIFS('AVANCE REAL'!$E$6:$E$405,'AVANCE REAL'!$C$6:$C$405,$B35,'AVANCE REAL'!$D$6:$D$405,$C35,'AVANCE REAL'!$A$6:$A$405,"&lt;="&amp;MIN(AD$5,PARÁMETROS!$B$7))</f>
        <v>0</v>
      </c>
      <c r="AE35" s="49" t="n">
        <f aca="false">_xlfn.MAXIFS('AVANCE REAL'!$E$6:$E$405,'AVANCE REAL'!$C$6:$C$405,$B35,'AVANCE REAL'!$D$6:$D$405,$C35,'AVANCE REAL'!$A$6:$A$405,"&lt;="&amp;MIN(AE$5,PARÁMETROS!$B$7))</f>
        <v>0</v>
      </c>
      <c r="AF35" s="49" t="n">
        <f aca="false">_xlfn.MAXIFS('AVANCE REAL'!$E$6:$E$405,'AVANCE REAL'!$C$6:$C$405,$B35,'AVANCE REAL'!$D$6:$D$405,$C35,'AVANCE REAL'!$A$6:$A$405,"&lt;="&amp;MIN(AF$5,PARÁMETROS!$B$7))</f>
        <v>0</v>
      </c>
      <c r="AG35" s="49" t="n">
        <f aca="false">_xlfn.MAXIFS('AVANCE REAL'!$E$6:$E$405,'AVANCE REAL'!$C$6:$C$405,$B35,'AVANCE REAL'!$D$6:$D$405,$C35,'AVANCE REAL'!$A$6:$A$405,"&lt;="&amp;MIN(AG$5,PARÁMETROS!$B$7))</f>
        <v>0</v>
      </c>
      <c r="AH35" s="49" t="n">
        <f aca="false">_xlfn.MAXIFS('AVANCE REAL'!$E$6:$E$405,'AVANCE REAL'!$C$6:$C$405,$B35,'AVANCE REAL'!$D$6:$D$405,$C35,'AVANCE REAL'!$A$6:$A$405,"&lt;="&amp;MIN(AH$5,PARÁMETROS!$B$7))</f>
        <v>0</v>
      </c>
      <c r="AI35" s="49" t="n">
        <f aca="false">_xlfn.MAXIFS('AVANCE REAL'!$E$6:$E$405,'AVANCE REAL'!$C$6:$C$405,$B35,'AVANCE REAL'!$D$6:$D$405,$C35,'AVANCE REAL'!$A$6:$A$405,"&lt;="&amp;MIN(AI$5,PARÁMETROS!$B$7))</f>
        <v>0</v>
      </c>
      <c r="AJ35" s="49" t="n">
        <f aca="false">_xlfn.MAXIFS('AVANCE REAL'!$E$6:$E$405,'AVANCE REAL'!$C$6:$C$405,$B35,'AVANCE REAL'!$D$6:$D$405,$C35,'AVANCE REAL'!$A$6:$A$405,"&lt;="&amp;MIN(AJ$5,PARÁMETROS!$B$7))</f>
        <v>0</v>
      </c>
      <c r="AK35" s="49" t="n">
        <f aca="false">_xlfn.MAXIFS('AVANCE REAL'!$E$6:$E$405,'AVANCE REAL'!$C$6:$C$405,$B35,'AVANCE REAL'!$D$6:$D$405,$C35,'AVANCE REAL'!$A$6:$A$405,"&lt;="&amp;MIN(AK$5,PARÁMETROS!$B$7))</f>
        <v>0</v>
      </c>
    </row>
    <row r="36" customFormat="false" ht="15" hidden="false" customHeight="false" outlineLevel="0" collapsed="false">
      <c r="B36" s="39" t="str">
        <f aca="false">B9</f>
        <v>CIMENTACIÓN</v>
      </c>
      <c r="C36" s="39" t="str">
        <f aca="false">C9</f>
        <v>Curado</v>
      </c>
      <c r="L36" s="49" t="n">
        <f aca="false">_xlfn.MAXIFS('AVANCE REAL'!$E$6:$E$405,'AVANCE REAL'!$C$6:$C$405,$B36,'AVANCE REAL'!$D$6:$D$405,$C36,'AVANCE REAL'!$A$6:$A$405,"&lt;="&amp;MIN(L$5,PARÁMETROS!$B$7))</f>
        <v>0</v>
      </c>
      <c r="M36" s="49" t="n">
        <f aca="false">_xlfn.MAXIFS('AVANCE REAL'!$E$6:$E$405,'AVANCE REAL'!$C$6:$C$405,$B36,'AVANCE REAL'!$D$6:$D$405,$C36,'AVANCE REAL'!$A$6:$A$405,"&lt;="&amp;MIN(M$5,PARÁMETROS!$B$7))</f>
        <v>0</v>
      </c>
      <c r="N36" s="49" t="n">
        <f aca="false">_xlfn.MAXIFS('AVANCE REAL'!$E$6:$E$405,'AVANCE REAL'!$C$6:$C$405,$B36,'AVANCE REAL'!$D$6:$D$405,$C36,'AVANCE REAL'!$A$6:$A$405,"&lt;="&amp;MIN(N$5,PARÁMETROS!$B$7))</f>
        <v>0</v>
      </c>
      <c r="O36" s="49" t="n">
        <f aca="false">_xlfn.MAXIFS('AVANCE REAL'!$E$6:$E$405,'AVANCE REAL'!$C$6:$C$405,$B36,'AVANCE REAL'!$D$6:$D$405,$C36,'AVANCE REAL'!$A$6:$A$405,"&lt;="&amp;MIN(O$5,PARÁMETROS!$B$7))</f>
        <v>0</v>
      </c>
      <c r="P36" s="49" t="n">
        <f aca="false">_xlfn.MAXIFS('AVANCE REAL'!$E$6:$E$405,'AVANCE REAL'!$C$6:$C$405,$B36,'AVANCE REAL'!$D$6:$D$405,$C36,'AVANCE REAL'!$A$6:$A$405,"&lt;="&amp;MIN(P$5,PARÁMETROS!$B$7))</f>
        <v>0</v>
      </c>
      <c r="Q36" s="49" t="n">
        <f aca="false">_xlfn.MAXIFS('AVANCE REAL'!$E$6:$E$405,'AVANCE REAL'!$C$6:$C$405,$B36,'AVANCE REAL'!$D$6:$D$405,$C36,'AVANCE REAL'!$A$6:$A$405,"&lt;="&amp;MIN(Q$5,PARÁMETROS!$B$7))</f>
        <v>0</v>
      </c>
      <c r="R36" s="49" t="n">
        <f aca="false">_xlfn.MAXIFS('AVANCE REAL'!$E$6:$E$405,'AVANCE REAL'!$C$6:$C$405,$B36,'AVANCE REAL'!$D$6:$D$405,$C36,'AVANCE REAL'!$A$6:$A$405,"&lt;="&amp;MIN(R$5,PARÁMETROS!$B$7))</f>
        <v>0</v>
      </c>
      <c r="S36" s="49" t="n">
        <f aca="false">_xlfn.MAXIFS('AVANCE REAL'!$E$6:$E$405,'AVANCE REAL'!$C$6:$C$405,$B36,'AVANCE REAL'!$D$6:$D$405,$C36,'AVANCE REAL'!$A$6:$A$405,"&lt;="&amp;MIN(S$5,PARÁMETROS!$B$7))</f>
        <v>0</v>
      </c>
      <c r="T36" s="49" t="n">
        <f aca="false">_xlfn.MAXIFS('AVANCE REAL'!$E$6:$E$405,'AVANCE REAL'!$C$6:$C$405,$B36,'AVANCE REAL'!$D$6:$D$405,$C36,'AVANCE REAL'!$A$6:$A$405,"&lt;="&amp;MIN(T$5,PARÁMETROS!$B$7))</f>
        <v>0</v>
      </c>
      <c r="U36" s="49" t="n">
        <f aca="false">_xlfn.MAXIFS('AVANCE REAL'!$E$6:$E$405,'AVANCE REAL'!$C$6:$C$405,$B36,'AVANCE REAL'!$D$6:$D$405,$C36,'AVANCE REAL'!$A$6:$A$405,"&lt;="&amp;MIN(U$5,PARÁMETROS!$B$7))</f>
        <v>0</v>
      </c>
      <c r="V36" s="49" t="n">
        <f aca="false">_xlfn.MAXIFS('AVANCE REAL'!$E$6:$E$405,'AVANCE REAL'!$C$6:$C$405,$B36,'AVANCE REAL'!$D$6:$D$405,$C36,'AVANCE REAL'!$A$6:$A$405,"&lt;="&amp;MIN(V$5,PARÁMETROS!$B$7))</f>
        <v>0</v>
      </c>
      <c r="W36" s="49" t="n">
        <f aca="false">_xlfn.MAXIFS('AVANCE REAL'!$E$6:$E$405,'AVANCE REAL'!$C$6:$C$405,$B36,'AVANCE REAL'!$D$6:$D$405,$C36,'AVANCE REAL'!$A$6:$A$405,"&lt;="&amp;MIN(W$5,PARÁMETROS!$B$7))</f>
        <v>0</v>
      </c>
      <c r="X36" s="49" t="n">
        <f aca="false">_xlfn.MAXIFS('AVANCE REAL'!$E$6:$E$405,'AVANCE REAL'!$C$6:$C$405,$B36,'AVANCE REAL'!$D$6:$D$405,$C36,'AVANCE REAL'!$A$6:$A$405,"&lt;="&amp;MIN(X$5,PARÁMETROS!$B$7))</f>
        <v>0</v>
      </c>
      <c r="Y36" s="49" t="n">
        <f aca="false">_xlfn.MAXIFS('AVANCE REAL'!$E$6:$E$405,'AVANCE REAL'!$C$6:$C$405,$B36,'AVANCE REAL'!$D$6:$D$405,$C36,'AVANCE REAL'!$A$6:$A$405,"&lt;="&amp;MIN(Y$5,PARÁMETROS!$B$7))</f>
        <v>0</v>
      </c>
      <c r="Z36" s="49" t="n">
        <f aca="false">_xlfn.MAXIFS('AVANCE REAL'!$E$6:$E$405,'AVANCE REAL'!$C$6:$C$405,$B36,'AVANCE REAL'!$D$6:$D$405,$C36,'AVANCE REAL'!$A$6:$A$405,"&lt;="&amp;MIN(Z$5,PARÁMETROS!$B$7))</f>
        <v>0</v>
      </c>
      <c r="AA36" s="49" t="n">
        <f aca="false">_xlfn.MAXIFS('AVANCE REAL'!$E$6:$E$405,'AVANCE REAL'!$C$6:$C$405,$B36,'AVANCE REAL'!$D$6:$D$405,$C36,'AVANCE REAL'!$A$6:$A$405,"&lt;="&amp;MIN(AA$5,PARÁMETROS!$B$7))</f>
        <v>0</v>
      </c>
      <c r="AB36" s="49" t="n">
        <f aca="false">_xlfn.MAXIFS('AVANCE REAL'!$E$6:$E$405,'AVANCE REAL'!$C$6:$C$405,$B36,'AVANCE REAL'!$D$6:$D$405,$C36,'AVANCE REAL'!$A$6:$A$405,"&lt;="&amp;MIN(AB$5,PARÁMETROS!$B$7))</f>
        <v>0</v>
      </c>
      <c r="AC36" s="49" t="n">
        <f aca="false">_xlfn.MAXIFS('AVANCE REAL'!$E$6:$E$405,'AVANCE REAL'!$C$6:$C$405,$B36,'AVANCE REAL'!$D$6:$D$405,$C36,'AVANCE REAL'!$A$6:$A$405,"&lt;="&amp;MIN(AC$5,PARÁMETROS!$B$7))</f>
        <v>0</v>
      </c>
      <c r="AD36" s="49" t="n">
        <f aca="false">_xlfn.MAXIFS('AVANCE REAL'!$E$6:$E$405,'AVANCE REAL'!$C$6:$C$405,$B36,'AVANCE REAL'!$D$6:$D$405,$C36,'AVANCE REAL'!$A$6:$A$405,"&lt;="&amp;MIN(AD$5,PARÁMETROS!$B$7))</f>
        <v>0</v>
      </c>
      <c r="AE36" s="49" t="n">
        <f aca="false">_xlfn.MAXIFS('AVANCE REAL'!$E$6:$E$405,'AVANCE REAL'!$C$6:$C$405,$B36,'AVANCE REAL'!$D$6:$D$405,$C36,'AVANCE REAL'!$A$6:$A$405,"&lt;="&amp;MIN(AE$5,PARÁMETROS!$B$7))</f>
        <v>0</v>
      </c>
      <c r="AF36" s="49" t="n">
        <f aca="false">_xlfn.MAXIFS('AVANCE REAL'!$E$6:$E$405,'AVANCE REAL'!$C$6:$C$405,$B36,'AVANCE REAL'!$D$6:$D$405,$C36,'AVANCE REAL'!$A$6:$A$405,"&lt;="&amp;MIN(AF$5,PARÁMETROS!$B$7))</f>
        <v>0</v>
      </c>
      <c r="AG36" s="49" t="n">
        <f aca="false">_xlfn.MAXIFS('AVANCE REAL'!$E$6:$E$405,'AVANCE REAL'!$C$6:$C$405,$B36,'AVANCE REAL'!$D$6:$D$405,$C36,'AVANCE REAL'!$A$6:$A$405,"&lt;="&amp;MIN(AG$5,PARÁMETROS!$B$7))</f>
        <v>0</v>
      </c>
      <c r="AH36" s="49" t="n">
        <f aca="false">_xlfn.MAXIFS('AVANCE REAL'!$E$6:$E$405,'AVANCE REAL'!$C$6:$C$405,$B36,'AVANCE REAL'!$D$6:$D$405,$C36,'AVANCE REAL'!$A$6:$A$405,"&lt;="&amp;MIN(AH$5,PARÁMETROS!$B$7))</f>
        <v>0</v>
      </c>
      <c r="AI36" s="49" t="n">
        <f aca="false">_xlfn.MAXIFS('AVANCE REAL'!$E$6:$E$405,'AVANCE REAL'!$C$6:$C$405,$B36,'AVANCE REAL'!$D$6:$D$405,$C36,'AVANCE REAL'!$A$6:$A$405,"&lt;="&amp;MIN(AI$5,PARÁMETROS!$B$7))</f>
        <v>0</v>
      </c>
      <c r="AJ36" s="49" t="n">
        <f aca="false">_xlfn.MAXIFS('AVANCE REAL'!$E$6:$E$405,'AVANCE REAL'!$C$6:$C$405,$B36,'AVANCE REAL'!$D$6:$D$405,$C36,'AVANCE REAL'!$A$6:$A$405,"&lt;="&amp;MIN(AJ$5,PARÁMETROS!$B$7))</f>
        <v>0</v>
      </c>
      <c r="AK36" s="49" t="n">
        <f aca="false">_xlfn.MAXIFS('AVANCE REAL'!$E$6:$E$405,'AVANCE REAL'!$C$6:$C$405,$B36,'AVANCE REAL'!$D$6:$D$405,$C36,'AVANCE REAL'!$A$6:$A$405,"&lt;="&amp;MIN(AK$5,PARÁMETROS!$B$7))</f>
        <v>0</v>
      </c>
    </row>
    <row r="37" customFormat="false" ht="15" hidden="false" customHeight="false" outlineLevel="0" collapsed="false">
      <c r="B37" s="39" t="str">
        <f aca="false">B10</f>
        <v>NIVEL 1</v>
      </c>
      <c r="C37" s="39" t="str">
        <f aca="false">C10</f>
        <v>Acero</v>
      </c>
      <c r="L37" s="49" t="n">
        <f aca="false">_xlfn.MAXIFS('AVANCE REAL'!$E$6:$E$405,'AVANCE REAL'!$C$6:$C$405,$B37,'AVANCE REAL'!$D$6:$D$405,$C37,'AVANCE REAL'!$A$6:$A$405,"&lt;="&amp;MIN(L$5,PARÁMETROS!$B$7))</f>
        <v>0</v>
      </c>
      <c r="M37" s="49" t="n">
        <f aca="false">_xlfn.MAXIFS('AVANCE REAL'!$E$6:$E$405,'AVANCE REAL'!$C$6:$C$405,$B37,'AVANCE REAL'!$D$6:$D$405,$C37,'AVANCE REAL'!$A$6:$A$405,"&lt;="&amp;MIN(M$5,PARÁMETROS!$B$7))</f>
        <v>0</v>
      </c>
      <c r="N37" s="49" t="n">
        <f aca="false">_xlfn.MAXIFS('AVANCE REAL'!$E$6:$E$405,'AVANCE REAL'!$C$6:$C$405,$B37,'AVANCE REAL'!$D$6:$D$405,$C37,'AVANCE REAL'!$A$6:$A$405,"&lt;="&amp;MIN(N$5,PARÁMETROS!$B$7))</f>
        <v>0</v>
      </c>
      <c r="O37" s="49" t="n">
        <f aca="false">_xlfn.MAXIFS('AVANCE REAL'!$E$6:$E$405,'AVANCE REAL'!$C$6:$C$405,$B37,'AVANCE REAL'!$D$6:$D$405,$C37,'AVANCE REAL'!$A$6:$A$405,"&lt;="&amp;MIN(O$5,PARÁMETROS!$B$7))</f>
        <v>0</v>
      </c>
      <c r="P37" s="49" t="n">
        <f aca="false">_xlfn.MAXIFS('AVANCE REAL'!$E$6:$E$405,'AVANCE REAL'!$C$6:$C$405,$B37,'AVANCE REAL'!$D$6:$D$405,$C37,'AVANCE REAL'!$A$6:$A$405,"&lt;="&amp;MIN(P$5,PARÁMETROS!$B$7))</f>
        <v>0</v>
      </c>
      <c r="Q37" s="49" t="n">
        <f aca="false">_xlfn.MAXIFS('AVANCE REAL'!$E$6:$E$405,'AVANCE REAL'!$C$6:$C$405,$B37,'AVANCE REAL'!$D$6:$D$405,$C37,'AVANCE REAL'!$A$6:$A$405,"&lt;="&amp;MIN(Q$5,PARÁMETROS!$B$7))</f>
        <v>0</v>
      </c>
      <c r="R37" s="49" t="n">
        <f aca="false">_xlfn.MAXIFS('AVANCE REAL'!$E$6:$E$405,'AVANCE REAL'!$C$6:$C$405,$B37,'AVANCE REAL'!$D$6:$D$405,$C37,'AVANCE REAL'!$A$6:$A$405,"&lt;="&amp;MIN(R$5,PARÁMETROS!$B$7))</f>
        <v>0</v>
      </c>
      <c r="S37" s="49" t="n">
        <f aca="false">_xlfn.MAXIFS('AVANCE REAL'!$E$6:$E$405,'AVANCE REAL'!$C$6:$C$405,$B37,'AVANCE REAL'!$D$6:$D$405,$C37,'AVANCE REAL'!$A$6:$A$405,"&lt;="&amp;MIN(S$5,PARÁMETROS!$B$7))</f>
        <v>0</v>
      </c>
      <c r="T37" s="49" t="n">
        <f aca="false">_xlfn.MAXIFS('AVANCE REAL'!$E$6:$E$405,'AVANCE REAL'!$C$6:$C$405,$B37,'AVANCE REAL'!$D$6:$D$405,$C37,'AVANCE REAL'!$A$6:$A$405,"&lt;="&amp;MIN(T$5,PARÁMETROS!$B$7))</f>
        <v>0</v>
      </c>
      <c r="U37" s="49" t="n">
        <f aca="false">_xlfn.MAXIFS('AVANCE REAL'!$E$6:$E$405,'AVANCE REAL'!$C$6:$C$405,$B37,'AVANCE REAL'!$D$6:$D$405,$C37,'AVANCE REAL'!$A$6:$A$405,"&lt;="&amp;MIN(U$5,PARÁMETROS!$B$7))</f>
        <v>0</v>
      </c>
      <c r="V37" s="49" t="n">
        <f aca="false">_xlfn.MAXIFS('AVANCE REAL'!$E$6:$E$405,'AVANCE REAL'!$C$6:$C$405,$B37,'AVANCE REAL'!$D$6:$D$405,$C37,'AVANCE REAL'!$A$6:$A$405,"&lt;="&amp;MIN(V$5,PARÁMETROS!$B$7))</f>
        <v>0</v>
      </c>
      <c r="W37" s="49" t="n">
        <f aca="false">_xlfn.MAXIFS('AVANCE REAL'!$E$6:$E$405,'AVANCE REAL'!$C$6:$C$405,$B37,'AVANCE REAL'!$D$6:$D$405,$C37,'AVANCE REAL'!$A$6:$A$405,"&lt;="&amp;MIN(W$5,PARÁMETROS!$B$7))</f>
        <v>0</v>
      </c>
      <c r="X37" s="49" t="n">
        <f aca="false">_xlfn.MAXIFS('AVANCE REAL'!$E$6:$E$405,'AVANCE REAL'!$C$6:$C$405,$B37,'AVANCE REAL'!$D$6:$D$405,$C37,'AVANCE REAL'!$A$6:$A$405,"&lt;="&amp;MIN(X$5,PARÁMETROS!$B$7))</f>
        <v>0</v>
      </c>
      <c r="Y37" s="49" t="n">
        <f aca="false">_xlfn.MAXIFS('AVANCE REAL'!$E$6:$E$405,'AVANCE REAL'!$C$6:$C$405,$B37,'AVANCE REAL'!$D$6:$D$405,$C37,'AVANCE REAL'!$A$6:$A$405,"&lt;="&amp;MIN(Y$5,PARÁMETROS!$B$7))</f>
        <v>0</v>
      </c>
      <c r="Z37" s="49" t="n">
        <f aca="false">_xlfn.MAXIFS('AVANCE REAL'!$E$6:$E$405,'AVANCE REAL'!$C$6:$C$405,$B37,'AVANCE REAL'!$D$6:$D$405,$C37,'AVANCE REAL'!$A$6:$A$405,"&lt;="&amp;MIN(Z$5,PARÁMETROS!$B$7))</f>
        <v>0</v>
      </c>
      <c r="AA37" s="49" t="n">
        <f aca="false">_xlfn.MAXIFS('AVANCE REAL'!$E$6:$E$405,'AVANCE REAL'!$C$6:$C$405,$B37,'AVANCE REAL'!$D$6:$D$405,$C37,'AVANCE REAL'!$A$6:$A$405,"&lt;="&amp;MIN(AA$5,PARÁMETROS!$B$7))</f>
        <v>0</v>
      </c>
      <c r="AB37" s="49" t="n">
        <f aca="false">_xlfn.MAXIFS('AVANCE REAL'!$E$6:$E$405,'AVANCE REAL'!$C$6:$C$405,$B37,'AVANCE REAL'!$D$6:$D$405,$C37,'AVANCE REAL'!$A$6:$A$405,"&lt;="&amp;MIN(AB$5,PARÁMETROS!$B$7))</f>
        <v>0</v>
      </c>
      <c r="AC37" s="49" t="n">
        <f aca="false">_xlfn.MAXIFS('AVANCE REAL'!$E$6:$E$405,'AVANCE REAL'!$C$6:$C$405,$B37,'AVANCE REAL'!$D$6:$D$405,$C37,'AVANCE REAL'!$A$6:$A$405,"&lt;="&amp;MIN(AC$5,PARÁMETROS!$B$7))</f>
        <v>0</v>
      </c>
      <c r="AD37" s="49" t="n">
        <f aca="false">_xlfn.MAXIFS('AVANCE REAL'!$E$6:$E$405,'AVANCE REAL'!$C$6:$C$405,$B37,'AVANCE REAL'!$D$6:$D$405,$C37,'AVANCE REAL'!$A$6:$A$405,"&lt;="&amp;MIN(AD$5,PARÁMETROS!$B$7))</f>
        <v>0</v>
      </c>
      <c r="AE37" s="49" t="n">
        <f aca="false">_xlfn.MAXIFS('AVANCE REAL'!$E$6:$E$405,'AVANCE REAL'!$C$6:$C$405,$B37,'AVANCE REAL'!$D$6:$D$405,$C37,'AVANCE REAL'!$A$6:$A$405,"&lt;="&amp;MIN(AE$5,PARÁMETROS!$B$7))</f>
        <v>0</v>
      </c>
      <c r="AF37" s="49" t="n">
        <f aca="false">_xlfn.MAXIFS('AVANCE REAL'!$E$6:$E$405,'AVANCE REAL'!$C$6:$C$405,$B37,'AVANCE REAL'!$D$6:$D$405,$C37,'AVANCE REAL'!$A$6:$A$405,"&lt;="&amp;MIN(AF$5,PARÁMETROS!$B$7))</f>
        <v>0</v>
      </c>
      <c r="AG37" s="49" t="n">
        <f aca="false">_xlfn.MAXIFS('AVANCE REAL'!$E$6:$E$405,'AVANCE REAL'!$C$6:$C$405,$B37,'AVANCE REAL'!$D$6:$D$405,$C37,'AVANCE REAL'!$A$6:$A$405,"&lt;="&amp;MIN(AG$5,PARÁMETROS!$B$7))</f>
        <v>0</v>
      </c>
      <c r="AH37" s="49" t="n">
        <f aca="false">_xlfn.MAXIFS('AVANCE REAL'!$E$6:$E$405,'AVANCE REAL'!$C$6:$C$405,$B37,'AVANCE REAL'!$D$6:$D$405,$C37,'AVANCE REAL'!$A$6:$A$405,"&lt;="&amp;MIN(AH$5,PARÁMETROS!$B$7))</f>
        <v>0</v>
      </c>
      <c r="AI37" s="49" t="n">
        <f aca="false">_xlfn.MAXIFS('AVANCE REAL'!$E$6:$E$405,'AVANCE REAL'!$C$6:$C$405,$B37,'AVANCE REAL'!$D$6:$D$405,$C37,'AVANCE REAL'!$A$6:$A$405,"&lt;="&amp;MIN(AI$5,PARÁMETROS!$B$7))</f>
        <v>0</v>
      </c>
      <c r="AJ37" s="49" t="n">
        <f aca="false">_xlfn.MAXIFS('AVANCE REAL'!$E$6:$E$405,'AVANCE REAL'!$C$6:$C$405,$B37,'AVANCE REAL'!$D$6:$D$405,$C37,'AVANCE REAL'!$A$6:$A$405,"&lt;="&amp;MIN(AJ$5,PARÁMETROS!$B$7))</f>
        <v>0</v>
      </c>
      <c r="AK37" s="49" t="n">
        <f aca="false">_xlfn.MAXIFS('AVANCE REAL'!$E$6:$E$405,'AVANCE REAL'!$C$6:$C$405,$B37,'AVANCE REAL'!$D$6:$D$405,$C37,'AVANCE REAL'!$A$6:$A$405,"&lt;="&amp;MIN(AK$5,PARÁMETROS!$B$7))</f>
        <v>0</v>
      </c>
    </row>
    <row r="38" customFormat="false" ht="15" hidden="false" customHeight="false" outlineLevel="0" collapsed="false">
      <c r="B38" s="39" t="str">
        <f aca="false">B11</f>
        <v>NIVEL 1</v>
      </c>
      <c r="C38" s="39" t="str">
        <f aca="false">C11</f>
        <v>Encofrado</v>
      </c>
      <c r="L38" s="49" t="n">
        <f aca="false">_xlfn.MAXIFS('AVANCE REAL'!$E$6:$E$405,'AVANCE REAL'!$C$6:$C$405,$B38,'AVANCE REAL'!$D$6:$D$405,$C38,'AVANCE REAL'!$A$6:$A$405,"&lt;="&amp;MIN(L$5,PARÁMETROS!$B$7))</f>
        <v>0</v>
      </c>
      <c r="M38" s="49" t="n">
        <f aca="false">_xlfn.MAXIFS('AVANCE REAL'!$E$6:$E$405,'AVANCE REAL'!$C$6:$C$405,$B38,'AVANCE REAL'!$D$6:$D$405,$C38,'AVANCE REAL'!$A$6:$A$405,"&lt;="&amp;MIN(M$5,PARÁMETROS!$B$7))</f>
        <v>0</v>
      </c>
      <c r="N38" s="49" t="n">
        <f aca="false">_xlfn.MAXIFS('AVANCE REAL'!$E$6:$E$405,'AVANCE REAL'!$C$6:$C$405,$B38,'AVANCE REAL'!$D$6:$D$405,$C38,'AVANCE REAL'!$A$6:$A$405,"&lt;="&amp;MIN(N$5,PARÁMETROS!$B$7))</f>
        <v>0</v>
      </c>
      <c r="O38" s="49" t="n">
        <f aca="false">_xlfn.MAXIFS('AVANCE REAL'!$E$6:$E$405,'AVANCE REAL'!$C$6:$C$405,$B38,'AVANCE REAL'!$D$6:$D$405,$C38,'AVANCE REAL'!$A$6:$A$405,"&lt;="&amp;MIN(O$5,PARÁMETROS!$B$7))</f>
        <v>0</v>
      </c>
      <c r="P38" s="49" t="n">
        <f aca="false">_xlfn.MAXIFS('AVANCE REAL'!$E$6:$E$405,'AVANCE REAL'!$C$6:$C$405,$B38,'AVANCE REAL'!$D$6:$D$405,$C38,'AVANCE REAL'!$A$6:$A$405,"&lt;="&amp;MIN(P$5,PARÁMETROS!$B$7))</f>
        <v>0</v>
      </c>
      <c r="Q38" s="49" t="n">
        <f aca="false">_xlfn.MAXIFS('AVANCE REAL'!$E$6:$E$405,'AVANCE REAL'!$C$6:$C$405,$B38,'AVANCE REAL'!$D$6:$D$405,$C38,'AVANCE REAL'!$A$6:$A$405,"&lt;="&amp;MIN(Q$5,PARÁMETROS!$B$7))</f>
        <v>0</v>
      </c>
      <c r="R38" s="49" t="n">
        <f aca="false">_xlfn.MAXIFS('AVANCE REAL'!$E$6:$E$405,'AVANCE REAL'!$C$6:$C$405,$B38,'AVANCE REAL'!$D$6:$D$405,$C38,'AVANCE REAL'!$A$6:$A$405,"&lt;="&amp;MIN(R$5,PARÁMETROS!$B$7))</f>
        <v>0</v>
      </c>
      <c r="S38" s="49" t="n">
        <f aca="false">_xlfn.MAXIFS('AVANCE REAL'!$E$6:$E$405,'AVANCE REAL'!$C$6:$C$405,$B38,'AVANCE REAL'!$D$6:$D$405,$C38,'AVANCE REAL'!$A$6:$A$405,"&lt;="&amp;MIN(S$5,PARÁMETROS!$B$7))</f>
        <v>0</v>
      </c>
      <c r="T38" s="49" t="n">
        <f aca="false">_xlfn.MAXIFS('AVANCE REAL'!$E$6:$E$405,'AVANCE REAL'!$C$6:$C$405,$B38,'AVANCE REAL'!$D$6:$D$405,$C38,'AVANCE REAL'!$A$6:$A$405,"&lt;="&amp;MIN(T$5,PARÁMETROS!$B$7))</f>
        <v>0</v>
      </c>
      <c r="U38" s="49" t="n">
        <f aca="false">_xlfn.MAXIFS('AVANCE REAL'!$E$6:$E$405,'AVANCE REAL'!$C$6:$C$405,$B38,'AVANCE REAL'!$D$6:$D$405,$C38,'AVANCE REAL'!$A$6:$A$405,"&lt;="&amp;MIN(U$5,PARÁMETROS!$B$7))</f>
        <v>0</v>
      </c>
      <c r="V38" s="49" t="n">
        <f aca="false">_xlfn.MAXIFS('AVANCE REAL'!$E$6:$E$405,'AVANCE REAL'!$C$6:$C$405,$B38,'AVANCE REAL'!$D$6:$D$405,$C38,'AVANCE REAL'!$A$6:$A$405,"&lt;="&amp;MIN(V$5,PARÁMETROS!$B$7))</f>
        <v>0</v>
      </c>
      <c r="W38" s="49" t="n">
        <f aca="false">_xlfn.MAXIFS('AVANCE REAL'!$E$6:$E$405,'AVANCE REAL'!$C$6:$C$405,$B38,'AVANCE REAL'!$D$6:$D$405,$C38,'AVANCE REAL'!$A$6:$A$405,"&lt;="&amp;MIN(W$5,PARÁMETROS!$B$7))</f>
        <v>0</v>
      </c>
      <c r="X38" s="49" t="n">
        <f aca="false">_xlfn.MAXIFS('AVANCE REAL'!$E$6:$E$405,'AVANCE REAL'!$C$6:$C$405,$B38,'AVANCE REAL'!$D$6:$D$405,$C38,'AVANCE REAL'!$A$6:$A$405,"&lt;="&amp;MIN(X$5,PARÁMETROS!$B$7))</f>
        <v>0</v>
      </c>
      <c r="Y38" s="49" t="n">
        <f aca="false">_xlfn.MAXIFS('AVANCE REAL'!$E$6:$E$405,'AVANCE REAL'!$C$6:$C$405,$B38,'AVANCE REAL'!$D$6:$D$405,$C38,'AVANCE REAL'!$A$6:$A$405,"&lt;="&amp;MIN(Y$5,PARÁMETROS!$B$7))</f>
        <v>0</v>
      </c>
      <c r="Z38" s="49" t="n">
        <f aca="false">_xlfn.MAXIFS('AVANCE REAL'!$E$6:$E$405,'AVANCE REAL'!$C$6:$C$405,$B38,'AVANCE REAL'!$D$6:$D$405,$C38,'AVANCE REAL'!$A$6:$A$405,"&lt;="&amp;MIN(Z$5,PARÁMETROS!$B$7))</f>
        <v>0</v>
      </c>
      <c r="AA38" s="49" t="n">
        <f aca="false">_xlfn.MAXIFS('AVANCE REAL'!$E$6:$E$405,'AVANCE REAL'!$C$6:$C$405,$B38,'AVANCE REAL'!$D$6:$D$405,$C38,'AVANCE REAL'!$A$6:$A$405,"&lt;="&amp;MIN(AA$5,PARÁMETROS!$B$7))</f>
        <v>0</v>
      </c>
      <c r="AB38" s="49" t="n">
        <f aca="false">_xlfn.MAXIFS('AVANCE REAL'!$E$6:$E$405,'AVANCE REAL'!$C$6:$C$405,$B38,'AVANCE REAL'!$D$6:$D$405,$C38,'AVANCE REAL'!$A$6:$A$405,"&lt;="&amp;MIN(AB$5,PARÁMETROS!$B$7))</f>
        <v>0</v>
      </c>
      <c r="AC38" s="49" t="n">
        <f aca="false">_xlfn.MAXIFS('AVANCE REAL'!$E$6:$E$405,'AVANCE REAL'!$C$6:$C$405,$B38,'AVANCE REAL'!$D$6:$D$405,$C38,'AVANCE REAL'!$A$6:$A$405,"&lt;="&amp;MIN(AC$5,PARÁMETROS!$B$7))</f>
        <v>0</v>
      </c>
      <c r="AD38" s="49" t="n">
        <f aca="false">_xlfn.MAXIFS('AVANCE REAL'!$E$6:$E$405,'AVANCE REAL'!$C$6:$C$405,$B38,'AVANCE REAL'!$D$6:$D$405,$C38,'AVANCE REAL'!$A$6:$A$405,"&lt;="&amp;MIN(AD$5,PARÁMETROS!$B$7))</f>
        <v>0</v>
      </c>
      <c r="AE38" s="49" t="n">
        <f aca="false">_xlfn.MAXIFS('AVANCE REAL'!$E$6:$E$405,'AVANCE REAL'!$C$6:$C$405,$B38,'AVANCE REAL'!$D$6:$D$405,$C38,'AVANCE REAL'!$A$6:$A$405,"&lt;="&amp;MIN(AE$5,PARÁMETROS!$B$7))</f>
        <v>0</v>
      </c>
      <c r="AF38" s="49" t="n">
        <f aca="false">_xlfn.MAXIFS('AVANCE REAL'!$E$6:$E$405,'AVANCE REAL'!$C$6:$C$405,$B38,'AVANCE REAL'!$D$6:$D$405,$C38,'AVANCE REAL'!$A$6:$A$405,"&lt;="&amp;MIN(AF$5,PARÁMETROS!$B$7))</f>
        <v>0</v>
      </c>
      <c r="AG38" s="49" t="n">
        <f aca="false">_xlfn.MAXIFS('AVANCE REAL'!$E$6:$E$405,'AVANCE REAL'!$C$6:$C$405,$B38,'AVANCE REAL'!$D$6:$D$405,$C38,'AVANCE REAL'!$A$6:$A$405,"&lt;="&amp;MIN(AG$5,PARÁMETROS!$B$7))</f>
        <v>0</v>
      </c>
      <c r="AH38" s="49" t="n">
        <f aca="false">_xlfn.MAXIFS('AVANCE REAL'!$E$6:$E$405,'AVANCE REAL'!$C$6:$C$405,$B38,'AVANCE REAL'!$D$6:$D$405,$C38,'AVANCE REAL'!$A$6:$A$405,"&lt;="&amp;MIN(AH$5,PARÁMETROS!$B$7))</f>
        <v>0</v>
      </c>
      <c r="AI38" s="49" t="n">
        <f aca="false">_xlfn.MAXIFS('AVANCE REAL'!$E$6:$E$405,'AVANCE REAL'!$C$6:$C$405,$B38,'AVANCE REAL'!$D$6:$D$405,$C38,'AVANCE REAL'!$A$6:$A$405,"&lt;="&amp;MIN(AI$5,PARÁMETROS!$B$7))</f>
        <v>0</v>
      </c>
      <c r="AJ38" s="49" t="n">
        <f aca="false">_xlfn.MAXIFS('AVANCE REAL'!$E$6:$E$405,'AVANCE REAL'!$C$6:$C$405,$B38,'AVANCE REAL'!$D$6:$D$405,$C38,'AVANCE REAL'!$A$6:$A$405,"&lt;="&amp;MIN(AJ$5,PARÁMETROS!$B$7))</f>
        <v>0</v>
      </c>
      <c r="AK38" s="49" t="n">
        <f aca="false">_xlfn.MAXIFS('AVANCE REAL'!$E$6:$E$405,'AVANCE REAL'!$C$6:$C$405,$B38,'AVANCE REAL'!$D$6:$D$405,$C38,'AVANCE REAL'!$A$6:$A$405,"&lt;="&amp;MIN(AK$5,PARÁMETROS!$B$7))</f>
        <v>0</v>
      </c>
    </row>
    <row r="39" customFormat="false" ht="15" hidden="false" customHeight="false" outlineLevel="0" collapsed="false">
      <c r="B39" s="39" t="str">
        <f aca="false">B12</f>
        <v>NIVEL 1</v>
      </c>
      <c r="C39" s="39" t="str">
        <f aca="false">C12</f>
        <v>Concreto</v>
      </c>
      <c r="L39" s="49" t="n">
        <f aca="false">_xlfn.MAXIFS('AVANCE REAL'!$E$6:$E$405,'AVANCE REAL'!$C$6:$C$405,$B39,'AVANCE REAL'!$D$6:$D$405,$C39,'AVANCE REAL'!$A$6:$A$405,"&lt;="&amp;MIN(L$5,PARÁMETROS!$B$7))</f>
        <v>0</v>
      </c>
      <c r="M39" s="49" t="n">
        <f aca="false">_xlfn.MAXIFS('AVANCE REAL'!$E$6:$E$405,'AVANCE REAL'!$C$6:$C$405,$B39,'AVANCE REAL'!$D$6:$D$405,$C39,'AVANCE REAL'!$A$6:$A$405,"&lt;="&amp;MIN(M$5,PARÁMETROS!$B$7))</f>
        <v>0</v>
      </c>
      <c r="N39" s="49" t="n">
        <f aca="false">_xlfn.MAXIFS('AVANCE REAL'!$E$6:$E$405,'AVANCE REAL'!$C$6:$C$405,$B39,'AVANCE REAL'!$D$6:$D$405,$C39,'AVANCE REAL'!$A$6:$A$405,"&lt;="&amp;MIN(N$5,PARÁMETROS!$B$7))</f>
        <v>0</v>
      </c>
      <c r="O39" s="49" t="n">
        <f aca="false">_xlfn.MAXIFS('AVANCE REAL'!$E$6:$E$405,'AVANCE REAL'!$C$6:$C$405,$B39,'AVANCE REAL'!$D$6:$D$405,$C39,'AVANCE REAL'!$A$6:$A$405,"&lt;="&amp;MIN(O$5,PARÁMETROS!$B$7))</f>
        <v>0</v>
      </c>
      <c r="P39" s="49" t="n">
        <f aca="false">_xlfn.MAXIFS('AVANCE REAL'!$E$6:$E$405,'AVANCE REAL'!$C$6:$C$405,$B39,'AVANCE REAL'!$D$6:$D$405,$C39,'AVANCE REAL'!$A$6:$A$405,"&lt;="&amp;MIN(P$5,PARÁMETROS!$B$7))</f>
        <v>0</v>
      </c>
      <c r="Q39" s="49" t="n">
        <f aca="false">_xlfn.MAXIFS('AVANCE REAL'!$E$6:$E$405,'AVANCE REAL'!$C$6:$C$405,$B39,'AVANCE REAL'!$D$6:$D$405,$C39,'AVANCE REAL'!$A$6:$A$405,"&lt;="&amp;MIN(Q$5,PARÁMETROS!$B$7))</f>
        <v>0</v>
      </c>
      <c r="R39" s="49" t="n">
        <f aca="false">_xlfn.MAXIFS('AVANCE REAL'!$E$6:$E$405,'AVANCE REAL'!$C$6:$C$405,$B39,'AVANCE REAL'!$D$6:$D$405,$C39,'AVANCE REAL'!$A$6:$A$405,"&lt;="&amp;MIN(R$5,PARÁMETROS!$B$7))</f>
        <v>0</v>
      </c>
      <c r="S39" s="49" t="n">
        <f aca="false">_xlfn.MAXIFS('AVANCE REAL'!$E$6:$E$405,'AVANCE REAL'!$C$6:$C$405,$B39,'AVANCE REAL'!$D$6:$D$405,$C39,'AVANCE REAL'!$A$6:$A$405,"&lt;="&amp;MIN(S$5,PARÁMETROS!$B$7))</f>
        <v>0</v>
      </c>
      <c r="T39" s="49" t="n">
        <f aca="false">_xlfn.MAXIFS('AVANCE REAL'!$E$6:$E$405,'AVANCE REAL'!$C$6:$C$405,$B39,'AVANCE REAL'!$D$6:$D$405,$C39,'AVANCE REAL'!$A$6:$A$405,"&lt;="&amp;MIN(T$5,PARÁMETROS!$B$7))</f>
        <v>0</v>
      </c>
      <c r="U39" s="49" t="n">
        <f aca="false">_xlfn.MAXIFS('AVANCE REAL'!$E$6:$E$405,'AVANCE REAL'!$C$6:$C$405,$B39,'AVANCE REAL'!$D$6:$D$405,$C39,'AVANCE REAL'!$A$6:$A$405,"&lt;="&amp;MIN(U$5,PARÁMETROS!$B$7))</f>
        <v>0</v>
      </c>
      <c r="V39" s="49" t="n">
        <f aca="false">_xlfn.MAXIFS('AVANCE REAL'!$E$6:$E$405,'AVANCE REAL'!$C$6:$C$405,$B39,'AVANCE REAL'!$D$6:$D$405,$C39,'AVANCE REAL'!$A$6:$A$405,"&lt;="&amp;MIN(V$5,PARÁMETROS!$B$7))</f>
        <v>0</v>
      </c>
      <c r="W39" s="49" t="n">
        <f aca="false">_xlfn.MAXIFS('AVANCE REAL'!$E$6:$E$405,'AVANCE REAL'!$C$6:$C$405,$B39,'AVANCE REAL'!$D$6:$D$405,$C39,'AVANCE REAL'!$A$6:$A$405,"&lt;="&amp;MIN(W$5,PARÁMETROS!$B$7))</f>
        <v>0</v>
      </c>
      <c r="X39" s="49" t="n">
        <f aca="false">_xlfn.MAXIFS('AVANCE REAL'!$E$6:$E$405,'AVANCE REAL'!$C$6:$C$405,$B39,'AVANCE REAL'!$D$6:$D$405,$C39,'AVANCE REAL'!$A$6:$A$405,"&lt;="&amp;MIN(X$5,PARÁMETROS!$B$7))</f>
        <v>0</v>
      </c>
      <c r="Y39" s="49" t="n">
        <f aca="false">_xlfn.MAXIFS('AVANCE REAL'!$E$6:$E$405,'AVANCE REAL'!$C$6:$C$405,$B39,'AVANCE REAL'!$D$6:$D$405,$C39,'AVANCE REAL'!$A$6:$A$405,"&lt;="&amp;MIN(Y$5,PARÁMETROS!$B$7))</f>
        <v>0</v>
      </c>
      <c r="Z39" s="49" t="n">
        <f aca="false">_xlfn.MAXIFS('AVANCE REAL'!$E$6:$E$405,'AVANCE REAL'!$C$6:$C$405,$B39,'AVANCE REAL'!$D$6:$D$405,$C39,'AVANCE REAL'!$A$6:$A$405,"&lt;="&amp;MIN(Z$5,PARÁMETROS!$B$7))</f>
        <v>0</v>
      </c>
      <c r="AA39" s="49" t="n">
        <f aca="false">_xlfn.MAXIFS('AVANCE REAL'!$E$6:$E$405,'AVANCE REAL'!$C$6:$C$405,$B39,'AVANCE REAL'!$D$6:$D$405,$C39,'AVANCE REAL'!$A$6:$A$405,"&lt;="&amp;MIN(AA$5,PARÁMETROS!$B$7))</f>
        <v>0</v>
      </c>
      <c r="AB39" s="49" t="n">
        <f aca="false">_xlfn.MAXIFS('AVANCE REAL'!$E$6:$E$405,'AVANCE REAL'!$C$6:$C$405,$B39,'AVANCE REAL'!$D$6:$D$405,$C39,'AVANCE REAL'!$A$6:$A$405,"&lt;="&amp;MIN(AB$5,PARÁMETROS!$B$7))</f>
        <v>0</v>
      </c>
      <c r="AC39" s="49" t="n">
        <f aca="false">_xlfn.MAXIFS('AVANCE REAL'!$E$6:$E$405,'AVANCE REAL'!$C$6:$C$405,$B39,'AVANCE REAL'!$D$6:$D$405,$C39,'AVANCE REAL'!$A$6:$A$405,"&lt;="&amp;MIN(AC$5,PARÁMETROS!$B$7))</f>
        <v>0</v>
      </c>
      <c r="AD39" s="49" t="n">
        <f aca="false">_xlfn.MAXIFS('AVANCE REAL'!$E$6:$E$405,'AVANCE REAL'!$C$6:$C$405,$B39,'AVANCE REAL'!$D$6:$D$405,$C39,'AVANCE REAL'!$A$6:$A$405,"&lt;="&amp;MIN(AD$5,PARÁMETROS!$B$7))</f>
        <v>0</v>
      </c>
      <c r="AE39" s="49" t="n">
        <f aca="false">_xlfn.MAXIFS('AVANCE REAL'!$E$6:$E$405,'AVANCE REAL'!$C$6:$C$405,$B39,'AVANCE REAL'!$D$6:$D$405,$C39,'AVANCE REAL'!$A$6:$A$405,"&lt;="&amp;MIN(AE$5,PARÁMETROS!$B$7))</f>
        <v>0</v>
      </c>
      <c r="AF39" s="49" t="n">
        <f aca="false">_xlfn.MAXIFS('AVANCE REAL'!$E$6:$E$405,'AVANCE REAL'!$C$6:$C$405,$B39,'AVANCE REAL'!$D$6:$D$405,$C39,'AVANCE REAL'!$A$6:$A$405,"&lt;="&amp;MIN(AF$5,PARÁMETROS!$B$7))</f>
        <v>0</v>
      </c>
      <c r="AG39" s="49" t="n">
        <f aca="false">_xlfn.MAXIFS('AVANCE REAL'!$E$6:$E$405,'AVANCE REAL'!$C$6:$C$405,$B39,'AVANCE REAL'!$D$6:$D$405,$C39,'AVANCE REAL'!$A$6:$A$405,"&lt;="&amp;MIN(AG$5,PARÁMETROS!$B$7))</f>
        <v>0</v>
      </c>
      <c r="AH39" s="49" t="n">
        <f aca="false">_xlfn.MAXIFS('AVANCE REAL'!$E$6:$E$405,'AVANCE REAL'!$C$6:$C$405,$B39,'AVANCE REAL'!$D$6:$D$405,$C39,'AVANCE REAL'!$A$6:$A$405,"&lt;="&amp;MIN(AH$5,PARÁMETROS!$B$7))</f>
        <v>0</v>
      </c>
      <c r="AI39" s="49" t="n">
        <f aca="false">_xlfn.MAXIFS('AVANCE REAL'!$E$6:$E$405,'AVANCE REAL'!$C$6:$C$405,$B39,'AVANCE REAL'!$D$6:$D$405,$C39,'AVANCE REAL'!$A$6:$A$405,"&lt;="&amp;MIN(AI$5,PARÁMETROS!$B$7))</f>
        <v>0</v>
      </c>
      <c r="AJ39" s="49" t="n">
        <f aca="false">_xlfn.MAXIFS('AVANCE REAL'!$E$6:$E$405,'AVANCE REAL'!$C$6:$C$405,$B39,'AVANCE REAL'!$D$6:$D$405,$C39,'AVANCE REAL'!$A$6:$A$405,"&lt;="&amp;MIN(AJ$5,PARÁMETROS!$B$7))</f>
        <v>0</v>
      </c>
      <c r="AK39" s="49" t="n">
        <f aca="false">_xlfn.MAXIFS('AVANCE REAL'!$E$6:$E$405,'AVANCE REAL'!$C$6:$C$405,$B39,'AVANCE REAL'!$D$6:$D$405,$C39,'AVANCE REAL'!$A$6:$A$405,"&lt;="&amp;MIN(AK$5,PARÁMETROS!$B$7))</f>
        <v>0</v>
      </c>
    </row>
    <row r="40" customFormat="false" ht="15" hidden="false" customHeight="false" outlineLevel="0" collapsed="false">
      <c r="B40" s="39" t="str">
        <f aca="false">B13</f>
        <v>NIVEL 1</v>
      </c>
      <c r="C40" s="39" t="str">
        <f aca="false">C13</f>
        <v>Curado</v>
      </c>
      <c r="L40" s="49" t="n">
        <f aca="false">_xlfn.MAXIFS('AVANCE REAL'!$E$6:$E$405,'AVANCE REAL'!$C$6:$C$405,$B40,'AVANCE REAL'!$D$6:$D$405,$C40,'AVANCE REAL'!$A$6:$A$405,"&lt;="&amp;MIN(L$5,PARÁMETROS!$B$7))</f>
        <v>0</v>
      </c>
      <c r="M40" s="49" t="n">
        <f aca="false">_xlfn.MAXIFS('AVANCE REAL'!$E$6:$E$405,'AVANCE REAL'!$C$6:$C$405,$B40,'AVANCE REAL'!$D$6:$D$405,$C40,'AVANCE REAL'!$A$6:$A$405,"&lt;="&amp;MIN(M$5,PARÁMETROS!$B$7))</f>
        <v>0</v>
      </c>
      <c r="N40" s="49" t="n">
        <f aca="false">_xlfn.MAXIFS('AVANCE REAL'!$E$6:$E$405,'AVANCE REAL'!$C$6:$C$405,$B40,'AVANCE REAL'!$D$6:$D$405,$C40,'AVANCE REAL'!$A$6:$A$405,"&lt;="&amp;MIN(N$5,PARÁMETROS!$B$7))</f>
        <v>0</v>
      </c>
      <c r="O40" s="49" t="n">
        <f aca="false">_xlfn.MAXIFS('AVANCE REAL'!$E$6:$E$405,'AVANCE REAL'!$C$6:$C$405,$B40,'AVANCE REAL'!$D$6:$D$405,$C40,'AVANCE REAL'!$A$6:$A$405,"&lt;="&amp;MIN(O$5,PARÁMETROS!$B$7))</f>
        <v>0</v>
      </c>
      <c r="P40" s="49" t="n">
        <f aca="false">_xlfn.MAXIFS('AVANCE REAL'!$E$6:$E$405,'AVANCE REAL'!$C$6:$C$405,$B40,'AVANCE REAL'!$D$6:$D$405,$C40,'AVANCE REAL'!$A$6:$A$405,"&lt;="&amp;MIN(P$5,PARÁMETROS!$B$7))</f>
        <v>0</v>
      </c>
      <c r="Q40" s="49" t="n">
        <f aca="false">_xlfn.MAXIFS('AVANCE REAL'!$E$6:$E$405,'AVANCE REAL'!$C$6:$C$405,$B40,'AVANCE REAL'!$D$6:$D$405,$C40,'AVANCE REAL'!$A$6:$A$405,"&lt;="&amp;MIN(Q$5,PARÁMETROS!$B$7))</f>
        <v>0</v>
      </c>
      <c r="R40" s="49" t="n">
        <f aca="false">_xlfn.MAXIFS('AVANCE REAL'!$E$6:$E$405,'AVANCE REAL'!$C$6:$C$405,$B40,'AVANCE REAL'!$D$6:$D$405,$C40,'AVANCE REAL'!$A$6:$A$405,"&lt;="&amp;MIN(R$5,PARÁMETROS!$B$7))</f>
        <v>0</v>
      </c>
      <c r="S40" s="49" t="n">
        <f aca="false">_xlfn.MAXIFS('AVANCE REAL'!$E$6:$E$405,'AVANCE REAL'!$C$6:$C$405,$B40,'AVANCE REAL'!$D$6:$D$405,$C40,'AVANCE REAL'!$A$6:$A$405,"&lt;="&amp;MIN(S$5,PARÁMETROS!$B$7))</f>
        <v>0</v>
      </c>
      <c r="T40" s="49" t="n">
        <f aca="false">_xlfn.MAXIFS('AVANCE REAL'!$E$6:$E$405,'AVANCE REAL'!$C$6:$C$405,$B40,'AVANCE REAL'!$D$6:$D$405,$C40,'AVANCE REAL'!$A$6:$A$405,"&lt;="&amp;MIN(T$5,PARÁMETROS!$B$7))</f>
        <v>0</v>
      </c>
      <c r="U40" s="49" t="n">
        <f aca="false">_xlfn.MAXIFS('AVANCE REAL'!$E$6:$E$405,'AVANCE REAL'!$C$6:$C$405,$B40,'AVANCE REAL'!$D$6:$D$405,$C40,'AVANCE REAL'!$A$6:$A$405,"&lt;="&amp;MIN(U$5,PARÁMETROS!$B$7))</f>
        <v>0</v>
      </c>
      <c r="V40" s="49" t="n">
        <f aca="false">_xlfn.MAXIFS('AVANCE REAL'!$E$6:$E$405,'AVANCE REAL'!$C$6:$C$405,$B40,'AVANCE REAL'!$D$6:$D$405,$C40,'AVANCE REAL'!$A$6:$A$405,"&lt;="&amp;MIN(V$5,PARÁMETROS!$B$7))</f>
        <v>0</v>
      </c>
      <c r="W40" s="49" t="n">
        <f aca="false">_xlfn.MAXIFS('AVANCE REAL'!$E$6:$E$405,'AVANCE REAL'!$C$6:$C$405,$B40,'AVANCE REAL'!$D$6:$D$405,$C40,'AVANCE REAL'!$A$6:$A$405,"&lt;="&amp;MIN(W$5,PARÁMETROS!$B$7))</f>
        <v>0</v>
      </c>
      <c r="X40" s="49" t="n">
        <f aca="false">_xlfn.MAXIFS('AVANCE REAL'!$E$6:$E$405,'AVANCE REAL'!$C$6:$C$405,$B40,'AVANCE REAL'!$D$6:$D$405,$C40,'AVANCE REAL'!$A$6:$A$405,"&lt;="&amp;MIN(X$5,PARÁMETROS!$B$7))</f>
        <v>0</v>
      </c>
      <c r="Y40" s="49" t="n">
        <f aca="false">_xlfn.MAXIFS('AVANCE REAL'!$E$6:$E$405,'AVANCE REAL'!$C$6:$C$405,$B40,'AVANCE REAL'!$D$6:$D$405,$C40,'AVANCE REAL'!$A$6:$A$405,"&lt;="&amp;MIN(Y$5,PARÁMETROS!$B$7))</f>
        <v>0</v>
      </c>
      <c r="Z40" s="49" t="n">
        <f aca="false">_xlfn.MAXIFS('AVANCE REAL'!$E$6:$E$405,'AVANCE REAL'!$C$6:$C$405,$B40,'AVANCE REAL'!$D$6:$D$405,$C40,'AVANCE REAL'!$A$6:$A$405,"&lt;="&amp;MIN(Z$5,PARÁMETROS!$B$7))</f>
        <v>0</v>
      </c>
      <c r="AA40" s="49" t="n">
        <f aca="false">_xlfn.MAXIFS('AVANCE REAL'!$E$6:$E$405,'AVANCE REAL'!$C$6:$C$405,$B40,'AVANCE REAL'!$D$6:$D$405,$C40,'AVANCE REAL'!$A$6:$A$405,"&lt;="&amp;MIN(AA$5,PARÁMETROS!$B$7))</f>
        <v>0</v>
      </c>
      <c r="AB40" s="49" t="n">
        <f aca="false">_xlfn.MAXIFS('AVANCE REAL'!$E$6:$E$405,'AVANCE REAL'!$C$6:$C$405,$B40,'AVANCE REAL'!$D$6:$D$405,$C40,'AVANCE REAL'!$A$6:$A$405,"&lt;="&amp;MIN(AB$5,PARÁMETROS!$B$7))</f>
        <v>0</v>
      </c>
      <c r="AC40" s="49" t="n">
        <f aca="false">_xlfn.MAXIFS('AVANCE REAL'!$E$6:$E$405,'AVANCE REAL'!$C$6:$C$405,$B40,'AVANCE REAL'!$D$6:$D$405,$C40,'AVANCE REAL'!$A$6:$A$405,"&lt;="&amp;MIN(AC$5,PARÁMETROS!$B$7))</f>
        <v>0</v>
      </c>
      <c r="AD40" s="49" t="n">
        <f aca="false">_xlfn.MAXIFS('AVANCE REAL'!$E$6:$E$405,'AVANCE REAL'!$C$6:$C$405,$B40,'AVANCE REAL'!$D$6:$D$405,$C40,'AVANCE REAL'!$A$6:$A$405,"&lt;="&amp;MIN(AD$5,PARÁMETROS!$B$7))</f>
        <v>0</v>
      </c>
      <c r="AE40" s="49" t="n">
        <f aca="false">_xlfn.MAXIFS('AVANCE REAL'!$E$6:$E$405,'AVANCE REAL'!$C$6:$C$405,$B40,'AVANCE REAL'!$D$6:$D$405,$C40,'AVANCE REAL'!$A$6:$A$405,"&lt;="&amp;MIN(AE$5,PARÁMETROS!$B$7))</f>
        <v>0</v>
      </c>
      <c r="AF40" s="49" t="n">
        <f aca="false">_xlfn.MAXIFS('AVANCE REAL'!$E$6:$E$405,'AVANCE REAL'!$C$6:$C$405,$B40,'AVANCE REAL'!$D$6:$D$405,$C40,'AVANCE REAL'!$A$6:$A$405,"&lt;="&amp;MIN(AF$5,PARÁMETROS!$B$7))</f>
        <v>0</v>
      </c>
      <c r="AG40" s="49" t="n">
        <f aca="false">_xlfn.MAXIFS('AVANCE REAL'!$E$6:$E$405,'AVANCE REAL'!$C$6:$C$405,$B40,'AVANCE REAL'!$D$6:$D$405,$C40,'AVANCE REAL'!$A$6:$A$405,"&lt;="&amp;MIN(AG$5,PARÁMETROS!$B$7))</f>
        <v>0</v>
      </c>
      <c r="AH40" s="49" t="n">
        <f aca="false">_xlfn.MAXIFS('AVANCE REAL'!$E$6:$E$405,'AVANCE REAL'!$C$6:$C$405,$B40,'AVANCE REAL'!$D$6:$D$405,$C40,'AVANCE REAL'!$A$6:$A$405,"&lt;="&amp;MIN(AH$5,PARÁMETROS!$B$7))</f>
        <v>0</v>
      </c>
      <c r="AI40" s="49" t="n">
        <f aca="false">_xlfn.MAXIFS('AVANCE REAL'!$E$6:$E$405,'AVANCE REAL'!$C$6:$C$405,$B40,'AVANCE REAL'!$D$6:$D$405,$C40,'AVANCE REAL'!$A$6:$A$405,"&lt;="&amp;MIN(AI$5,PARÁMETROS!$B$7))</f>
        <v>0</v>
      </c>
      <c r="AJ40" s="49" t="n">
        <f aca="false">_xlfn.MAXIFS('AVANCE REAL'!$E$6:$E$405,'AVANCE REAL'!$C$6:$C$405,$B40,'AVANCE REAL'!$D$6:$D$405,$C40,'AVANCE REAL'!$A$6:$A$405,"&lt;="&amp;MIN(AJ$5,PARÁMETROS!$B$7))</f>
        <v>0</v>
      </c>
      <c r="AK40" s="49" t="n">
        <f aca="false">_xlfn.MAXIFS('AVANCE REAL'!$E$6:$E$405,'AVANCE REAL'!$C$6:$C$405,$B40,'AVANCE REAL'!$D$6:$D$405,$C40,'AVANCE REAL'!$A$6:$A$405,"&lt;="&amp;MIN(AK$5,PARÁMETROS!$B$7))</f>
        <v>0</v>
      </c>
    </row>
    <row r="41" customFormat="false" ht="15" hidden="false" customHeight="false" outlineLevel="0" collapsed="false">
      <c r="B41" s="39" t="str">
        <f aca="false">B14</f>
        <v>NIVEL 2</v>
      </c>
      <c r="C41" s="39" t="str">
        <f aca="false">C14</f>
        <v>Acero</v>
      </c>
      <c r="L41" s="49" t="n">
        <f aca="false">_xlfn.MAXIFS('AVANCE REAL'!$E$6:$E$405,'AVANCE REAL'!$C$6:$C$405,$B41,'AVANCE REAL'!$D$6:$D$405,$C41,'AVANCE REAL'!$A$6:$A$405,"&lt;="&amp;MIN(L$5,PARÁMETROS!$B$7))</f>
        <v>0</v>
      </c>
      <c r="M41" s="49" t="n">
        <f aca="false">_xlfn.MAXIFS('AVANCE REAL'!$E$6:$E$405,'AVANCE REAL'!$C$6:$C$405,$B41,'AVANCE REAL'!$D$6:$D$405,$C41,'AVANCE REAL'!$A$6:$A$405,"&lt;="&amp;MIN(M$5,PARÁMETROS!$B$7))</f>
        <v>0</v>
      </c>
      <c r="N41" s="49" t="n">
        <f aca="false">_xlfn.MAXIFS('AVANCE REAL'!$E$6:$E$405,'AVANCE REAL'!$C$6:$C$405,$B41,'AVANCE REAL'!$D$6:$D$405,$C41,'AVANCE REAL'!$A$6:$A$405,"&lt;="&amp;MIN(N$5,PARÁMETROS!$B$7))</f>
        <v>0</v>
      </c>
      <c r="O41" s="49" t="n">
        <f aca="false">_xlfn.MAXIFS('AVANCE REAL'!$E$6:$E$405,'AVANCE REAL'!$C$6:$C$405,$B41,'AVANCE REAL'!$D$6:$D$405,$C41,'AVANCE REAL'!$A$6:$A$405,"&lt;="&amp;MIN(O$5,PARÁMETROS!$B$7))</f>
        <v>0</v>
      </c>
      <c r="P41" s="49" t="n">
        <f aca="false">_xlfn.MAXIFS('AVANCE REAL'!$E$6:$E$405,'AVANCE REAL'!$C$6:$C$405,$B41,'AVANCE REAL'!$D$6:$D$405,$C41,'AVANCE REAL'!$A$6:$A$405,"&lt;="&amp;MIN(P$5,PARÁMETROS!$B$7))</f>
        <v>0</v>
      </c>
      <c r="Q41" s="49" t="n">
        <f aca="false">_xlfn.MAXIFS('AVANCE REAL'!$E$6:$E$405,'AVANCE REAL'!$C$6:$C$405,$B41,'AVANCE REAL'!$D$6:$D$405,$C41,'AVANCE REAL'!$A$6:$A$405,"&lt;="&amp;MIN(Q$5,PARÁMETROS!$B$7))</f>
        <v>0</v>
      </c>
      <c r="R41" s="49" t="n">
        <f aca="false">_xlfn.MAXIFS('AVANCE REAL'!$E$6:$E$405,'AVANCE REAL'!$C$6:$C$405,$B41,'AVANCE REAL'!$D$6:$D$405,$C41,'AVANCE REAL'!$A$6:$A$405,"&lt;="&amp;MIN(R$5,PARÁMETROS!$B$7))</f>
        <v>0</v>
      </c>
      <c r="S41" s="49" t="n">
        <f aca="false">_xlfn.MAXIFS('AVANCE REAL'!$E$6:$E$405,'AVANCE REAL'!$C$6:$C$405,$B41,'AVANCE REAL'!$D$6:$D$405,$C41,'AVANCE REAL'!$A$6:$A$405,"&lt;="&amp;MIN(S$5,PARÁMETROS!$B$7))</f>
        <v>0</v>
      </c>
      <c r="T41" s="49" t="n">
        <f aca="false">_xlfn.MAXIFS('AVANCE REAL'!$E$6:$E$405,'AVANCE REAL'!$C$6:$C$405,$B41,'AVANCE REAL'!$D$6:$D$405,$C41,'AVANCE REAL'!$A$6:$A$405,"&lt;="&amp;MIN(T$5,PARÁMETROS!$B$7))</f>
        <v>0</v>
      </c>
      <c r="U41" s="49" t="n">
        <f aca="false">_xlfn.MAXIFS('AVANCE REAL'!$E$6:$E$405,'AVANCE REAL'!$C$6:$C$405,$B41,'AVANCE REAL'!$D$6:$D$405,$C41,'AVANCE REAL'!$A$6:$A$405,"&lt;="&amp;MIN(U$5,PARÁMETROS!$B$7))</f>
        <v>0</v>
      </c>
      <c r="V41" s="49" t="n">
        <f aca="false">_xlfn.MAXIFS('AVANCE REAL'!$E$6:$E$405,'AVANCE REAL'!$C$6:$C$405,$B41,'AVANCE REAL'!$D$6:$D$405,$C41,'AVANCE REAL'!$A$6:$A$405,"&lt;="&amp;MIN(V$5,PARÁMETROS!$B$7))</f>
        <v>0</v>
      </c>
      <c r="W41" s="49" t="n">
        <f aca="false">_xlfn.MAXIFS('AVANCE REAL'!$E$6:$E$405,'AVANCE REAL'!$C$6:$C$405,$B41,'AVANCE REAL'!$D$6:$D$405,$C41,'AVANCE REAL'!$A$6:$A$405,"&lt;="&amp;MIN(W$5,PARÁMETROS!$B$7))</f>
        <v>0</v>
      </c>
      <c r="X41" s="49" t="n">
        <f aca="false">_xlfn.MAXIFS('AVANCE REAL'!$E$6:$E$405,'AVANCE REAL'!$C$6:$C$405,$B41,'AVANCE REAL'!$D$6:$D$405,$C41,'AVANCE REAL'!$A$6:$A$405,"&lt;="&amp;MIN(X$5,PARÁMETROS!$B$7))</f>
        <v>0</v>
      </c>
      <c r="Y41" s="49" t="n">
        <f aca="false">_xlfn.MAXIFS('AVANCE REAL'!$E$6:$E$405,'AVANCE REAL'!$C$6:$C$405,$B41,'AVANCE REAL'!$D$6:$D$405,$C41,'AVANCE REAL'!$A$6:$A$405,"&lt;="&amp;MIN(Y$5,PARÁMETROS!$B$7))</f>
        <v>0</v>
      </c>
      <c r="Z41" s="49" t="n">
        <f aca="false">_xlfn.MAXIFS('AVANCE REAL'!$E$6:$E$405,'AVANCE REAL'!$C$6:$C$405,$B41,'AVANCE REAL'!$D$6:$D$405,$C41,'AVANCE REAL'!$A$6:$A$405,"&lt;="&amp;MIN(Z$5,PARÁMETROS!$B$7))</f>
        <v>0</v>
      </c>
      <c r="AA41" s="49" t="n">
        <f aca="false">_xlfn.MAXIFS('AVANCE REAL'!$E$6:$E$405,'AVANCE REAL'!$C$6:$C$405,$B41,'AVANCE REAL'!$D$6:$D$405,$C41,'AVANCE REAL'!$A$6:$A$405,"&lt;="&amp;MIN(AA$5,PARÁMETROS!$B$7))</f>
        <v>0</v>
      </c>
      <c r="AB41" s="49" t="n">
        <f aca="false">_xlfn.MAXIFS('AVANCE REAL'!$E$6:$E$405,'AVANCE REAL'!$C$6:$C$405,$B41,'AVANCE REAL'!$D$6:$D$405,$C41,'AVANCE REAL'!$A$6:$A$405,"&lt;="&amp;MIN(AB$5,PARÁMETROS!$B$7))</f>
        <v>0</v>
      </c>
      <c r="AC41" s="49" t="n">
        <f aca="false">_xlfn.MAXIFS('AVANCE REAL'!$E$6:$E$405,'AVANCE REAL'!$C$6:$C$405,$B41,'AVANCE REAL'!$D$6:$D$405,$C41,'AVANCE REAL'!$A$6:$A$405,"&lt;="&amp;MIN(AC$5,PARÁMETROS!$B$7))</f>
        <v>0</v>
      </c>
      <c r="AD41" s="49" t="n">
        <f aca="false">_xlfn.MAXIFS('AVANCE REAL'!$E$6:$E$405,'AVANCE REAL'!$C$6:$C$405,$B41,'AVANCE REAL'!$D$6:$D$405,$C41,'AVANCE REAL'!$A$6:$A$405,"&lt;="&amp;MIN(AD$5,PARÁMETROS!$B$7))</f>
        <v>0</v>
      </c>
      <c r="AE41" s="49" t="n">
        <f aca="false">_xlfn.MAXIFS('AVANCE REAL'!$E$6:$E$405,'AVANCE REAL'!$C$6:$C$405,$B41,'AVANCE REAL'!$D$6:$D$405,$C41,'AVANCE REAL'!$A$6:$A$405,"&lt;="&amp;MIN(AE$5,PARÁMETROS!$B$7))</f>
        <v>0</v>
      </c>
      <c r="AF41" s="49" t="n">
        <f aca="false">_xlfn.MAXIFS('AVANCE REAL'!$E$6:$E$405,'AVANCE REAL'!$C$6:$C$405,$B41,'AVANCE REAL'!$D$6:$D$405,$C41,'AVANCE REAL'!$A$6:$A$405,"&lt;="&amp;MIN(AF$5,PARÁMETROS!$B$7))</f>
        <v>0</v>
      </c>
      <c r="AG41" s="49" t="n">
        <f aca="false">_xlfn.MAXIFS('AVANCE REAL'!$E$6:$E$405,'AVANCE REAL'!$C$6:$C$405,$B41,'AVANCE REAL'!$D$6:$D$405,$C41,'AVANCE REAL'!$A$6:$A$405,"&lt;="&amp;MIN(AG$5,PARÁMETROS!$B$7))</f>
        <v>0</v>
      </c>
      <c r="AH41" s="49" t="n">
        <f aca="false">_xlfn.MAXIFS('AVANCE REAL'!$E$6:$E$405,'AVANCE REAL'!$C$6:$C$405,$B41,'AVANCE REAL'!$D$6:$D$405,$C41,'AVANCE REAL'!$A$6:$A$405,"&lt;="&amp;MIN(AH$5,PARÁMETROS!$B$7))</f>
        <v>0</v>
      </c>
      <c r="AI41" s="49" t="n">
        <f aca="false">_xlfn.MAXIFS('AVANCE REAL'!$E$6:$E$405,'AVANCE REAL'!$C$6:$C$405,$B41,'AVANCE REAL'!$D$6:$D$405,$C41,'AVANCE REAL'!$A$6:$A$405,"&lt;="&amp;MIN(AI$5,PARÁMETROS!$B$7))</f>
        <v>0</v>
      </c>
      <c r="AJ41" s="49" t="n">
        <f aca="false">_xlfn.MAXIFS('AVANCE REAL'!$E$6:$E$405,'AVANCE REAL'!$C$6:$C$405,$B41,'AVANCE REAL'!$D$6:$D$405,$C41,'AVANCE REAL'!$A$6:$A$405,"&lt;="&amp;MIN(AJ$5,PARÁMETROS!$B$7))</f>
        <v>0</v>
      </c>
      <c r="AK41" s="49" t="n">
        <f aca="false">_xlfn.MAXIFS('AVANCE REAL'!$E$6:$E$405,'AVANCE REAL'!$C$6:$C$405,$B41,'AVANCE REAL'!$D$6:$D$405,$C41,'AVANCE REAL'!$A$6:$A$405,"&lt;="&amp;MIN(AK$5,PARÁMETROS!$B$7))</f>
        <v>0</v>
      </c>
    </row>
    <row r="42" customFormat="false" ht="15" hidden="false" customHeight="false" outlineLevel="0" collapsed="false">
      <c r="B42" s="39" t="str">
        <f aca="false">B15</f>
        <v>NIVEL 2</v>
      </c>
      <c r="C42" s="39" t="str">
        <f aca="false">C15</f>
        <v>Encofrado</v>
      </c>
      <c r="L42" s="49" t="n">
        <f aca="false">_xlfn.MAXIFS('AVANCE REAL'!$E$6:$E$405,'AVANCE REAL'!$C$6:$C$405,$B42,'AVANCE REAL'!$D$6:$D$405,$C42,'AVANCE REAL'!$A$6:$A$405,"&lt;="&amp;MIN(L$5,PARÁMETROS!$B$7))</f>
        <v>0</v>
      </c>
      <c r="M42" s="49" t="n">
        <f aca="false">_xlfn.MAXIFS('AVANCE REAL'!$E$6:$E$405,'AVANCE REAL'!$C$6:$C$405,$B42,'AVANCE REAL'!$D$6:$D$405,$C42,'AVANCE REAL'!$A$6:$A$405,"&lt;="&amp;MIN(M$5,PARÁMETROS!$B$7))</f>
        <v>0</v>
      </c>
      <c r="N42" s="49" t="n">
        <f aca="false">_xlfn.MAXIFS('AVANCE REAL'!$E$6:$E$405,'AVANCE REAL'!$C$6:$C$405,$B42,'AVANCE REAL'!$D$6:$D$405,$C42,'AVANCE REAL'!$A$6:$A$405,"&lt;="&amp;MIN(N$5,PARÁMETROS!$B$7))</f>
        <v>0</v>
      </c>
      <c r="O42" s="49" t="n">
        <f aca="false">_xlfn.MAXIFS('AVANCE REAL'!$E$6:$E$405,'AVANCE REAL'!$C$6:$C$405,$B42,'AVANCE REAL'!$D$6:$D$405,$C42,'AVANCE REAL'!$A$6:$A$405,"&lt;="&amp;MIN(O$5,PARÁMETROS!$B$7))</f>
        <v>0</v>
      </c>
      <c r="P42" s="49" t="n">
        <f aca="false">_xlfn.MAXIFS('AVANCE REAL'!$E$6:$E$405,'AVANCE REAL'!$C$6:$C$405,$B42,'AVANCE REAL'!$D$6:$D$405,$C42,'AVANCE REAL'!$A$6:$A$405,"&lt;="&amp;MIN(P$5,PARÁMETROS!$B$7))</f>
        <v>0</v>
      </c>
      <c r="Q42" s="49" t="n">
        <f aca="false">_xlfn.MAXIFS('AVANCE REAL'!$E$6:$E$405,'AVANCE REAL'!$C$6:$C$405,$B42,'AVANCE REAL'!$D$6:$D$405,$C42,'AVANCE REAL'!$A$6:$A$405,"&lt;="&amp;MIN(Q$5,PARÁMETROS!$B$7))</f>
        <v>0</v>
      </c>
      <c r="R42" s="49" t="n">
        <f aca="false">_xlfn.MAXIFS('AVANCE REAL'!$E$6:$E$405,'AVANCE REAL'!$C$6:$C$405,$B42,'AVANCE REAL'!$D$6:$D$405,$C42,'AVANCE REAL'!$A$6:$A$405,"&lt;="&amp;MIN(R$5,PARÁMETROS!$B$7))</f>
        <v>0</v>
      </c>
      <c r="S42" s="49" t="n">
        <f aca="false">_xlfn.MAXIFS('AVANCE REAL'!$E$6:$E$405,'AVANCE REAL'!$C$6:$C$405,$B42,'AVANCE REAL'!$D$6:$D$405,$C42,'AVANCE REAL'!$A$6:$A$405,"&lt;="&amp;MIN(S$5,PARÁMETROS!$B$7))</f>
        <v>0</v>
      </c>
      <c r="T42" s="49" t="n">
        <f aca="false">_xlfn.MAXIFS('AVANCE REAL'!$E$6:$E$405,'AVANCE REAL'!$C$6:$C$405,$B42,'AVANCE REAL'!$D$6:$D$405,$C42,'AVANCE REAL'!$A$6:$A$405,"&lt;="&amp;MIN(T$5,PARÁMETROS!$B$7))</f>
        <v>0</v>
      </c>
      <c r="U42" s="49" t="n">
        <f aca="false">_xlfn.MAXIFS('AVANCE REAL'!$E$6:$E$405,'AVANCE REAL'!$C$6:$C$405,$B42,'AVANCE REAL'!$D$6:$D$405,$C42,'AVANCE REAL'!$A$6:$A$405,"&lt;="&amp;MIN(U$5,PARÁMETROS!$B$7))</f>
        <v>0</v>
      </c>
      <c r="V42" s="49" t="n">
        <f aca="false">_xlfn.MAXIFS('AVANCE REAL'!$E$6:$E$405,'AVANCE REAL'!$C$6:$C$405,$B42,'AVANCE REAL'!$D$6:$D$405,$C42,'AVANCE REAL'!$A$6:$A$405,"&lt;="&amp;MIN(V$5,PARÁMETROS!$B$7))</f>
        <v>0</v>
      </c>
      <c r="W42" s="49" t="n">
        <f aca="false">_xlfn.MAXIFS('AVANCE REAL'!$E$6:$E$405,'AVANCE REAL'!$C$6:$C$405,$B42,'AVANCE REAL'!$D$6:$D$405,$C42,'AVANCE REAL'!$A$6:$A$405,"&lt;="&amp;MIN(W$5,PARÁMETROS!$B$7))</f>
        <v>0</v>
      </c>
      <c r="X42" s="49" t="n">
        <f aca="false">_xlfn.MAXIFS('AVANCE REAL'!$E$6:$E$405,'AVANCE REAL'!$C$6:$C$405,$B42,'AVANCE REAL'!$D$6:$D$405,$C42,'AVANCE REAL'!$A$6:$A$405,"&lt;="&amp;MIN(X$5,PARÁMETROS!$B$7))</f>
        <v>0</v>
      </c>
      <c r="Y42" s="49" t="n">
        <f aca="false">_xlfn.MAXIFS('AVANCE REAL'!$E$6:$E$405,'AVANCE REAL'!$C$6:$C$405,$B42,'AVANCE REAL'!$D$6:$D$405,$C42,'AVANCE REAL'!$A$6:$A$405,"&lt;="&amp;MIN(Y$5,PARÁMETROS!$B$7))</f>
        <v>0</v>
      </c>
      <c r="Z42" s="49" t="n">
        <f aca="false">_xlfn.MAXIFS('AVANCE REAL'!$E$6:$E$405,'AVANCE REAL'!$C$6:$C$405,$B42,'AVANCE REAL'!$D$6:$D$405,$C42,'AVANCE REAL'!$A$6:$A$405,"&lt;="&amp;MIN(Z$5,PARÁMETROS!$B$7))</f>
        <v>0</v>
      </c>
      <c r="AA42" s="49" t="n">
        <f aca="false">_xlfn.MAXIFS('AVANCE REAL'!$E$6:$E$405,'AVANCE REAL'!$C$6:$C$405,$B42,'AVANCE REAL'!$D$6:$D$405,$C42,'AVANCE REAL'!$A$6:$A$405,"&lt;="&amp;MIN(AA$5,PARÁMETROS!$B$7))</f>
        <v>0</v>
      </c>
      <c r="AB42" s="49" t="n">
        <f aca="false">_xlfn.MAXIFS('AVANCE REAL'!$E$6:$E$405,'AVANCE REAL'!$C$6:$C$405,$B42,'AVANCE REAL'!$D$6:$D$405,$C42,'AVANCE REAL'!$A$6:$A$405,"&lt;="&amp;MIN(AB$5,PARÁMETROS!$B$7))</f>
        <v>0</v>
      </c>
      <c r="AC42" s="49" t="n">
        <f aca="false">_xlfn.MAXIFS('AVANCE REAL'!$E$6:$E$405,'AVANCE REAL'!$C$6:$C$405,$B42,'AVANCE REAL'!$D$6:$D$405,$C42,'AVANCE REAL'!$A$6:$A$405,"&lt;="&amp;MIN(AC$5,PARÁMETROS!$B$7))</f>
        <v>0</v>
      </c>
      <c r="AD42" s="49" t="n">
        <f aca="false">_xlfn.MAXIFS('AVANCE REAL'!$E$6:$E$405,'AVANCE REAL'!$C$6:$C$405,$B42,'AVANCE REAL'!$D$6:$D$405,$C42,'AVANCE REAL'!$A$6:$A$405,"&lt;="&amp;MIN(AD$5,PARÁMETROS!$B$7))</f>
        <v>0</v>
      </c>
      <c r="AE42" s="49" t="n">
        <f aca="false">_xlfn.MAXIFS('AVANCE REAL'!$E$6:$E$405,'AVANCE REAL'!$C$6:$C$405,$B42,'AVANCE REAL'!$D$6:$D$405,$C42,'AVANCE REAL'!$A$6:$A$405,"&lt;="&amp;MIN(AE$5,PARÁMETROS!$B$7))</f>
        <v>0</v>
      </c>
      <c r="AF42" s="49" t="n">
        <f aca="false">_xlfn.MAXIFS('AVANCE REAL'!$E$6:$E$405,'AVANCE REAL'!$C$6:$C$405,$B42,'AVANCE REAL'!$D$6:$D$405,$C42,'AVANCE REAL'!$A$6:$A$405,"&lt;="&amp;MIN(AF$5,PARÁMETROS!$B$7))</f>
        <v>0</v>
      </c>
      <c r="AG42" s="49" t="n">
        <f aca="false">_xlfn.MAXIFS('AVANCE REAL'!$E$6:$E$405,'AVANCE REAL'!$C$6:$C$405,$B42,'AVANCE REAL'!$D$6:$D$405,$C42,'AVANCE REAL'!$A$6:$A$405,"&lt;="&amp;MIN(AG$5,PARÁMETROS!$B$7))</f>
        <v>0</v>
      </c>
      <c r="AH42" s="49" t="n">
        <f aca="false">_xlfn.MAXIFS('AVANCE REAL'!$E$6:$E$405,'AVANCE REAL'!$C$6:$C$405,$B42,'AVANCE REAL'!$D$6:$D$405,$C42,'AVANCE REAL'!$A$6:$A$405,"&lt;="&amp;MIN(AH$5,PARÁMETROS!$B$7))</f>
        <v>0</v>
      </c>
      <c r="AI42" s="49" t="n">
        <f aca="false">_xlfn.MAXIFS('AVANCE REAL'!$E$6:$E$405,'AVANCE REAL'!$C$6:$C$405,$B42,'AVANCE REAL'!$D$6:$D$405,$C42,'AVANCE REAL'!$A$6:$A$405,"&lt;="&amp;MIN(AI$5,PARÁMETROS!$B$7))</f>
        <v>0</v>
      </c>
      <c r="AJ42" s="49" t="n">
        <f aca="false">_xlfn.MAXIFS('AVANCE REAL'!$E$6:$E$405,'AVANCE REAL'!$C$6:$C$405,$B42,'AVANCE REAL'!$D$6:$D$405,$C42,'AVANCE REAL'!$A$6:$A$405,"&lt;="&amp;MIN(AJ$5,PARÁMETROS!$B$7))</f>
        <v>0</v>
      </c>
      <c r="AK42" s="49" t="n">
        <f aca="false">_xlfn.MAXIFS('AVANCE REAL'!$E$6:$E$405,'AVANCE REAL'!$C$6:$C$405,$B42,'AVANCE REAL'!$D$6:$D$405,$C42,'AVANCE REAL'!$A$6:$A$405,"&lt;="&amp;MIN(AK$5,PARÁMETROS!$B$7))</f>
        <v>0</v>
      </c>
    </row>
    <row r="43" customFormat="false" ht="15" hidden="false" customHeight="false" outlineLevel="0" collapsed="false">
      <c r="B43" s="39" t="str">
        <f aca="false">B16</f>
        <v>NIVEL 2</v>
      </c>
      <c r="C43" s="39" t="str">
        <f aca="false">C16</f>
        <v>Concreto</v>
      </c>
      <c r="L43" s="49" t="n">
        <f aca="false">_xlfn.MAXIFS('AVANCE REAL'!$E$6:$E$405,'AVANCE REAL'!$C$6:$C$405,$B43,'AVANCE REAL'!$D$6:$D$405,$C43,'AVANCE REAL'!$A$6:$A$405,"&lt;="&amp;MIN(L$5,PARÁMETROS!$B$7))</f>
        <v>0</v>
      </c>
      <c r="M43" s="49" t="n">
        <f aca="false">_xlfn.MAXIFS('AVANCE REAL'!$E$6:$E$405,'AVANCE REAL'!$C$6:$C$405,$B43,'AVANCE REAL'!$D$6:$D$405,$C43,'AVANCE REAL'!$A$6:$A$405,"&lt;="&amp;MIN(M$5,PARÁMETROS!$B$7))</f>
        <v>0</v>
      </c>
      <c r="N43" s="49" t="n">
        <f aca="false">_xlfn.MAXIFS('AVANCE REAL'!$E$6:$E$405,'AVANCE REAL'!$C$6:$C$405,$B43,'AVANCE REAL'!$D$6:$D$405,$C43,'AVANCE REAL'!$A$6:$A$405,"&lt;="&amp;MIN(N$5,PARÁMETROS!$B$7))</f>
        <v>0</v>
      </c>
      <c r="O43" s="49" t="n">
        <f aca="false">_xlfn.MAXIFS('AVANCE REAL'!$E$6:$E$405,'AVANCE REAL'!$C$6:$C$405,$B43,'AVANCE REAL'!$D$6:$D$405,$C43,'AVANCE REAL'!$A$6:$A$405,"&lt;="&amp;MIN(O$5,PARÁMETROS!$B$7))</f>
        <v>0</v>
      </c>
      <c r="P43" s="49" t="n">
        <f aca="false">_xlfn.MAXIFS('AVANCE REAL'!$E$6:$E$405,'AVANCE REAL'!$C$6:$C$405,$B43,'AVANCE REAL'!$D$6:$D$405,$C43,'AVANCE REAL'!$A$6:$A$405,"&lt;="&amp;MIN(P$5,PARÁMETROS!$B$7))</f>
        <v>0</v>
      </c>
      <c r="Q43" s="49" t="n">
        <f aca="false">_xlfn.MAXIFS('AVANCE REAL'!$E$6:$E$405,'AVANCE REAL'!$C$6:$C$405,$B43,'AVANCE REAL'!$D$6:$D$405,$C43,'AVANCE REAL'!$A$6:$A$405,"&lt;="&amp;MIN(Q$5,PARÁMETROS!$B$7))</f>
        <v>0</v>
      </c>
      <c r="R43" s="49" t="n">
        <f aca="false">_xlfn.MAXIFS('AVANCE REAL'!$E$6:$E$405,'AVANCE REAL'!$C$6:$C$405,$B43,'AVANCE REAL'!$D$6:$D$405,$C43,'AVANCE REAL'!$A$6:$A$405,"&lt;="&amp;MIN(R$5,PARÁMETROS!$B$7))</f>
        <v>0</v>
      </c>
      <c r="S43" s="49" t="n">
        <f aca="false">_xlfn.MAXIFS('AVANCE REAL'!$E$6:$E$405,'AVANCE REAL'!$C$6:$C$405,$B43,'AVANCE REAL'!$D$6:$D$405,$C43,'AVANCE REAL'!$A$6:$A$405,"&lt;="&amp;MIN(S$5,PARÁMETROS!$B$7))</f>
        <v>0</v>
      </c>
      <c r="T43" s="49" t="n">
        <f aca="false">_xlfn.MAXIFS('AVANCE REAL'!$E$6:$E$405,'AVANCE REAL'!$C$6:$C$405,$B43,'AVANCE REAL'!$D$6:$D$405,$C43,'AVANCE REAL'!$A$6:$A$405,"&lt;="&amp;MIN(T$5,PARÁMETROS!$B$7))</f>
        <v>0</v>
      </c>
      <c r="U43" s="49" t="n">
        <f aca="false">_xlfn.MAXIFS('AVANCE REAL'!$E$6:$E$405,'AVANCE REAL'!$C$6:$C$405,$B43,'AVANCE REAL'!$D$6:$D$405,$C43,'AVANCE REAL'!$A$6:$A$405,"&lt;="&amp;MIN(U$5,PARÁMETROS!$B$7))</f>
        <v>0</v>
      </c>
      <c r="V43" s="49" t="n">
        <f aca="false">_xlfn.MAXIFS('AVANCE REAL'!$E$6:$E$405,'AVANCE REAL'!$C$6:$C$405,$B43,'AVANCE REAL'!$D$6:$D$405,$C43,'AVANCE REAL'!$A$6:$A$405,"&lt;="&amp;MIN(V$5,PARÁMETROS!$B$7))</f>
        <v>0</v>
      </c>
      <c r="W43" s="49" t="n">
        <f aca="false">_xlfn.MAXIFS('AVANCE REAL'!$E$6:$E$405,'AVANCE REAL'!$C$6:$C$405,$B43,'AVANCE REAL'!$D$6:$D$405,$C43,'AVANCE REAL'!$A$6:$A$405,"&lt;="&amp;MIN(W$5,PARÁMETROS!$B$7))</f>
        <v>0</v>
      </c>
      <c r="X43" s="49" t="n">
        <f aca="false">_xlfn.MAXIFS('AVANCE REAL'!$E$6:$E$405,'AVANCE REAL'!$C$6:$C$405,$B43,'AVANCE REAL'!$D$6:$D$405,$C43,'AVANCE REAL'!$A$6:$A$405,"&lt;="&amp;MIN(X$5,PARÁMETROS!$B$7))</f>
        <v>0</v>
      </c>
      <c r="Y43" s="49" t="n">
        <f aca="false">_xlfn.MAXIFS('AVANCE REAL'!$E$6:$E$405,'AVANCE REAL'!$C$6:$C$405,$B43,'AVANCE REAL'!$D$6:$D$405,$C43,'AVANCE REAL'!$A$6:$A$405,"&lt;="&amp;MIN(Y$5,PARÁMETROS!$B$7))</f>
        <v>0</v>
      </c>
      <c r="Z43" s="49" t="n">
        <f aca="false">_xlfn.MAXIFS('AVANCE REAL'!$E$6:$E$405,'AVANCE REAL'!$C$6:$C$405,$B43,'AVANCE REAL'!$D$6:$D$405,$C43,'AVANCE REAL'!$A$6:$A$405,"&lt;="&amp;MIN(Z$5,PARÁMETROS!$B$7))</f>
        <v>0</v>
      </c>
      <c r="AA43" s="49" t="n">
        <f aca="false">_xlfn.MAXIFS('AVANCE REAL'!$E$6:$E$405,'AVANCE REAL'!$C$6:$C$405,$B43,'AVANCE REAL'!$D$6:$D$405,$C43,'AVANCE REAL'!$A$6:$A$405,"&lt;="&amp;MIN(AA$5,PARÁMETROS!$B$7))</f>
        <v>0</v>
      </c>
      <c r="AB43" s="49" t="n">
        <f aca="false">_xlfn.MAXIFS('AVANCE REAL'!$E$6:$E$405,'AVANCE REAL'!$C$6:$C$405,$B43,'AVANCE REAL'!$D$6:$D$405,$C43,'AVANCE REAL'!$A$6:$A$405,"&lt;="&amp;MIN(AB$5,PARÁMETROS!$B$7))</f>
        <v>0</v>
      </c>
      <c r="AC43" s="49" t="n">
        <f aca="false">_xlfn.MAXIFS('AVANCE REAL'!$E$6:$E$405,'AVANCE REAL'!$C$6:$C$405,$B43,'AVANCE REAL'!$D$6:$D$405,$C43,'AVANCE REAL'!$A$6:$A$405,"&lt;="&amp;MIN(AC$5,PARÁMETROS!$B$7))</f>
        <v>0</v>
      </c>
      <c r="AD43" s="49" t="n">
        <f aca="false">_xlfn.MAXIFS('AVANCE REAL'!$E$6:$E$405,'AVANCE REAL'!$C$6:$C$405,$B43,'AVANCE REAL'!$D$6:$D$405,$C43,'AVANCE REAL'!$A$6:$A$405,"&lt;="&amp;MIN(AD$5,PARÁMETROS!$B$7))</f>
        <v>0</v>
      </c>
      <c r="AE43" s="49" t="n">
        <f aca="false">_xlfn.MAXIFS('AVANCE REAL'!$E$6:$E$405,'AVANCE REAL'!$C$6:$C$405,$B43,'AVANCE REAL'!$D$6:$D$405,$C43,'AVANCE REAL'!$A$6:$A$405,"&lt;="&amp;MIN(AE$5,PARÁMETROS!$B$7))</f>
        <v>0</v>
      </c>
      <c r="AF43" s="49" t="n">
        <f aca="false">_xlfn.MAXIFS('AVANCE REAL'!$E$6:$E$405,'AVANCE REAL'!$C$6:$C$405,$B43,'AVANCE REAL'!$D$6:$D$405,$C43,'AVANCE REAL'!$A$6:$A$405,"&lt;="&amp;MIN(AF$5,PARÁMETROS!$B$7))</f>
        <v>0</v>
      </c>
      <c r="AG43" s="49" t="n">
        <f aca="false">_xlfn.MAXIFS('AVANCE REAL'!$E$6:$E$405,'AVANCE REAL'!$C$6:$C$405,$B43,'AVANCE REAL'!$D$6:$D$405,$C43,'AVANCE REAL'!$A$6:$A$405,"&lt;="&amp;MIN(AG$5,PARÁMETROS!$B$7))</f>
        <v>0</v>
      </c>
      <c r="AH43" s="49" t="n">
        <f aca="false">_xlfn.MAXIFS('AVANCE REAL'!$E$6:$E$405,'AVANCE REAL'!$C$6:$C$405,$B43,'AVANCE REAL'!$D$6:$D$405,$C43,'AVANCE REAL'!$A$6:$A$405,"&lt;="&amp;MIN(AH$5,PARÁMETROS!$B$7))</f>
        <v>0</v>
      </c>
      <c r="AI43" s="49" t="n">
        <f aca="false">_xlfn.MAXIFS('AVANCE REAL'!$E$6:$E$405,'AVANCE REAL'!$C$6:$C$405,$B43,'AVANCE REAL'!$D$6:$D$405,$C43,'AVANCE REAL'!$A$6:$A$405,"&lt;="&amp;MIN(AI$5,PARÁMETROS!$B$7))</f>
        <v>0</v>
      </c>
      <c r="AJ43" s="49" t="n">
        <f aca="false">_xlfn.MAXIFS('AVANCE REAL'!$E$6:$E$405,'AVANCE REAL'!$C$6:$C$405,$B43,'AVANCE REAL'!$D$6:$D$405,$C43,'AVANCE REAL'!$A$6:$A$405,"&lt;="&amp;MIN(AJ$5,PARÁMETROS!$B$7))</f>
        <v>0</v>
      </c>
      <c r="AK43" s="49" t="n">
        <f aca="false">_xlfn.MAXIFS('AVANCE REAL'!$E$6:$E$405,'AVANCE REAL'!$C$6:$C$405,$B43,'AVANCE REAL'!$D$6:$D$405,$C43,'AVANCE REAL'!$A$6:$A$405,"&lt;="&amp;MIN(AK$5,PARÁMETROS!$B$7))</f>
        <v>0</v>
      </c>
    </row>
    <row r="44" customFormat="false" ht="15" hidden="false" customHeight="false" outlineLevel="0" collapsed="false">
      <c r="B44" s="39" t="str">
        <f aca="false">B17</f>
        <v>NIVEL 2</v>
      </c>
      <c r="C44" s="39" t="str">
        <f aca="false">C17</f>
        <v>Curado</v>
      </c>
      <c r="L44" s="49" t="n">
        <f aca="false">_xlfn.MAXIFS('AVANCE REAL'!$E$6:$E$405,'AVANCE REAL'!$C$6:$C$405,$B44,'AVANCE REAL'!$D$6:$D$405,$C44,'AVANCE REAL'!$A$6:$A$405,"&lt;="&amp;MIN(L$5,PARÁMETROS!$B$7))</f>
        <v>0</v>
      </c>
      <c r="M44" s="49" t="n">
        <f aca="false">_xlfn.MAXIFS('AVANCE REAL'!$E$6:$E$405,'AVANCE REAL'!$C$6:$C$405,$B44,'AVANCE REAL'!$D$6:$D$405,$C44,'AVANCE REAL'!$A$6:$A$405,"&lt;="&amp;MIN(M$5,PARÁMETROS!$B$7))</f>
        <v>0</v>
      </c>
      <c r="N44" s="49" t="n">
        <f aca="false">_xlfn.MAXIFS('AVANCE REAL'!$E$6:$E$405,'AVANCE REAL'!$C$6:$C$405,$B44,'AVANCE REAL'!$D$6:$D$405,$C44,'AVANCE REAL'!$A$6:$A$405,"&lt;="&amp;MIN(N$5,PARÁMETROS!$B$7))</f>
        <v>0</v>
      </c>
      <c r="O44" s="49" t="n">
        <f aca="false">_xlfn.MAXIFS('AVANCE REAL'!$E$6:$E$405,'AVANCE REAL'!$C$6:$C$405,$B44,'AVANCE REAL'!$D$6:$D$405,$C44,'AVANCE REAL'!$A$6:$A$405,"&lt;="&amp;MIN(O$5,PARÁMETROS!$B$7))</f>
        <v>0</v>
      </c>
      <c r="P44" s="49" t="n">
        <f aca="false">_xlfn.MAXIFS('AVANCE REAL'!$E$6:$E$405,'AVANCE REAL'!$C$6:$C$405,$B44,'AVANCE REAL'!$D$6:$D$405,$C44,'AVANCE REAL'!$A$6:$A$405,"&lt;="&amp;MIN(P$5,PARÁMETROS!$B$7))</f>
        <v>0</v>
      </c>
      <c r="Q44" s="49" t="n">
        <f aca="false">_xlfn.MAXIFS('AVANCE REAL'!$E$6:$E$405,'AVANCE REAL'!$C$6:$C$405,$B44,'AVANCE REAL'!$D$6:$D$405,$C44,'AVANCE REAL'!$A$6:$A$405,"&lt;="&amp;MIN(Q$5,PARÁMETROS!$B$7))</f>
        <v>0</v>
      </c>
      <c r="R44" s="49" t="n">
        <f aca="false">_xlfn.MAXIFS('AVANCE REAL'!$E$6:$E$405,'AVANCE REAL'!$C$6:$C$405,$B44,'AVANCE REAL'!$D$6:$D$405,$C44,'AVANCE REAL'!$A$6:$A$405,"&lt;="&amp;MIN(R$5,PARÁMETROS!$B$7))</f>
        <v>0</v>
      </c>
      <c r="S44" s="49" t="n">
        <f aca="false">_xlfn.MAXIFS('AVANCE REAL'!$E$6:$E$405,'AVANCE REAL'!$C$6:$C$405,$B44,'AVANCE REAL'!$D$6:$D$405,$C44,'AVANCE REAL'!$A$6:$A$405,"&lt;="&amp;MIN(S$5,PARÁMETROS!$B$7))</f>
        <v>0</v>
      </c>
      <c r="T44" s="49" t="n">
        <f aca="false">_xlfn.MAXIFS('AVANCE REAL'!$E$6:$E$405,'AVANCE REAL'!$C$6:$C$405,$B44,'AVANCE REAL'!$D$6:$D$405,$C44,'AVANCE REAL'!$A$6:$A$405,"&lt;="&amp;MIN(T$5,PARÁMETROS!$B$7))</f>
        <v>0</v>
      </c>
      <c r="U44" s="49" t="n">
        <f aca="false">_xlfn.MAXIFS('AVANCE REAL'!$E$6:$E$405,'AVANCE REAL'!$C$6:$C$405,$B44,'AVANCE REAL'!$D$6:$D$405,$C44,'AVANCE REAL'!$A$6:$A$405,"&lt;="&amp;MIN(U$5,PARÁMETROS!$B$7))</f>
        <v>0</v>
      </c>
      <c r="V44" s="49" t="n">
        <f aca="false">_xlfn.MAXIFS('AVANCE REAL'!$E$6:$E$405,'AVANCE REAL'!$C$6:$C$405,$B44,'AVANCE REAL'!$D$6:$D$405,$C44,'AVANCE REAL'!$A$6:$A$405,"&lt;="&amp;MIN(V$5,PARÁMETROS!$B$7))</f>
        <v>0</v>
      </c>
      <c r="W44" s="49" t="n">
        <f aca="false">_xlfn.MAXIFS('AVANCE REAL'!$E$6:$E$405,'AVANCE REAL'!$C$6:$C$405,$B44,'AVANCE REAL'!$D$6:$D$405,$C44,'AVANCE REAL'!$A$6:$A$405,"&lt;="&amp;MIN(W$5,PARÁMETROS!$B$7))</f>
        <v>0</v>
      </c>
      <c r="X44" s="49" t="n">
        <f aca="false">_xlfn.MAXIFS('AVANCE REAL'!$E$6:$E$405,'AVANCE REAL'!$C$6:$C$405,$B44,'AVANCE REAL'!$D$6:$D$405,$C44,'AVANCE REAL'!$A$6:$A$405,"&lt;="&amp;MIN(X$5,PARÁMETROS!$B$7))</f>
        <v>0</v>
      </c>
      <c r="Y44" s="49" t="n">
        <f aca="false">_xlfn.MAXIFS('AVANCE REAL'!$E$6:$E$405,'AVANCE REAL'!$C$6:$C$405,$B44,'AVANCE REAL'!$D$6:$D$405,$C44,'AVANCE REAL'!$A$6:$A$405,"&lt;="&amp;MIN(Y$5,PARÁMETROS!$B$7))</f>
        <v>0</v>
      </c>
      <c r="Z44" s="49" t="n">
        <f aca="false">_xlfn.MAXIFS('AVANCE REAL'!$E$6:$E$405,'AVANCE REAL'!$C$6:$C$405,$B44,'AVANCE REAL'!$D$6:$D$405,$C44,'AVANCE REAL'!$A$6:$A$405,"&lt;="&amp;MIN(Z$5,PARÁMETROS!$B$7))</f>
        <v>0</v>
      </c>
      <c r="AA44" s="49" t="n">
        <f aca="false">_xlfn.MAXIFS('AVANCE REAL'!$E$6:$E$405,'AVANCE REAL'!$C$6:$C$405,$B44,'AVANCE REAL'!$D$6:$D$405,$C44,'AVANCE REAL'!$A$6:$A$405,"&lt;="&amp;MIN(AA$5,PARÁMETROS!$B$7))</f>
        <v>0</v>
      </c>
      <c r="AB44" s="49" t="n">
        <f aca="false">_xlfn.MAXIFS('AVANCE REAL'!$E$6:$E$405,'AVANCE REAL'!$C$6:$C$405,$B44,'AVANCE REAL'!$D$6:$D$405,$C44,'AVANCE REAL'!$A$6:$A$405,"&lt;="&amp;MIN(AB$5,PARÁMETROS!$B$7))</f>
        <v>0</v>
      </c>
      <c r="AC44" s="49" t="n">
        <f aca="false">_xlfn.MAXIFS('AVANCE REAL'!$E$6:$E$405,'AVANCE REAL'!$C$6:$C$405,$B44,'AVANCE REAL'!$D$6:$D$405,$C44,'AVANCE REAL'!$A$6:$A$405,"&lt;="&amp;MIN(AC$5,PARÁMETROS!$B$7))</f>
        <v>0</v>
      </c>
      <c r="AD44" s="49" t="n">
        <f aca="false">_xlfn.MAXIFS('AVANCE REAL'!$E$6:$E$405,'AVANCE REAL'!$C$6:$C$405,$B44,'AVANCE REAL'!$D$6:$D$405,$C44,'AVANCE REAL'!$A$6:$A$405,"&lt;="&amp;MIN(AD$5,PARÁMETROS!$B$7))</f>
        <v>0</v>
      </c>
      <c r="AE44" s="49" t="n">
        <f aca="false">_xlfn.MAXIFS('AVANCE REAL'!$E$6:$E$405,'AVANCE REAL'!$C$6:$C$405,$B44,'AVANCE REAL'!$D$6:$D$405,$C44,'AVANCE REAL'!$A$6:$A$405,"&lt;="&amp;MIN(AE$5,PARÁMETROS!$B$7))</f>
        <v>0</v>
      </c>
      <c r="AF44" s="49" t="n">
        <f aca="false">_xlfn.MAXIFS('AVANCE REAL'!$E$6:$E$405,'AVANCE REAL'!$C$6:$C$405,$B44,'AVANCE REAL'!$D$6:$D$405,$C44,'AVANCE REAL'!$A$6:$A$405,"&lt;="&amp;MIN(AF$5,PARÁMETROS!$B$7))</f>
        <v>0</v>
      </c>
      <c r="AG44" s="49" t="n">
        <f aca="false">_xlfn.MAXIFS('AVANCE REAL'!$E$6:$E$405,'AVANCE REAL'!$C$6:$C$405,$B44,'AVANCE REAL'!$D$6:$D$405,$C44,'AVANCE REAL'!$A$6:$A$405,"&lt;="&amp;MIN(AG$5,PARÁMETROS!$B$7))</f>
        <v>0</v>
      </c>
      <c r="AH44" s="49" t="n">
        <f aca="false">_xlfn.MAXIFS('AVANCE REAL'!$E$6:$E$405,'AVANCE REAL'!$C$6:$C$405,$B44,'AVANCE REAL'!$D$6:$D$405,$C44,'AVANCE REAL'!$A$6:$A$405,"&lt;="&amp;MIN(AH$5,PARÁMETROS!$B$7))</f>
        <v>0</v>
      </c>
      <c r="AI44" s="49" t="n">
        <f aca="false">_xlfn.MAXIFS('AVANCE REAL'!$E$6:$E$405,'AVANCE REAL'!$C$6:$C$405,$B44,'AVANCE REAL'!$D$6:$D$405,$C44,'AVANCE REAL'!$A$6:$A$405,"&lt;="&amp;MIN(AI$5,PARÁMETROS!$B$7))</f>
        <v>0</v>
      </c>
      <c r="AJ44" s="49" t="n">
        <f aca="false">_xlfn.MAXIFS('AVANCE REAL'!$E$6:$E$405,'AVANCE REAL'!$C$6:$C$405,$B44,'AVANCE REAL'!$D$6:$D$405,$C44,'AVANCE REAL'!$A$6:$A$405,"&lt;="&amp;MIN(AJ$5,PARÁMETROS!$B$7))</f>
        <v>0</v>
      </c>
      <c r="AK44" s="49" t="n">
        <f aca="false">_xlfn.MAXIFS('AVANCE REAL'!$E$6:$E$405,'AVANCE REAL'!$C$6:$C$405,$B44,'AVANCE REAL'!$D$6:$D$405,$C44,'AVANCE REAL'!$A$6:$A$405,"&lt;="&amp;MIN(AK$5,PARÁMETROS!$B$7))</f>
        <v>0</v>
      </c>
    </row>
    <row r="45" customFormat="false" ht="15" hidden="false" customHeight="false" outlineLevel="0" collapsed="false">
      <c r="B45" s="39" t="str">
        <f aca="false">B18</f>
        <v>NIVEL 3</v>
      </c>
      <c r="C45" s="39" t="str">
        <f aca="false">C18</f>
        <v>Acero</v>
      </c>
      <c r="L45" s="49" t="n">
        <f aca="false">_xlfn.MAXIFS('AVANCE REAL'!$E$6:$E$405,'AVANCE REAL'!$C$6:$C$405,$B45,'AVANCE REAL'!$D$6:$D$405,$C45,'AVANCE REAL'!$A$6:$A$405,"&lt;="&amp;MIN(L$5,PARÁMETROS!$B$7))</f>
        <v>0</v>
      </c>
      <c r="M45" s="49" t="n">
        <f aca="false">_xlfn.MAXIFS('AVANCE REAL'!$E$6:$E$405,'AVANCE REAL'!$C$6:$C$405,$B45,'AVANCE REAL'!$D$6:$D$405,$C45,'AVANCE REAL'!$A$6:$A$405,"&lt;="&amp;MIN(M$5,PARÁMETROS!$B$7))</f>
        <v>0</v>
      </c>
      <c r="N45" s="49" t="n">
        <f aca="false">_xlfn.MAXIFS('AVANCE REAL'!$E$6:$E$405,'AVANCE REAL'!$C$6:$C$405,$B45,'AVANCE REAL'!$D$6:$D$405,$C45,'AVANCE REAL'!$A$6:$A$405,"&lt;="&amp;MIN(N$5,PARÁMETROS!$B$7))</f>
        <v>0</v>
      </c>
      <c r="O45" s="49" t="n">
        <f aca="false">_xlfn.MAXIFS('AVANCE REAL'!$E$6:$E$405,'AVANCE REAL'!$C$6:$C$405,$B45,'AVANCE REAL'!$D$6:$D$405,$C45,'AVANCE REAL'!$A$6:$A$405,"&lt;="&amp;MIN(O$5,PARÁMETROS!$B$7))</f>
        <v>0</v>
      </c>
      <c r="P45" s="49" t="n">
        <f aca="false">_xlfn.MAXIFS('AVANCE REAL'!$E$6:$E$405,'AVANCE REAL'!$C$6:$C$405,$B45,'AVANCE REAL'!$D$6:$D$405,$C45,'AVANCE REAL'!$A$6:$A$405,"&lt;="&amp;MIN(P$5,PARÁMETROS!$B$7))</f>
        <v>0</v>
      </c>
      <c r="Q45" s="49" t="n">
        <f aca="false">_xlfn.MAXIFS('AVANCE REAL'!$E$6:$E$405,'AVANCE REAL'!$C$6:$C$405,$B45,'AVANCE REAL'!$D$6:$D$405,$C45,'AVANCE REAL'!$A$6:$A$405,"&lt;="&amp;MIN(Q$5,PARÁMETROS!$B$7))</f>
        <v>0</v>
      </c>
      <c r="R45" s="49" t="n">
        <f aca="false">_xlfn.MAXIFS('AVANCE REAL'!$E$6:$E$405,'AVANCE REAL'!$C$6:$C$405,$B45,'AVANCE REAL'!$D$6:$D$405,$C45,'AVANCE REAL'!$A$6:$A$405,"&lt;="&amp;MIN(R$5,PARÁMETROS!$B$7))</f>
        <v>0</v>
      </c>
      <c r="S45" s="49" t="n">
        <f aca="false">_xlfn.MAXIFS('AVANCE REAL'!$E$6:$E$405,'AVANCE REAL'!$C$6:$C$405,$B45,'AVANCE REAL'!$D$6:$D$405,$C45,'AVANCE REAL'!$A$6:$A$405,"&lt;="&amp;MIN(S$5,PARÁMETROS!$B$7))</f>
        <v>0</v>
      </c>
      <c r="T45" s="49" t="n">
        <f aca="false">_xlfn.MAXIFS('AVANCE REAL'!$E$6:$E$405,'AVANCE REAL'!$C$6:$C$405,$B45,'AVANCE REAL'!$D$6:$D$405,$C45,'AVANCE REAL'!$A$6:$A$405,"&lt;="&amp;MIN(T$5,PARÁMETROS!$B$7))</f>
        <v>0</v>
      </c>
      <c r="U45" s="49" t="n">
        <f aca="false">_xlfn.MAXIFS('AVANCE REAL'!$E$6:$E$405,'AVANCE REAL'!$C$6:$C$405,$B45,'AVANCE REAL'!$D$6:$D$405,$C45,'AVANCE REAL'!$A$6:$A$405,"&lt;="&amp;MIN(U$5,PARÁMETROS!$B$7))</f>
        <v>0</v>
      </c>
      <c r="V45" s="49" t="n">
        <f aca="false">_xlfn.MAXIFS('AVANCE REAL'!$E$6:$E$405,'AVANCE REAL'!$C$6:$C$405,$B45,'AVANCE REAL'!$D$6:$D$405,$C45,'AVANCE REAL'!$A$6:$A$405,"&lt;="&amp;MIN(V$5,PARÁMETROS!$B$7))</f>
        <v>0</v>
      </c>
      <c r="W45" s="49" t="n">
        <f aca="false">_xlfn.MAXIFS('AVANCE REAL'!$E$6:$E$405,'AVANCE REAL'!$C$6:$C$405,$B45,'AVANCE REAL'!$D$6:$D$405,$C45,'AVANCE REAL'!$A$6:$A$405,"&lt;="&amp;MIN(W$5,PARÁMETROS!$B$7))</f>
        <v>0</v>
      </c>
      <c r="X45" s="49" t="n">
        <f aca="false">_xlfn.MAXIFS('AVANCE REAL'!$E$6:$E$405,'AVANCE REAL'!$C$6:$C$405,$B45,'AVANCE REAL'!$D$6:$D$405,$C45,'AVANCE REAL'!$A$6:$A$405,"&lt;="&amp;MIN(X$5,PARÁMETROS!$B$7))</f>
        <v>0</v>
      </c>
      <c r="Y45" s="49" t="n">
        <f aca="false">_xlfn.MAXIFS('AVANCE REAL'!$E$6:$E$405,'AVANCE REAL'!$C$6:$C$405,$B45,'AVANCE REAL'!$D$6:$D$405,$C45,'AVANCE REAL'!$A$6:$A$405,"&lt;="&amp;MIN(Y$5,PARÁMETROS!$B$7))</f>
        <v>0</v>
      </c>
      <c r="Z45" s="49" t="n">
        <f aca="false">_xlfn.MAXIFS('AVANCE REAL'!$E$6:$E$405,'AVANCE REAL'!$C$6:$C$405,$B45,'AVANCE REAL'!$D$6:$D$405,$C45,'AVANCE REAL'!$A$6:$A$405,"&lt;="&amp;MIN(Z$5,PARÁMETROS!$B$7))</f>
        <v>0</v>
      </c>
      <c r="AA45" s="49" t="n">
        <f aca="false">_xlfn.MAXIFS('AVANCE REAL'!$E$6:$E$405,'AVANCE REAL'!$C$6:$C$405,$B45,'AVANCE REAL'!$D$6:$D$405,$C45,'AVANCE REAL'!$A$6:$A$405,"&lt;="&amp;MIN(AA$5,PARÁMETROS!$B$7))</f>
        <v>0</v>
      </c>
      <c r="AB45" s="49" t="n">
        <f aca="false">_xlfn.MAXIFS('AVANCE REAL'!$E$6:$E$405,'AVANCE REAL'!$C$6:$C$405,$B45,'AVANCE REAL'!$D$6:$D$405,$C45,'AVANCE REAL'!$A$6:$A$405,"&lt;="&amp;MIN(AB$5,PARÁMETROS!$B$7))</f>
        <v>0</v>
      </c>
      <c r="AC45" s="49" t="n">
        <f aca="false">_xlfn.MAXIFS('AVANCE REAL'!$E$6:$E$405,'AVANCE REAL'!$C$6:$C$405,$B45,'AVANCE REAL'!$D$6:$D$405,$C45,'AVANCE REAL'!$A$6:$A$405,"&lt;="&amp;MIN(AC$5,PARÁMETROS!$B$7))</f>
        <v>0</v>
      </c>
      <c r="AD45" s="49" t="n">
        <f aca="false">_xlfn.MAXIFS('AVANCE REAL'!$E$6:$E$405,'AVANCE REAL'!$C$6:$C$405,$B45,'AVANCE REAL'!$D$6:$D$405,$C45,'AVANCE REAL'!$A$6:$A$405,"&lt;="&amp;MIN(AD$5,PARÁMETROS!$B$7))</f>
        <v>0</v>
      </c>
      <c r="AE45" s="49" t="n">
        <f aca="false">_xlfn.MAXIFS('AVANCE REAL'!$E$6:$E$405,'AVANCE REAL'!$C$6:$C$405,$B45,'AVANCE REAL'!$D$6:$D$405,$C45,'AVANCE REAL'!$A$6:$A$405,"&lt;="&amp;MIN(AE$5,PARÁMETROS!$B$7))</f>
        <v>0</v>
      </c>
      <c r="AF45" s="49" t="n">
        <f aca="false">_xlfn.MAXIFS('AVANCE REAL'!$E$6:$E$405,'AVANCE REAL'!$C$6:$C$405,$B45,'AVANCE REAL'!$D$6:$D$405,$C45,'AVANCE REAL'!$A$6:$A$405,"&lt;="&amp;MIN(AF$5,PARÁMETROS!$B$7))</f>
        <v>0</v>
      </c>
      <c r="AG45" s="49" t="n">
        <f aca="false">_xlfn.MAXIFS('AVANCE REAL'!$E$6:$E$405,'AVANCE REAL'!$C$6:$C$405,$B45,'AVANCE REAL'!$D$6:$D$405,$C45,'AVANCE REAL'!$A$6:$A$405,"&lt;="&amp;MIN(AG$5,PARÁMETROS!$B$7))</f>
        <v>0</v>
      </c>
      <c r="AH45" s="49" t="n">
        <f aca="false">_xlfn.MAXIFS('AVANCE REAL'!$E$6:$E$405,'AVANCE REAL'!$C$6:$C$405,$B45,'AVANCE REAL'!$D$6:$D$405,$C45,'AVANCE REAL'!$A$6:$A$405,"&lt;="&amp;MIN(AH$5,PARÁMETROS!$B$7))</f>
        <v>0</v>
      </c>
      <c r="AI45" s="49" t="n">
        <f aca="false">_xlfn.MAXIFS('AVANCE REAL'!$E$6:$E$405,'AVANCE REAL'!$C$6:$C$405,$B45,'AVANCE REAL'!$D$6:$D$405,$C45,'AVANCE REAL'!$A$6:$A$405,"&lt;="&amp;MIN(AI$5,PARÁMETROS!$B$7))</f>
        <v>0</v>
      </c>
      <c r="AJ45" s="49" t="n">
        <f aca="false">_xlfn.MAXIFS('AVANCE REAL'!$E$6:$E$405,'AVANCE REAL'!$C$6:$C$405,$B45,'AVANCE REAL'!$D$6:$D$405,$C45,'AVANCE REAL'!$A$6:$A$405,"&lt;="&amp;MIN(AJ$5,PARÁMETROS!$B$7))</f>
        <v>0</v>
      </c>
      <c r="AK45" s="49" t="n">
        <f aca="false">_xlfn.MAXIFS('AVANCE REAL'!$E$6:$E$405,'AVANCE REAL'!$C$6:$C$405,$B45,'AVANCE REAL'!$D$6:$D$405,$C45,'AVANCE REAL'!$A$6:$A$405,"&lt;="&amp;MIN(AK$5,PARÁMETROS!$B$7))</f>
        <v>0</v>
      </c>
    </row>
    <row r="46" customFormat="false" ht="15" hidden="false" customHeight="false" outlineLevel="0" collapsed="false">
      <c r="B46" s="39" t="str">
        <f aca="false">B19</f>
        <v>NIVEL 3</v>
      </c>
      <c r="C46" s="39" t="str">
        <f aca="false">C19</f>
        <v>Encofrado</v>
      </c>
      <c r="L46" s="49" t="n">
        <f aca="false">_xlfn.MAXIFS('AVANCE REAL'!$E$6:$E$405,'AVANCE REAL'!$C$6:$C$405,$B46,'AVANCE REAL'!$D$6:$D$405,$C46,'AVANCE REAL'!$A$6:$A$405,"&lt;="&amp;MIN(L$5,PARÁMETROS!$B$7))</f>
        <v>0</v>
      </c>
      <c r="M46" s="49" t="n">
        <f aca="false">_xlfn.MAXIFS('AVANCE REAL'!$E$6:$E$405,'AVANCE REAL'!$C$6:$C$405,$B46,'AVANCE REAL'!$D$6:$D$405,$C46,'AVANCE REAL'!$A$6:$A$405,"&lt;="&amp;MIN(M$5,PARÁMETROS!$B$7))</f>
        <v>0</v>
      </c>
      <c r="N46" s="49" t="n">
        <f aca="false">_xlfn.MAXIFS('AVANCE REAL'!$E$6:$E$405,'AVANCE REAL'!$C$6:$C$405,$B46,'AVANCE REAL'!$D$6:$D$405,$C46,'AVANCE REAL'!$A$6:$A$405,"&lt;="&amp;MIN(N$5,PARÁMETROS!$B$7))</f>
        <v>0</v>
      </c>
      <c r="O46" s="49" t="n">
        <f aca="false">_xlfn.MAXIFS('AVANCE REAL'!$E$6:$E$405,'AVANCE REAL'!$C$6:$C$405,$B46,'AVANCE REAL'!$D$6:$D$405,$C46,'AVANCE REAL'!$A$6:$A$405,"&lt;="&amp;MIN(O$5,PARÁMETROS!$B$7))</f>
        <v>0</v>
      </c>
      <c r="P46" s="49" t="n">
        <f aca="false">_xlfn.MAXIFS('AVANCE REAL'!$E$6:$E$405,'AVANCE REAL'!$C$6:$C$405,$B46,'AVANCE REAL'!$D$6:$D$405,$C46,'AVANCE REAL'!$A$6:$A$405,"&lt;="&amp;MIN(P$5,PARÁMETROS!$B$7))</f>
        <v>0</v>
      </c>
      <c r="Q46" s="49" t="n">
        <f aca="false">_xlfn.MAXIFS('AVANCE REAL'!$E$6:$E$405,'AVANCE REAL'!$C$6:$C$405,$B46,'AVANCE REAL'!$D$6:$D$405,$C46,'AVANCE REAL'!$A$6:$A$405,"&lt;="&amp;MIN(Q$5,PARÁMETROS!$B$7))</f>
        <v>0</v>
      </c>
      <c r="R46" s="49" t="n">
        <f aca="false">_xlfn.MAXIFS('AVANCE REAL'!$E$6:$E$405,'AVANCE REAL'!$C$6:$C$405,$B46,'AVANCE REAL'!$D$6:$D$405,$C46,'AVANCE REAL'!$A$6:$A$405,"&lt;="&amp;MIN(R$5,PARÁMETROS!$B$7))</f>
        <v>0</v>
      </c>
      <c r="S46" s="49" t="n">
        <f aca="false">_xlfn.MAXIFS('AVANCE REAL'!$E$6:$E$405,'AVANCE REAL'!$C$6:$C$405,$B46,'AVANCE REAL'!$D$6:$D$405,$C46,'AVANCE REAL'!$A$6:$A$405,"&lt;="&amp;MIN(S$5,PARÁMETROS!$B$7))</f>
        <v>0</v>
      </c>
      <c r="T46" s="49" t="n">
        <f aca="false">_xlfn.MAXIFS('AVANCE REAL'!$E$6:$E$405,'AVANCE REAL'!$C$6:$C$405,$B46,'AVANCE REAL'!$D$6:$D$405,$C46,'AVANCE REAL'!$A$6:$A$405,"&lt;="&amp;MIN(T$5,PARÁMETROS!$B$7))</f>
        <v>0</v>
      </c>
      <c r="U46" s="49" t="n">
        <f aca="false">_xlfn.MAXIFS('AVANCE REAL'!$E$6:$E$405,'AVANCE REAL'!$C$6:$C$405,$B46,'AVANCE REAL'!$D$6:$D$405,$C46,'AVANCE REAL'!$A$6:$A$405,"&lt;="&amp;MIN(U$5,PARÁMETROS!$B$7))</f>
        <v>0</v>
      </c>
      <c r="V46" s="49" t="n">
        <f aca="false">_xlfn.MAXIFS('AVANCE REAL'!$E$6:$E$405,'AVANCE REAL'!$C$6:$C$405,$B46,'AVANCE REAL'!$D$6:$D$405,$C46,'AVANCE REAL'!$A$6:$A$405,"&lt;="&amp;MIN(V$5,PARÁMETROS!$B$7))</f>
        <v>0</v>
      </c>
      <c r="W46" s="49" t="n">
        <f aca="false">_xlfn.MAXIFS('AVANCE REAL'!$E$6:$E$405,'AVANCE REAL'!$C$6:$C$405,$B46,'AVANCE REAL'!$D$6:$D$405,$C46,'AVANCE REAL'!$A$6:$A$405,"&lt;="&amp;MIN(W$5,PARÁMETROS!$B$7))</f>
        <v>0</v>
      </c>
      <c r="X46" s="49" t="n">
        <f aca="false">_xlfn.MAXIFS('AVANCE REAL'!$E$6:$E$405,'AVANCE REAL'!$C$6:$C$405,$B46,'AVANCE REAL'!$D$6:$D$405,$C46,'AVANCE REAL'!$A$6:$A$405,"&lt;="&amp;MIN(X$5,PARÁMETROS!$B$7))</f>
        <v>0</v>
      </c>
      <c r="Y46" s="49" t="n">
        <f aca="false">_xlfn.MAXIFS('AVANCE REAL'!$E$6:$E$405,'AVANCE REAL'!$C$6:$C$405,$B46,'AVANCE REAL'!$D$6:$D$405,$C46,'AVANCE REAL'!$A$6:$A$405,"&lt;="&amp;MIN(Y$5,PARÁMETROS!$B$7))</f>
        <v>0</v>
      </c>
      <c r="Z46" s="49" t="n">
        <f aca="false">_xlfn.MAXIFS('AVANCE REAL'!$E$6:$E$405,'AVANCE REAL'!$C$6:$C$405,$B46,'AVANCE REAL'!$D$6:$D$405,$C46,'AVANCE REAL'!$A$6:$A$405,"&lt;="&amp;MIN(Z$5,PARÁMETROS!$B$7))</f>
        <v>0</v>
      </c>
      <c r="AA46" s="49" t="n">
        <f aca="false">_xlfn.MAXIFS('AVANCE REAL'!$E$6:$E$405,'AVANCE REAL'!$C$6:$C$405,$B46,'AVANCE REAL'!$D$6:$D$405,$C46,'AVANCE REAL'!$A$6:$A$405,"&lt;="&amp;MIN(AA$5,PARÁMETROS!$B$7))</f>
        <v>0</v>
      </c>
      <c r="AB46" s="49" t="n">
        <f aca="false">_xlfn.MAXIFS('AVANCE REAL'!$E$6:$E$405,'AVANCE REAL'!$C$6:$C$405,$B46,'AVANCE REAL'!$D$6:$D$405,$C46,'AVANCE REAL'!$A$6:$A$405,"&lt;="&amp;MIN(AB$5,PARÁMETROS!$B$7))</f>
        <v>0</v>
      </c>
      <c r="AC46" s="49" t="n">
        <f aca="false">_xlfn.MAXIFS('AVANCE REAL'!$E$6:$E$405,'AVANCE REAL'!$C$6:$C$405,$B46,'AVANCE REAL'!$D$6:$D$405,$C46,'AVANCE REAL'!$A$6:$A$405,"&lt;="&amp;MIN(AC$5,PARÁMETROS!$B$7))</f>
        <v>0</v>
      </c>
      <c r="AD46" s="49" t="n">
        <f aca="false">_xlfn.MAXIFS('AVANCE REAL'!$E$6:$E$405,'AVANCE REAL'!$C$6:$C$405,$B46,'AVANCE REAL'!$D$6:$D$405,$C46,'AVANCE REAL'!$A$6:$A$405,"&lt;="&amp;MIN(AD$5,PARÁMETROS!$B$7))</f>
        <v>0</v>
      </c>
      <c r="AE46" s="49" t="n">
        <f aca="false">_xlfn.MAXIFS('AVANCE REAL'!$E$6:$E$405,'AVANCE REAL'!$C$6:$C$405,$B46,'AVANCE REAL'!$D$6:$D$405,$C46,'AVANCE REAL'!$A$6:$A$405,"&lt;="&amp;MIN(AE$5,PARÁMETROS!$B$7))</f>
        <v>0</v>
      </c>
      <c r="AF46" s="49" t="n">
        <f aca="false">_xlfn.MAXIFS('AVANCE REAL'!$E$6:$E$405,'AVANCE REAL'!$C$6:$C$405,$B46,'AVANCE REAL'!$D$6:$D$405,$C46,'AVANCE REAL'!$A$6:$A$405,"&lt;="&amp;MIN(AF$5,PARÁMETROS!$B$7))</f>
        <v>0</v>
      </c>
      <c r="AG46" s="49" t="n">
        <f aca="false">_xlfn.MAXIFS('AVANCE REAL'!$E$6:$E$405,'AVANCE REAL'!$C$6:$C$405,$B46,'AVANCE REAL'!$D$6:$D$405,$C46,'AVANCE REAL'!$A$6:$A$405,"&lt;="&amp;MIN(AG$5,PARÁMETROS!$B$7))</f>
        <v>0</v>
      </c>
      <c r="AH46" s="49" t="n">
        <f aca="false">_xlfn.MAXIFS('AVANCE REAL'!$E$6:$E$405,'AVANCE REAL'!$C$6:$C$405,$B46,'AVANCE REAL'!$D$6:$D$405,$C46,'AVANCE REAL'!$A$6:$A$405,"&lt;="&amp;MIN(AH$5,PARÁMETROS!$B$7))</f>
        <v>0</v>
      </c>
      <c r="AI46" s="49" t="n">
        <f aca="false">_xlfn.MAXIFS('AVANCE REAL'!$E$6:$E$405,'AVANCE REAL'!$C$6:$C$405,$B46,'AVANCE REAL'!$D$6:$D$405,$C46,'AVANCE REAL'!$A$6:$A$405,"&lt;="&amp;MIN(AI$5,PARÁMETROS!$B$7))</f>
        <v>0</v>
      </c>
      <c r="AJ46" s="49" t="n">
        <f aca="false">_xlfn.MAXIFS('AVANCE REAL'!$E$6:$E$405,'AVANCE REAL'!$C$6:$C$405,$B46,'AVANCE REAL'!$D$6:$D$405,$C46,'AVANCE REAL'!$A$6:$A$405,"&lt;="&amp;MIN(AJ$5,PARÁMETROS!$B$7))</f>
        <v>0</v>
      </c>
      <c r="AK46" s="49" t="n">
        <f aca="false">_xlfn.MAXIFS('AVANCE REAL'!$E$6:$E$405,'AVANCE REAL'!$C$6:$C$405,$B46,'AVANCE REAL'!$D$6:$D$405,$C46,'AVANCE REAL'!$A$6:$A$405,"&lt;="&amp;MIN(AK$5,PARÁMETROS!$B$7))</f>
        <v>0</v>
      </c>
    </row>
    <row r="47" customFormat="false" ht="15" hidden="false" customHeight="false" outlineLevel="0" collapsed="false">
      <c r="B47" s="39" t="str">
        <f aca="false">B20</f>
        <v>NIVEL 3</v>
      </c>
      <c r="C47" s="39" t="str">
        <f aca="false">C20</f>
        <v>Concreto</v>
      </c>
      <c r="L47" s="49" t="n">
        <f aca="false">_xlfn.MAXIFS('AVANCE REAL'!$E$6:$E$405,'AVANCE REAL'!$C$6:$C$405,$B47,'AVANCE REAL'!$D$6:$D$405,$C47,'AVANCE REAL'!$A$6:$A$405,"&lt;="&amp;MIN(L$5,PARÁMETROS!$B$7))</f>
        <v>0</v>
      </c>
      <c r="M47" s="49" t="n">
        <f aca="false">_xlfn.MAXIFS('AVANCE REAL'!$E$6:$E$405,'AVANCE REAL'!$C$6:$C$405,$B47,'AVANCE REAL'!$D$6:$D$405,$C47,'AVANCE REAL'!$A$6:$A$405,"&lt;="&amp;MIN(M$5,PARÁMETROS!$B$7))</f>
        <v>0</v>
      </c>
      <c r="N47" s="49" t="n">
        <f aca="false">_xlfn.MAXIFS('AVANCE REAL'!$E$6:$E$405,'AVANCE REAL'!$C$6:$C$405,$B47,'AVANCE REAL'!$D$6:$D$405,$C47,'AVANCE REAL'!$A$6:$A$405,"&lt;="&amp;MIN(N$5,PARÁMETROS!$B$7))</f>
        <v>0</v>
      </c>
      <c r="O47" s="49" t="n">
        <f aca="false">_xlfn.MAXIFS('AVANCE REAL'!$E$6:$E$405,'AVANCE REAL'!$C$6:$C$405,$B47,'AVANCE REAL'!$D$6:$D$405,$C47,'AVANCE REAL'!$A$6:$A$405,"&lt;="&amp;MIN(O$5,PARÁMETROS!$B$7))</f>
        <v>0</v>
      </c>
      <c r="P47" s="49" t="n">
        <f aca="false">_xlfn.MAXIFS('AVANCE REAL'!$E$6:$E$405,'AVANCE REAL'!$C$6:$C$405,$B47,'AVANCE REAL'!$D$6:$D$405,$C47,'AVANCE REAL'!$A$6:$A$405,"&lt;="&amp;MIN(P$5,PARÁMETROS!$B$7))</f>
        <v>0</v>
      </c>
      <c r="Q47" s="49" t="n">
        <f aca="false">_xlfn.MAXIFS('AVANCE REAL'!$E$6:$E$405,'AVANCE REAL'!$C$6:$C$405,$B47,'AVANCE REAL'!$D$6:$D$405,$C47,'AVANCE REAL'!$A$6:$A$405,"&lt;="&amp;MIN(Q$5,PARÁMETROS!$B$7))</f>
        <v>0</v>
      </c>
      <c r="R47" s="49" t="n">
        <f aca="false">_xlfn.MAXIFS('AVANCE REAL'!$E$6:$E$405,'AVANCE REAL'!$C$6:$C$405,$B47,'AVANCE REAL'!$D$6:$D$405,$C47,'AVANCE REAL'!$A$6:$A$405,"&lt;="&amp;MIN(R$5,PARÁMETROS!$B$7))</f>
        <v>0</v>
      </c>
      <c r="S47" s="49" t="n">
        <f aca="false">_xlfn.MAXIFS('AVANCE REAL'!$E$6:$E$405,'AVANCE REAL'!$C$6:$C$405,$B47,'AVANCE REAL'!$D$6:$D$405,$C47,'AVANCE REAL'!$A$6:$A$405,"&lt;="&amp;MIN(S$5,PARÁMETROS!$B$7))</f>
        <v>0</v>
      </c>
      <c r="T47" s="49" t="n">
        <f aca="false">_xlfn.MAXIFS('AVANCE REAL'!$E$6:$E$405,'AVANCE REAL'!$C$6:$C$405,$B47,'AVANCE REAL'!$D$6:$D$405,$C47,'AVANCE REAL'!$A$6:$A$405,"&lt;="&amp;MIN(T$5,PARÁMETROS!$B$7))</f>
        <v>0</v>
      </c>
      <c r="U47" s="49" t="n">
        <f aca="false">_xlfn.MAXIFS('AVANCE REAL'!$E$6:$E$405,'AVANCE REAL'!$C$6:$C$405,$B47,'AVANCE REAL'!$D$6:$D$405,$C47,'AVANCE REAL'!$A$6:$A$405,"&lt;="&amp;MIN(U$5,PARÁMETROS!$B$7))</f>
        <v>0</v>
      </c>
      <c r="V47" s="49" t="n">
        <f aca="false">_xlfn.MAXIFS('AVANCE REAL'!$E$6:$E$405,'AVANCE REAL'!$C$6:$C$405,$B47,'AVANCE REAL'!$D$6:$D$405,$C47,'AVANCE REAL'!$A$6:$A$405,"&lt;="&amp;MIN(V$5,PARÁMETROS!$B$7))</f>
        <v>0</v>
      </c>
      <c r="W47" s="49" t="n">
        <f aca="false">_xlfn.MAXIFS('AVANCE REAL'!$E$6:$E$405,'AVANCE REAL'!$C$6:$C$405,$B47,'AVANCE REAL'!$D$6:$D$405,$C47,'AVANCE REAL'!$A$6:$A$405,"&lt;="&amp;MIN(W$5,PARÁMETROS!$B$7))</f>
        <v>0</v>
      </c>
      <c r="X47" s="49" t="n">
        <f aca="false">_xlfn.MAXIFS('AVANCE REAL'!$E$6:$E$405,'AVANCE REAL'!$C$6:$C$405,$B47,'AVANCE REAL'!$D$6:$D$405,$C47,'AVANCE REAL'!$A$6:$A$405,"&lt;="&amp;MIN(X$5,PARÁMETROS!$B$7))</f>
        <v>0</v>
      </c>
      <c r="Y47" s="49" t="n">
        <f aca="false">_xlfn.MAXIFS('AVANCE REAL'!$E$6:$E$405,'AVANCE REAL'!$C$6:$C$405,$B47,'AVANCE REAL'!$D$6:$D$405,$C47,'AVANCE REAL'!$A$6:$A$405,"&lt;="&amp;MIN(Y$5,PARÁMETROS!$B$7))</f>
        <v>0</v>
      </c>
      <c r="Z47" s="49" t="n">
        <f aca="false">_xlfn.MAXIFS('AVANCE REAL'!$E$6:$E$405,'AVANCE REAL'!$C$6:$C$405,$B47,'AVANCE REAL'!$D$6:$D$405,$C47,'AVANCE REAL'!$A$6:$A$405,"&lt;="&amp;MIN(Z$5,PARÁMETROS!$B$7))</f>
        <v>0</v>
      </c>
      <c r="AA47" s="49" t="n">
        <f aca="false">_xlfn.MAXIFS('AVANCE REAL'!$E$6:$E$405,'AVANCE REAL'!$C$6:$C$405,$B47,'AVANCE REAL'!$D$6:$D$405,$C47,'AVANCE REAL'!$A$6:$A$405,"&lt;="&amp;MIN(AA$5,PARÁMETROS!$B$7))</f>
        <v>0</v>
      </c>
      <c r="AB47" s="49" t="n">
        <f aca="false">_xlfn.MAXIFS('AVANCE REAL'!$E$6:$E$405,'AVANCE REAL'!$C$6:$C$405,$B47,'AVANCE REAL'!$D$6:$D$405,$C47,'AVANCE REAL'!$A$6:$A$405,"&lt;="&amp;MIN(AB$5,PARÁMETROS!$B$7))</f>
        <v>0</v>
      </c>
      <c r="AC47" s="49" t="n">
        <f aca="false">_xlfn.MAXIFS('AVANCE REAL'!$E$6:$E$405,'AVANCE REAL'!$C$6:$C$405,$B47,'AVANCE REAL'!$D$6:$D$405,$C47,'AVANCE REAL'!$A$6:$A$405,"&lt;="&amp;MIN(AC$5,PARÁMETROS!$B$7))</f>
        <v>0</v>
      </c>
      <c r="AD47" s="49" t="n">
        <f aca="false">_xlfn.MAXIFS('AVANCE REAL'!$E$6:$E$405,'AVANCE REAL'!$C$6:$C$405,$B47,'AVANCE REAL'!$D$6:$D$405,$C47,'AVANCE REAL'!$A$6:$A$405,"&lt;="&amp;MIN(AD$5,PARÁMETROS!$B$7))</f>
        <v>0</v>
      </c>
      <c r="AE47" s="49" t="n">
        <f aca="false">_xlfn.MAXIFS('AVANCE REAL'!$E$6:$E$405,'AVANCE REAL'!$C$6:$C$405,$B47,'AVANCE REAL'!$D$6:$D$405,$C47,'AVANCE REAL'!$A$6:$A$405,"&lt;="&amp;MIN(AE$5,PARÁMETROS!$B$7))</f>
        <v>0</v>
      </c>
      <c r="AF47" s="49" t="n">
        <f aca="false">_xlfn.MAXIFS('AVANCE REAL'!$E$6:$E$405,'AVANCE REAL'!$C$6:$C$405,$B47,'AVANCE REAL'!$D$6:$D$405,$C47,'AVANCE REAL'!$A$6:$A$405,"&lt;="&amp;MIN(AF$5,PARÁMETROS!$B$7))</f>
        <v>0</v>
      </c>
      <c r="AG47" s="49" t="n">
        <f aca="false">_xlfn.MAXIFS('AVANCE REAL'!$E$6:$E$405,'AVANCE REAL'!$C$6:$C$405,$B47,'AVANCE REAL'!$D$6:$D$405,$C47,'AVANCE REAL'!$A$6:$A$405,"&lt;="&amp;MIN(AG$5,PARÁMETROS!$B$7))</f>
        <v>0</v>
      </c>
      <c r="AH47" s="49" t="n">
        <f aca="false">_xlfn.MAXIFS('AVANCE REAL'!$E$6:$E$405,'AVANCE REAL'!$C$6:$C$405,$B47,'AVANCE REAL'!$D$6:$D$405,$C47,'AVANCE REAL'!$A$6:$A$405,"&lt;="&amp;MIN(AH$5,PARÁMETROS!$B$7))</f>
        <v>0</v>
      </c>
      <c r="AI47" s="49" t="n">
        <f aca="false">_xlfn.MAXIFS('AVANCE REAL'!$E$6:$E$405,'AVANCE REAL'!$C$6:$C$405,$B47,'AVANCE REAL'!$D$6:$D$405,$C47,'AVANCE REAL'!$A$6:$A$405,"&lt;="&amp;MIN(AI$5,PARÁMETROS!$B$7))</f>
        <v>0</v>
      </c>
      <c r="AJ47" s="49" t="n">
        <f aca="false">_xlfn.MAXIFS('AVANCE REAL'!$E$6:$E$405,'AVANCE REAL'!$C$6:$C$405,$B47,'AVANCE REAL'!$D$6:$D$405,$C47,'AVANCE REAL'!$A$6:$A$405,"&lt;="&amp;MIN(AJ$5,PARÁMETROS!$B$7))</f>
        <v>0</v>
      </c>
      <c r="AK47" s="49" t="n">
        <f aca="false">_xlfn.MAXIFS('AVANCE REAL'!$E$6:$E$405,'AVANCE REAL'!$C$6:$C$405,$B47,'AVANCE REAL'!$D$6:$D$405,$C47,'AVANCE REAL'!$A$6:$A$405,"&lt;="&amp;MIN(AK$5,PARÁMETROS!$B$7))</f>
        <v>0</v>
      </c>
    </row>
    <row r="48" customFormat="false" ht="15" hidden="false" customHeight="false" outlineLevel="0" collapsed="false">
      <c r="B48" s="39" t="str">
        <f aca="false">B21</f>
        <v>NIVEL 3</v>
      </c>
      <c r="C48" s="39" t="str">
        <f aca="false">C21</f>
        <v>Curado</v>
      </c>
      <c r="L48" s="49" t="n">
        <f aca="false">_xlfn.MAXIFS('AVANCE REAL'!$E$6:$E$405,'AVANCE REAL'!$C$6:$C$405,$B48,'AVANCE REAL'!$D$6:$D$405,$C48,'AVANCE REAL'!$A$6:$A$405,"&lt;="&amp;MIN(L$5,PARÁMETROS!$B$7))</f>
        <v>0</v>
      </c>
      <c r="M48" s="49" t="n">
        <f aca="false">_xlfn.MAXIFS('AVANCE REAL'!$E$6:$E$405,'AVANCE REAL'!$C$6:$C$405,$B48,'AVANCE REAL'!$D$6:$D$405,$C48,'AVANCE REAL'!$A$6:$A$405,"&lt;="&amp;MIN(M$5,PARÁMETROS!$B$7))</f>
        <v>0</v>
      </c>
      <c r="N48" s="49" t="n">
        <f aca="false">_xlfn.MAXIFS('AVANCE REAL'!$E$6:$E$405,'AVANCE REAL'!$C$6:$C$405,$B48,'AVANCE REAL'!$D$6:$D$405,$C48,'AVANCE REAL'!$A$6:$A$405,"&lt;="&amp;MIN(N$5,PARÁMETROS!$B$7))</f>
        <v>0</v>
      </c>
      <c r="O48" s="49" t="n">
        <f aca="false">_xlfn.MAXIFS('AVANCE REAL'!$E$6:$E$405,'AVANCE REAL'!$C$6:$C$405,$B48,'AVANCE REAL'!$D$6:$D$405,$C48,'AVANCE REAL'!$A$6:$A$405,"&lt;="&amp;MIN(O$5,PARÁMETROS!$B$7))</f>
        <v>0</v>
      </c>
      <c r="P48" s="49" t="n">
        <f aca="false">_xlfn.MAXIFS('AVANCE REAL'!$E$6:$E$405,'AVANCE REAL'!$C$6:$C$405,$B48,'AVANCE REAL'!$D$6:$D$405,$C48,'AVANCE REAL'!$A$6:$A$405,"&lt;="&amp;MIN(P$5,PARÁMETROS!$B$7))</f>
        <v>0</v>
      </c>
      <c r="Q48" s="49" t="n">
        <f aca="false">_xlfn.MAXIFS('AVANCE REAL'!$E$6:$E$405,'AVANCE REAL'!$C$6:$C$405,$B48,'AVANCE REAL'!$D$6:$D$405,$C48,'AVANCE REAL'!$A$6:$A$405,"&lt;="&amp;MIN(Q$5,PARÁMETROS!$B$7))</f>
        <v>0</v>
      </c>
      <c r="R48" s="49" t="n">
        <f aca="false">_xlfn.MAXIFS('AVANCE REAL'!$E$6:$E$405,'AVANCE REAL'!$C$6:$C$405,$B48,'AVANCE REAL'!$D$6:$D$405,$C48,'AVANCE REAL'!$A$6:$A$405,"&lt;="&amp;MIN(R$5,PARÁMETROS!$B$7))</f>
        <v>0</v>
      </c>
      <c r="S48" s="49" t="n">
        <f aca="false">_xlfn.MAXIFS('AVANCE REAL'!$E$6:$E$405,'AVANCE REAL'!$C$6:$C$405,$B48,'AVANCE REAL'!$D$6:$D$405,$C48,'AVANCE REAL'!$A$6:$A$405,"&lt;="&amp;MIN(S$5,PARÁMETROS!$B$7))</f>
        <v>0</v>
      </c>
      <c r="T48" s="49" t="n">
        <f aca="false">_xlfn.MAXIFS('AVANCE REAL'!$E$6:$E$405,'AVANCE REAL'!$C$6:$C$405,$B48,'AVANCE REAL'!$D$6:$D$405,$C48,'AVANCE REAL'!$A$6:$A$405,"&lt;="&amp;MIN(T$5,PARÁMETROS!$B$7))</f>
        <v>0</v>
      </c>
      <c r="U48" s="49" t="n">
        <f aca="false">_xlfn.MAXIFS('AVANCE REAL'!$E$6:$E$405,'AVANCE REAL'!$C$6:$C$405,$B48,'AVANCE REAL'!$D$6:$D$405,$C48,'AVANCE REAL'!$A$6:$A$405,"&lt;="&amp;MIN(U$5,PARÁMETROS!$B$7))</f>
        <v>0</v>
      </c>
      <c r="V48" s="49" t="n">
        <f aca="false">_xlfn.MAXIFS('AVANCE REAL'!$E$6:$E$405,'AVANCE REAL'!$C$6:$C$405,$B48,'AVANCE REAL'!$D$6:$D$405,$C48,'AVANCE REAL'!$A$6:$A$405,"&lt;="&amp;MIN(V$5,PARÁMETROS!$B$7))</f>
        <v>0</v>
      </c>
      <c r="W48" s="49" t="n">
        <f aca="false">_xlfn.MAXIFS('AVANCE REAL'!$E$6:$E$405,'AVANCE REAL'!$C$6:$C$405,$B48,'AVANCE REAL'!$D$6:$D$405,$C48,'AVANCE REAL'!$A$6:$A$405,"&lt;="&amp;MIN(W$5,PARÁMETROS!$B$7))</f>
        <v>0</v>
      </c>
      <c r="X48" s="49" t="n">
        <f aca="false">_xlfn.MAXIFS('AVANCE REAL'!$E$6:$E$405,'AVANCE REAL'!$C$6:$C$405,$B48,'AVANCE REAL'!$D$6:$D$405,$C48,'AVANCE REAL'!$A$6:$A$405,"&lt;="&amp;MIN(X$5,PARÁMETROS!$B$7))</f>
        <v>0</v>
      </c>
      <c r="Y48" s="49" t="n">
        <f aca="false">_xlfn.MAXIFS('AVANCE REAL'!$E$6:$E$405,'AVANCE REAL'!$C$6:$C$405,$B48,'AVANCE REAL'!$D$6:$D$405,$C48,'AVANCE REAL'!$A$6:$A$405,"&lt;="&amp;MIN(Y$5,PARÁMETROS!$B$7))</f>
        <v>0</v>
      </c>
      <c r="Z48" s="49" t="n">
        <f aca="false">_xlfn.MAXIFS('AVANCE REAL'!$E$6:$E$405,'AVANCE REAL'!$C$6:$C$405,$B48,'AVANCE REAL'!$D$6:$D$405,$C48,'AVANCE REAL'!$A$6:$A$405,"&lt;="&amp;MIN(Z$5,PARÁMETROS!$B$7))</f>
        <v>0</v>
      </c>
      <c r="AA48" s="49" t="n">
        <f aca="false">_xlfn.MAXIFS('AVANCE REAL'!$E$6:$E$405,'AVANCE REAL'!$C$6:$C$405,$B48,'AVANCE REAL'!$D$6:$D$405,$C48,'AVANCE REAL'!$A$6:$A$405,"&lt;="&amp;MIN(AA$5,PARÁMETROS!$B$7))</f>
        <v>0</v>
      </c>
      <c r="AB48" s="49" t="n">
        <f aca="false">_xlfn.MAXIFS('AVANCE REAL'!$E$6:$E$405,'AVANCE REAL'!$C$6:$C$405,$B48,'AVANCE REAL'!$D$6:$D$405,$C48,'AVANCE REAL'!$A$6:$A$405,"&lt;="&amp;MIN(AB$5,PARÁMETROS!$B$7))</f>
        <v>0</v>
      </c>
      <c r="AC48" s="49" t="n">
        <f aca="false">_xlfn.MAXIFS('AVANCE REAL'!$E$6:$E$405,'AVANCE REAL'!$C$6:$C$405,$B48,'AVANCE REAL'!$D$6:$D$405,$C48,'AVANCE REAL'!$A$6:$A$405,"&lt;="&amp;MIN(AC$5,PARÁMETROS!$B$7))</f>
        <v>0</v>
      </c>
      <c r="AD48" s="49" t="n">
        <f aca="false">_xlfn.MAXIFS('AVANCE REAL'!$E$6:$E$405,'AVANCE REAL'!$C$6:$C$405,$B48,'AVANCE REAL'!$D$6:$D$405,$C48,'AVANCE REAL'!$A$6:$A$405,"&lt;="&amp;MIN(AD$5,PARÁMETROS!$B$7))</f>
        <v>0</v>
      </c>
      <c r="AE48" s="49" t="n">
        <f aca="false">_xlfn.MAXIFS('AVANCE REAL'!$E$6:$E$405,'AVANCE REAL'!$C$6:$C$405,$B48,'AVANCE REAL'!$D$6:$D$405,$C48,'AVANCE REAL'!$A$6:$A$405,"&lt;="&amp;MIN(AE$5,PARÁMETROS!$B$7))</f>
        <v>0</v>
      </c>
      <c r="AF48" s="49" t="n">
        <f aca="false">_xlfn.MAXIFS('AVANCE REAL'!$E$6:$E$405,'AVANCE REAL'!$C$6:$C$405,$B48,'AVANCE REAL'!$D$6:$D$405,$C48,'AVANCE REAL'!$A$6:$A$405,"&lt;="&amp;MIN(AF$5,PARÁMETROS!$B$7))</f>
        <v>0</v>
      </c>
      <c r="AG48" s="49" t="n">
        <f aca="false">_xlfn.MAXIFS('AVANCE REAL'!$E$6:$E$405,'AVANCE REAL'!$C$6:$C$405,$B48,'AVANCE REAL'!$D$6:$D$405,$C48,'AVANCE REAL'!$A$6:$A$405,"&lt;="&amp;MIN(AG$5,PARÁMETROS!$B$7))</f>
        <v>0</v>
      </c>
      <c r="AH48" s="49" t="n">
        <f aca="false">_xlfn.MAXIFS('AVANCE REAL'!$E$6:$E$405,'AVANCE REAL'!$C$6:$C$405,$B48,'AVANCE REAL'!$D$6:$D$405,$C48,'AVANCE REAL'!$A$6:$A$405,"&lt;="&amp;MIN(AH$5,PARÁMETROS!$B$7))</f>
        <v>0</v>
      </c>
      <c r="AI48" s="49" t="n">
        <f aca="false">_xlfn.MAXIFS('AVANCE REAL'!$E$6:$E$405,'AVANCE REAL'!$C$6:$C$405,$B48,'AVANCE REAL'!$D$6:$D$405,$C48,'AVANCE REAL'!$A$6:$A$405,"&lt;="&amp;MIN(AI$5,PARÁMETROS!$B$7))</f>
        <v>0</v>
      </c>
      <c r="AJ48" s="49" t="n">
        <f aca="false">_xlfn.MAXIFS('AVANCE REAL'!$E$6:$E$405,'AVANCE REAL'!$C$6:$C$405,$B48,'AVANCE REAL'!$D$6:$D$405,$C48,'AVANCE REAL'!$A$6:$A$405,"&lt;="&amp;MIN(AJ$5,PARÁMETROS!$B$7))</f>
        <v>0</v>
      </c>
      <c r="AK48" s="49" t="n">
        <f aca="false">_xlfn.MAXIFS('AVANCE REAL'!$E$6:$E$405,'AVANCE REAL'!$C$6:$C$405,$B48,'AVANCE REAL'!$D$6:$D$405,$C48,'AVANCE REAL'!$A$6:$A$405,"&lt;="&amp;MIN(AK$5,PARÁMETROS!$B$7))</f>
        <v>0</v>
      </c>
    </row>
    <row r="49" customFormat="false" ht="15" hidden="false" customHeight="false" outlineLevel="0" collapsed="false">
      <c r="B49" s="39" t="str">
        <f aca="false">B22</f>
        <v>NIVEL 4</v>
      </c>
      <c r="C49" s="39" t="str">
        <f aca="false">C22</f>
        <v>Acero</v>
      </c>
      <c r="L49" s="49" t="n">
        <f aca="false">_xlfn.MAXIFS('AVANCE REAL'!$E$6:$E$405,'AVANCE REAL'!$C$6:$C$405,$B49,'AVANCE REAL'!$D$6:$D$405,$C49,'AVANCE REAL'!$A$6:$A$405,"&lt;="&amp;MIN(L$5,PARÁMETROS!$B$7))</f>
        <v>0</v>
      </c>
      <c r="M49" s="49" t="n">
        <f aca="false">_xlfn.MAXIFS('AVANCE REAL'!$E$6:$E$405,'AVANCE REAL'!$C$6:$C$405,$B49,'AVANCE REAL'!$D$6:$D$405,$C49,'AVANCE REAL'!$A$6:$A$405,"&lt;="&amp;MIN(M$5,PARÁMETROS!$B$7))</f>
        <v>0</v>
      </c>
      <c r="N49" s="49" t="n">
        <f aca="false">_xlfn.MAXIFS('AVANCE REAL'!$E$6:$E$405,'AVANCE REAL'!$C$6:$C$405,$B49,'AVANCE REAL'!$D$6:$D$405,$C49,'AVANCE REAL'!$A$6:$A$405,"&lt;="&amp;MIN(N$5,PARÁMETROS!$B$7))</f>
        <v>0</v>
      </c>
      <c r="O49" s="49" t="n">
        <f aca="false">_xlfn.MAXIFS('AVANCE REAL'!$E$6:$E$405,'AVANCE REAL'!$C$6:$C$405,$B49,'AVANCE REAL'!$D$6:$D$405,$C49,'AVANCE REAL'!$A$6:$A$405,"&lt;="&amp;MIN(O$5,PARÁMETROS!$B$7))</f>
        <v>0</v>
      </c>
      <c r="P49" s="49" t="n">
        <f aca="false">_xlfn.MAXIFS('AVANCE REAL'!$E$6:$E$405,'AVANCE REAL'!$C$6:$C$405,$B49,'AVANCE REAL'!$D$6:$D$405,$C49,'AVANCE REAL'!$A$6:$A$405,"&lt;="&amp;MIN(P$5,PARÁMETROS!$B$7))</f>
        <v>0</v>
      </c>
      <c r="Q49" s="49" t="n">
        <f aca="false">_xlfn.MAXIFS('AVANCE REAL'!$E$6:$E$405,'AVANCE REAL'!$C$6:$C$405,$B49,'AVANCE REAL'!$D$6:$D$405,$C49,'AVANCE REAL'!$A$6:$A$405,"&lt;="&amp;MIN(Q$5,PARÁMETROS!$B$7))</f>
        <v>0</v>
      </c>
      <c r="R49" s="49" t="n">
        <f aca="false">_xlfn.MAXIFS('AVANCE REAL'!$E$6:$E$405,'AVANCE REAL'!$C$6:$C$405,$B49,'AVANCE REAL'!$D$6:$D$405,$C49,'AVANCE REAL'!$A$6:$A$405,"&lt;="&amp;MIN(R$5,PARÁMETROS!$B$7))</f>
        <v>0</v>
      </c>
      <c r="S49" s="49" t="n">
        <f aca="false">_xlfn.MAXIFS('AVANCE REAL'!$E$6:$E$405,'AVANCE REAL'!$C$6:$C$405,$B49,'AVANCE REAL'!$D$6:$D$405,$C49,'AVANCE REAL'!$A$6:$A$405,"&lt;="&amp;MIN(S$5,PARÁMETROS!$B$7))</f>
        <v>0</v>
      </c>
      <c r="T49" s="49" t="n">
        <f aca="false">_xlfn.MAXIFS('AVANCE REAL'!$E$6:$E$405,'AVANCE REAL'!$C$6:$C$405,$B49,'AVANCE REAL'!$D$6:$D$405,$C49,'AVANCE REAL'!$A$6:$A$405,"&lt;="&amp;MIN(T$5,PARÁMETROS!$B$7))</f>
        <v>0</v>
      </c>
      <c r="U49" s="49" t="n">
        <f aca="false">_xlfn.MAXIFS('AVANCE REAL'!$E$6:$E$405,'AVANCE REAL'!$C$6:$C$405,$B49,'AVANCE REAL'!$D$6:$D$405,$C49,'AVANCE REAL'!$A$6:$A$405,"&lt;="&amp;MIN(U$5,PARÁMETROS!$B$7))</f>
        <v>0</v>
      </c>
      <c r="V49" s="49" t="n">
        <f aca="false">_xlfn.MAXIFS('AVANCE REAL'!$E$6:$E$405,'AVANCE REAL'!$C$6:$C$405,$B49,'AVANCE REAL'!$D$6:$D$405,$C49,'AVANCE REAL'!$A$6:$A$405,"&lt;="&amp;MIN(V$5,PARÁMETROS!$B$7))</f>
        <v>0</v>
      </c>
      <c r="W49" s="49" t="n">
        <f aca="false">_xlfn.MAXIFS('AVANCE REAL'!$E$6:$E$405,'AVANCE REAL'!$C$6:$C$405,$B49,'AVANCE REAL'!$D$6:$D$405,$C49,'AVANCE REAL'!$A$6:$A$405,"&lt;="&amp;MIN(W$5,PARÁMETROS!$B$7))</f>
        <v>0</v>
      </c>
      <c r="X49" s="49" t="n">
        <f aca="false">_xlfn.MAXIFS('AVANCE REAL'!$E$6:$E$405,'AVANCE REAL'!$C$6:$C$405,$B49,'AVANCE REAL'!$D$6:$D$405,$C49,'AVANCE REAL'!$A$6:$A$405,"&lt;="&amp;MIN(X$5,PARÁMETROS!$B$7))</f>
        <v>0</v>
      </c>
      <c r="Y49" s="49" t="n">
        <f aca="false">_xlfn.MAXIFS('AVANCE REAL'!$E$6:$E$405,'AVANCE REAL'!$C$6:$C$405,$B49,'AVANCE REAL'!$D$6:$D$405,$C49,'AVANCE REAL'!$A$6:$A$405,"&lt;="&amp;MIN(Y$5,PARÁMETROS!$B$7))</f>
        <v>0</v>
      </c>
      <c r="Z49" s="49" t="n">
        <f aca="false">_xlfn.MAXIFS('AVANCE REAL'!$E$6:$E$405,'AVANCE REAL'!$C$6:$C$405,$B49,'AVANCE REAL'!$D$6:$D$405,$C49,'AVANCE REAL'!$A$6:$A$405,"&lt;="&amp;MIN(Z$5,PARÁMETROS!$B$7))</f>
        <v>0</v>
      </c>
      <c r="AA49" s="49" t="n">
        <f aca="false">_xlfn.MAXIFS('AVANCE REAL'!$E$6:$E$405,'AVANCE REAL'!$C$6:$C$405,$B49,'AVANCE REAL'!$D$6:$D$405,$C49,'AVANCE REAL'!$A$6:$A$405,"&lt;="&amp;MIN(AA$5,PARÁMETROS!$B$7))</f>
        <v>0</v>
      </c>
      <c r="AB49" s="49" t="n">
        <f aca="false">_xlfn.MAXIFS('AVANCE REAL'!$E$6:$E$405,'AVANCE REAL'!$C$6:$C$405,$B49,'AVANCE REAL'!$D$6:$D$405,$C49,'AVANCE REAL'!$A$6:$A$405,"&lt;="&amp;MIN(AB$5,PARÁMETROS!$B$7))</f>
        <v>0</v>
      </c>
      <c r="AC49" s="49" t="n">
        <f aca="false">_xlfn.MAXIFS('AVANCE REAL'!$E$6:$E$405,'AVANCE REAL'!$C$6:$C$405,$B49,'AVANCE REAL'!$D$6:$D$405,$C49,'AVANCE REAL'!$A$6:$A$405,"&lt;="&amp;MIN(AC$5,PARÁMETROS!$B$7))</f>
        <v>0</v>
      </c>
      <c r="AD49" s="49" t="n">
        <f aca="false">_xlfn.MAXIFS('AVANCE REAL'!$E$6:$E$405,'AVANCE REAL'!$C$6:$C$405,$B49,'AVANCE REAL'!$D$6:$D$405,$C49,'AVANCE REAL'!$A$6:$A$405,"&lt;="&amp;MIN(AD$5,PARÁMETROS!$B$7))</f>
        <v>0</v>
      </c>
      <c r="AE49" s="49" t="n">
        <f aca="false">_xlfn.MAXIFS('AVANCE REAL'!$E$6:$E$405,'AVANCE REAL'!$C$6:$C$405,$B49,'AVANCE REAL'!$D$6:$D$405,$C49,'AVANCE REAL'!$A$6:$A$405,"&lt;="&amp;MIN(AE$5,PARÁMETROS!$B$7))</f>
        <v>0</v>
      </c>
      <c r="AF49" s="49" t="n">
        <f aca="false">_xlfn.MAXIFS('AVANCE REAL'!$E$6:$E$405,'AVANCE REAL'!$C$6:$C$405,$B49,'AVANCE REAL'!$D$6:$D$405,$C49,'AVANCE REAL'!$A$6:$A$405,"&lt;="&amp;MIN(AF$5,PARÁMETROS!$B$7))</f>
        <v>0</v>
      </c>
      <c r="AG49" s="49" t="n">
        <f aca="false">_xlfn.MAXIFS('AVANCE REAL'!$E$6:$E$405,'AVANCE REAL'!$C$6:$C$405,$B49,'AVANCE REAL'!$D$6:$D$405,$C49,'AVANCE REAL'!$A$6:$A$405,"&lt;="&amp;MIN(AG$5,PARÁMETROS!$B$7))</f>
        <v>0</v>
      </c>
      <c r="AH49" s="49" t="n">
        <f aca="false">_xlfn.MAXIFS('AVANCE REAL'!$E$6:$E$405,'AVANCE REAL'!$C$6:$C$405,$B49,'AVANCE REAL'!$D$6:$D$405,$C49,'AVANCE REAL'!$A$6:$A$405,"&lt;="&amp;MIN(AH$5,PARÁMETROS!$B$7))</f>
        <v>0</v>
      </c>
      <c r="AI49" s="49" t="n">
        <f aca="false">_xlfn.MAXIFS('AVANCE REAL'!$E$6:$E$405,'AVANCE REAL'!$C$6:$C$405,$B49,'AVANCE REAL'!$D$6:$D$405,$C49,'AVANCE REAL'!$A$6:$A$405,"&lt;="&amp;MIN(AI$5,PARÁMETROS!$B$7))</f>
        <v>0</v>
      </c>
      <c r="AJ49" s="49" t="n">
        <f aca="false">_xlfn.MAXIFS('AVANCE REAL'!$E$6:$E$405,'AVANCE REAL'!$C$6:$C$405,$B49,'AVANCE REAL'!$D$6:$D$405,$C49,'AVANCE REAL'!$A$6:$A$405,"&lt;="&amp;MIN(AJ$5,PARÁMETROS!$B$7))</f>
        <v>0</v>
      </c>
      <c r="AK49" s="49" t="n">
        <f aca="false">_xlfn.MAXIFS('AVANCE REAL'!$E$6:$E$405,'AVANCE REAL'!$C$6:$C$405,$B49,'AVANCE REAL'!$D$6:$D$405,$C49,'AVANCE REAL'!$A$6:$A$405,"&lt;="&amp;MIN(AK$5,PARÁMETROS!$B$7))</f>
        <v>0</v>
      </c>
    </row>
    <row r="50" customFormat="false" ht="15" hidden="false" customHeight="false" outlineLevel="0" collapsed="false">
      <c r="B50" s="39" t="str">
        <f aca="false">B23</f>
        <v>NIVEL 4</v>
      </c>
      <c r="C50" s="39" t="str">
        <f aca="false">C23</f>
        <v>Encofrado</v>
      </c>
      <c r="L50" s="49" t="n">
        <f aca="false">_xlfn.MAXIFS('AVANCE REAL'!$E$6:$E$405,'AVANCE REAL'!$C$6:$C$405,$B50,'AVANCE REAL'!$D$6:$D$405,$C50,'AVANCE REAL'!$A$6:$A$405,"&lt;="&amp;MIN(L$5,PARÁMETROS!$B$7))</f>
        <v>0</v>
      </c>
      <c r="M50" s="49" t="n">
        <f aca="false">_xlfn.MAXIFS('AVANCE REAL'!$E$6:$E$405,'AVANCE REAL'!$C$6:$C$405,$B50,'AVANCE REAL'!$D$6:$D$405,$C50,'AVANCE REAL'!$A$6:$A$405,"&lt;="&amp;MIN(M$5,PARÁMETROS!$B$7))</f>
        <v>0</v>
      </c>
      <c r="N50" s="49" t="n">
        <f aca="false">_xlfn.MAXIFS('AVANCE REAL'!$E$6:$E$405,'AVANCE REAL'!$C$6:$C$405,$B50,'AVANCE REAL'!$D$6:$D$405,$C50,'AVANCE REAL'!$A$6:$A$405,"&lt;="&amp;MIN(N$5,PARÁMETROS!$B$7))</f>
        <v>0</v>
      </c>
      <c r="O50" s="49" t="n">
        <f aca="false">_xlfn.MAXIFS('AVANCE REAL'!$E$6:$E$405,'AVANCE REAL'!$C$6:$C$405,$B50,'AVANCE REAL'!$D$6:$D$405,$C50,'AVANCE REAL'!$A$6:$A$405,"&lt;="&amp;MIN(O$5,PARÁMETROS!$B$7))</f>
        <v>0</v>
      </c>
      <c r="P50" s="49" t="n">
        <f aca="false">_xlfn.MAXIFS('AVANCE REAL'!$E$6:$E$405,'AVANCE REAL'!$C$6:$C$405,$B50,'AVANCE REAL'!$D$6:$D$405,$C50,'AVANCE REAL'!$A$6:$A$405,"&lt;="&amp;MIN(P$5,PARÁMETROS!$B$7))</f>
        <v>0</v>
      </c>
      <c r="Q50" s="49" t="n">
        <f aca="false">_xlfn.MAXIFS('AVANCE REAL'!$E$6:$E$405,'AVANCE REAL'!$C$6:$C$405,$B50,'AVANCE REAL'!$D$6:$D$405,$C50,'AVANCE REAL'!$A$6:$A$405,"&lt;="&amp;MIN(Q$5,PARÁMETROS!$B$7))</f>
        <v>0</v>
      </c>
      <c r="R50" s="49" t="n">
        <f aca="false">_xlfn.MAXIFS('AVANCE REAL'!$E$6:$E$405,'AVANCE REAL'!$C$6:$C$405,$B50,'AVANCE REAL'!$D$6:$D$405,$C50,'AVANCE REAL'!$A$6:$A$405,"&lt;="&amp;MIN(R$5,PARÁMETROS!$B$7))</f>
        <v>0</v>
      </c>
      <c r="S50" s="49" t="n">
        <f aca="false">_xlfn.MAXIFS('AVANCE REAL'!$E$6:$E$405,'AVANCE REAL'!$C$6:$C$405,$B50,'AVANCE REAL'!$D$6:$D$405,$C50,'AVANCE REAL'!$A$6:$A$405,"&lt;="&amp;MIN(S$5,PARÁMETROS!$B$7))</f>
        <v>0</v>
      </c>
      <c r="T50" s="49" t="n">
        <f aca="false">_xlfn.MAXIFS('AVANCE REAL'!$E$6:$E$405,'AVANCE REAL'!$C$6:$C$405,$B50,'AVANCE REAL'!$D$6:$D$405,$C50,'AVANCE REAL'!$A$6:$A$405,"&lt;="&amp;MIN(T$5,PARÁMETROS!$B$7))</f>
        <v>0</v>
      </c>
      <c r="U50" s="49" t="n">
        <f aca="false">_xlfn.MAXIFS('AVANCE REAL'!$E$6:$E$405,'AVANCE REAL'!$C$6:$C$405,$B50,'AVANCE REAL'!$D$6:$D$405,$C50,'AVANCE REAL'!$A$6:$A$405,"&lt;="&amp;MIN(U$5,PARÁMETROS!$B$7))</f>
        <v>0</v>
      </c>
      <c r="V50" s="49" t="n">
        <f aca="false">_xlfn.MAXIFS('AVANCE REAL'!$E$6:$E$405,'AVANCE REAL'!$C$6:$C$405,$B50,'AVANCE REAL'!$D$6:$D$405,$C50,'AVANCE REAL'!$A$6:$A$405,"&lt;="&amp;MIN(V$5,PARÁMETROS!$B$7))</f>
        <v>0</v>
      </c>
      <c r="W50" s="49" t="n">
        <f aca="false">_xlfn.MAXIFS('AVANCE REAL'!$E$6:$E$405,'AVANCE REAL'!$C$6:$C$405,$B50,'AVANCE REAL'!$D$6:$D$405,$C50,'AVANCE REAL'!$A$6:$A$405,"&lt;="&amp;MIN(W$5,PARÁMETROS!$B$7))</f>
        <v>0</v>
      </c>
      <c r="X50" s="49" t="n">
        <f aca="false">_xlfn.MAXIFS('AVANCE REAL'!$E$6:$E$405,'AVANCE REAL'!$C$6:$C$405,$B50,'AVANCE REAL'!$D$6:$D$405,$C50,'AVANCE REAL'!$A$6:$A$405,"&lt;="&amp;MIN(X$5,PARÁMETROS!$B$7))</f>
        <v>0</v>
      </c>
      <c r="Y50" s="49" t="n">
        <f aca="false">_xlfn.MAXIFS('AVANCE REAL'!$E$6:$E$405,'AVANCE REAL'!$C$6:$C$405,$B50,'AVANCE REAL'!$D$6:$D$405,$C50,'AVANCE REAL'!$A$6:$A$405,"&lt;="&amp;MIN(Y$5,PARÁMETROS!$B$7))</f>
        <v>0</v>
      </c>
      <c r="Z50" s="49" t="n">
        <f aca="false">_xlfn.MAXIFS('AVANCE REAL'!$E$6:$E$405,'AVANCE REAL'!$C$6:$C$405,$B50,'AVANCE REAL'!$D$6:$D$405,$C50,'AVANCE REAL'!$A$6:$A$405,"&lt;="&amp;MIN(Z$5,PARÁMETROS!$B$7))</f>
        <v>0</v>
      </c>
      <c r="AA50" s="49" t="n">
        <f aca="false">_xlfn.MAXIFS('AVANCE REAL'!$E$6:$E$405,'AVANCE REAL'!$C$6:$C$405,$B50,'AVANCE REAL'!$D$6:$D$405,$C50,'AVANCE REAL'!$A$6:$A$405,"&lt;="&amp;MIN(AA$5,PARÁMETROS!$B$7))</f>
        <v>0</v>
      </c>
      <c r="AB50" s="49" t="n">
        <f aca="false">_xlfn.MAXIFS('AVANCE REAL'!$E$6:$E$405,'AVANCE REAL'!$C$6:$C$405,$B50,'AVANCE REAL'!$D$6:$D$405,$C50,'AVANCE REAL'!$A$6:$A$405,"&lt;="&amp;MIN(AB$5,PARÁMETROS!$B$7))</f>
        <v>0</v>
      </c>
      <c r="AC50" s="49" t="n">
        <f aca="false">_xlfn.MAXIFS('AVANCE REAL'!$E$6:$E$405,'AVANCE REAL'!$C$6:$C$405,$B50,'AVANCE REAL'!$D$6:$D$405,$C50,'AVANCE REAL'!$A$6:$A$405,"&lt;="&amp;MIN(AC$5,PARÁMETROS!$B$7))</f>
        <v>0</v>
      </c>
      <c r="AD50" s="49" t="n">
        <f aca="false">_xlfn.MAXIFS('AVANCE REAL'!$E$6:$E$405,'AVANCE REAL'!$C$6:$C$405,$B50,'AVANCE REAL'!$D$6:$D$405,$C50,'AVANCE REAL'!$A$6:$A$405,"&lt;="&amp;MIN(AD$5,PARÁMETROS!$B$7))</f>
        <v>0</v>
      </c>
      <c r="AE50" s="49" t="n">
        <f aca="false">_xlfn.MAXIFS('AVANCE REAL'!$E$6:$E$405,'AVANCE REAL'!$C$6:$C$405,$B50,'AVANCE REAL'!$D$6:$D$405,$C50,'AVANCE REAL'!$A$6:$A$405,"&lt;="&amp;MIN(AE$5,PARÁMETROS!$B$7))</f>
        <v>0</v>
      </c>
      <c r="AF50" s="49" t="n">
        <f aca="false">_xlfn.MAXIFS('AVANCE REAL'!$E$6:$E$405,'AVANCE REAL'!$C$6:$C$405,$B50,'AVANCE REAL'!$D$6:$D$405,$C50,'AVANCE REAL'!$A$6:$A$405,"&lt;="&amp;MIN(AF$5,PARÁMETROS!$B$7))</f>
        <v>0</v>
      </c>
      <c r="AG50" s="49" t="n">
        <f aca="false">_xlfn.MAXIFS('AVANCE REAL'!$E$6:$E$405,'AVANCE REAL'!$C$6:$C$405,$B50,'AVANCE REAL'!$D$6:$D$405,$C50,'AVANCE REAL'!$A$6:$A$405,"&lt;="&amp;MIN(AG$5,PARÁMETROS!$B$7))</f>
        <v>0</v>
      </c>
      <c r="AH50" s="49" t="n">
        <f aca="false">_xlfn.MAXIFS('AVANCE REAL'!$E$6:$E$405,'AVANCE REAL'!$C$6:$C$405,$B50,'AVANCE REAL'!$D$6:$D$405,$C50,'AVANCE REAL'!$A$6:$A$405,"&lt;="&amp;MIN(AH$5,PARÁMETROS!$B$7))</f>
        <v>0</v>
      </c>
      <c r="AI50" s="49" t="n">
        <f aca="false">_xlfn.MAXIFS('AVANCE REAL'!$E$6:$E$405,'AVANCE REAL'!$C$6:$C$405,$B50,'AVANCE REAL'!$D$6:$D$405,$C50,'AVANCE REAL'!$A$6:$A$405,"&lt;="&amp;MIN(AI$5,PARÁMETROS!$B$7))</f>
        <v>0</v>
      </c>
      <c r="AJ50" s="49" t="n">
        <f aca="false">_xlfn.MAXIFS('AVANCE REAL'!$E$6:$E$405,'AVANCE REAL'!$C$6:$C$405,$B50,'AVANCE REAL'!$D$6:$D$405,$C50,'AVANCE REAL'!$A$6:$A$405,"&lt;="&amp;MIN(AJ$5,PARÁMETROS!$B$7))</f>
        <v>0</v>
      </c>
      <c r="AK50" s="49" t="n">
        <f aca="false">_xlfn.MAXIFS('AVANCE REAL'!$E$6:$E$405,'AVANCE REAL'!$C$6:$C$405,$B50,'AVANCE REAL'!$D$6:$D$405,$C50,'AVANCE REAL'!$A$6:$A$405,"&lt;="&amp;MIN(AK$5,PARÁMETROS!$B$7))</f>
        <v>0</v>
      </c>
    </row>
    <row r="51" customFormat="false" ht="15" hidden="false" customHeight="false" outlineLevel="0" collapsed="false">
      <c r="B51" s="39" t="str">
        <f aca="false">B24</f>
        <v>NIVEL 4</v>
      </c>
      <c r="C51" s="39" t="str">
        <f aca="false">C24</f>
        <v>Concreto</v>
      </c>
      <c r="L51" s="49" t="n">
        <f aca="false">_xlfn.MAXIFS('AVANCE REAL'!$E$6:$E$405,'AVANCE REAL'!$C$6:$C$405,$B51,'AVANCE REAL'!$D$6:$D$405,$C51,'AVANCE REAL'!$A$6:$A$405,"&lt;="&amp;MIN(L$5,PARÁMETROS!$B$7))</f>
        <v>0</v>
      </c>
      <c r="M51" s="49" t="n">
        <f aca="false">_xlfn.MAXIFS('AVANCE REAL'!$E$6:$E$405,'AVANCE REAL'!$C$6:$C$405,$B51,'AVANCE REAL'!$D$6:$D$405,$C51,'AVANCE REAL'!$A$6:$A$405,"&lt;="&amp;MIN(M$5,PARÁMETROS!$B$7))</f>
        <v>0</v>
      </c>
      <c r="N51" s="49" t="n">
        <f aca="false">_xlfn.MAXIFS('AVANCE REAL'!$E$6:$E$405,'AVANCE REAL'!$C$6:$C$405,$B51,'AVANCE REAL'!$D$6:$D$405,$C51,'AVANCE REAL'!$A$6:$A$405,"&lt;="&amp;MIN(N$5,PARÁMETROS!$B$7))</f>
        <v>0</v>
      </c>
      <c r="O51" s="49" t="n">
        <f aca="false">_xlfn.MAXIFS('AVANCE REAL'!$E$6:$E$405,'AVANCE REAL'!$C$6:$C$405,$B51,'AVANCE REAL'!$D$6:$D$405,$C51,'AVANCE REAL'!$A$6:$A$405,"&lt;="&amp;MIN(O$5,PARÁMETROS!$B$7))</f>
        <v>0</v>
      </c>
      <c r="P51" s="49" t="n">
        <f aca="false">_xlfn.MAXIFS('AVANCE REAL'!$E$6:$E$405,'AVANCE REAL'!$C$6:$C$405,$B51,'AVANCE REAL'!$D$6:$D$405,$C51,'AVANCE REAL'!$A$6:$A$405,"&lt;="&amp;MIN(P$5,PARÁMETROS!$B$7))</f>
        <v>0</v>
      </c>
      <c r="Q51" s="49" t="n">
        <f aca="false">_xlfn.MAXIFS('AVANCE REAL'!$E$6:$E$405,'AVANCE REAL'!$C$6:$C$405,$B51,'AVANCE REAL'!$D$6:$D$405,$C51,'AVANCE REAL'!$A$6:$A$405,"&lt;="&amp;MIN(Q$5,PARÁMETROS!$B$7))</f>
        <v>0</v>
      </c>
      <c r="R51" s="49" t="n">
        <f aca="false">_xlfn.MAXIFS('AVANCE REAL'!$E$6:$E$405,'AVANCE REAL'!$C$6:$C$405,$B51,'AVANCE REAL'!$D$6:$D$405,$C51,'AVANCE REAL'!$A$6:$A$405,"&lt;="&amp;MIN(R$5,PARÁMETROS!$B$7))</f>
        <v>0</v>
      </c>
      <c r="S51" s="49" t="n">
        <f aca="false">_xlfn.MAXIFS('AVANCE REAL'!$E$6:$E$405,'AVANCE REAL'!$C$6:$C$405,$B51,'AVANCE REAL'!$D$6:$D$405,$C51,'AVANCE REAL'!$A$6:$A$405,"&lt;="&amp;MIN(S$5,PARÁMETROS!$B$7))</f>
        <v>0</v>
      </c>
      <c r="T51" s="49" t="n">
        <f aca="false">_xlfn.MAXIFS('AVANCE REAL'!$E$6:$E$405,'AVANCE REAL'!$C$6:$C$405,$B51,'AVANCE REAL'!$D$6:$D$405,$C51,'AVANCE REAL'!$A$6:$A$405,"&lt;="&amp;MIN(T$5,PARÁMETROS!$B$7))</f>
        <v>0</v>
      </c>
      <c r="U51" s="49" t="n">
        <f aca="false">_xlfn.MAXIFS('AVANCE REAL'!$E$6:$E$405,'AVANCE REAL'!$C$6:$C$405,$B51,'AVANCE REAL'!$D$6:$D$405,$C51,'AVANCE REAL'!$A$6:$A$405,"&lt;="&amp;MIN(U$5,PARÁMETROS!$B$7))</f>
        <v>0</v>
      </c>
      <c r="V51" s="49" t="n">
        <f aca="false">_xlfn.MAXIFS('AVANCE REAL'!$E$6:$E$405,'AVANCE REAL'!$C$6:$C$405,$B51,'AVANCE REAL'!$D$6:$D$405,$C51,'AVANCE REAL'!$A$6:$A$405,"&lt;="&amp;MIN(V$5,PARÁMETROS!$B$7))</f>
        <v>0</v>
      </c>
      <c r="W51" s="49" t="n">
        <f aca="false">_xlfn.MAXIFS('AVANCE REAL'!$E$6:$E$405,'AVANCE REAL'!$C$6:$C$405,$B51,'AVANCE REAL'!$D$6:$D$405,$C51,'AVANCE REAL'!$A$6:$A$405,"&lt;="&amp;MIN(W$5,PARÁMETROS!$B$7))</f>
        <v>0</v>
      </c>
      <c r="X51" s="49" t="n">
        <f aca="false">_xlfn.MAXIFS('AVANCE REAL'!$E$6:$E$405,'AVANCE REAL'!$C$6:$C$405,$B51,'AVANCE REAL'!$D$6:$D$405,$C51,'AVANCE REAL'!$A$6:$A$405,"&lt;="&amp;MIN(X$5,PARÁMETROS!$B$7))</f>
        <v>0</v>
      </c>
      <c r="Y51" s="49" t="n">
        <f aca="false">_xlfn.MAXIFS('AVANCE REAL'!$E$6:$E$405,'AVANCE REAL'!$C$6:$C$405,$B51,'AVANCE REAL'!$D$6:$D$405,$C51,'AVANCE REAL'!$A$6:$A$405,"&lt;="&amp;MIN(Y$5,PARÁMETROS!$B$7))</f>
        <v>0</v>
      </c>
      <c r="Z51" s="49" t="n">
        <f aca="false">_xlfn.MAXIFS('AVANCE REAL'!$E$6:$E$405,'AVANCE REAL'!$C$6:$C$405,$B51,'AVANCE REAL'!$D$6:$D$405,$C51,'AVANCE REAL'!$A$6:$A$405,"&lt;="&amp;MIN(Z$5,PARÁMETROS!$B$7))</f>
        <v>0</v>
      </c>
      <c r="AA51" s="49" t="n">
        <f aca="false">_xlfn.MAXIFS('AVANCE REAL'!$E$6:$E$405,'AVANCE REAL'!$C$6:$C$405,$B51,'AVANCE REAL'!$D$6:$D$405,$C51,'AVANCE REAL'!$A$6:$A$405,"&lt;="&amp;MIN(AA$5,PARÁMETROS!$B$7))</f>
        <v>0</v>
      </c>
      <c r="AB51" s="49" t="n">
        <f aca="false">_xlfn.MAXIFS('AVANCE REAL'!$E$6:$E$405,'AVANCE REAL'!$C$6:$C$405,$B51,'AVANCE REAL'!$D$6:$D$405,$C51,'AVANCE REAL'!$A$6:$A$405,"&lt;="&amp;MIN(AB$5,PARÁMETROS!$B$7))</f>
        <v>0</v>
      </c>
      <c r="AC51" s="49" t="n">
        <f aca="false">_xlfn.MAXIFS('AVANCE REAL'!$E$6:$E$405,'AVANCE REAL'!$C$6:$C$405,$B51,'AVANCE REAL'!$D$6:$D$405,$C51,'AVANCE REAL'!$A$6:$A$405,"&lt;="&amp;MIN(AC$5,PARÁMETROS!$B$7))</f>
        <v>0</v>
      </c>
      <c r="AD51" s="49" t="n">
        <f aca="false">_xlfn.MAXIFS('AVANCE REAL'!$E$6:$E$405,'AVANCE REAL'!$C$6:$C$405,$B51,'AVANCE REAL'!$D$6:$D$405,$C51,'AVANCE REAL'!$A$6:$A$405,"&lt;="&amp;MIN(AD$5,PARÁMETROS!$B$7))</f>
        <v>0</v>
      </c>
      <c r="AE51" s="49" t="n">
        <f aca="false">_xlfn.MAXIFS('AVANCE REAL'!$E$6:$E$405,'AVANCE REAL'!$C$6:$C$405,$B51,'AVANCE REAL'!$D$6:$D$405,$C51,'AVANCE REAL'!$A$6:$A$405,"&lt;="&amp;MIN(AE$5,PARÁMETROS!$B$7))</f>
        <v>0</v>
      </c>
      <c r="AF51" s="49" t="n">
        <f aca="false">_xlfn.MAXIFS('AVANCE REAL'!$E$6:$E$405,'AVANCE REAL'!$C$6:$C$405,$B51,'AVANCE REAL'!$D$6:$D$405,$C51,'AVANCE REAL'!$A$6:$A$405,"&lt;="&amp;MIN(AF$5,PARÁMETROS!$B$7))</f>
        <v>0</v>
      </c>
      <c r="AG51" s="49" t="n">
        <f aca="false">_xlfn.MAXIFS('AVANCE REAL'!$E$6:$E$405,'AVANCE REAL'!$C$6:$C$405,$B51,'AVANCE REAL'!$D$6:$D$405,$C51,'AVANCE REAL'!$A$6:$A$405,"&lt;="&amp;MIN(AG$5,PARÁMETROS!$B$7))</f>
        <v>0</v>
      </c>
      <c r="AH51" s="49" t="n">
        <f aca="false">_xlfn.MAXIFS('AVANCE REAL'!$E$6:$E$405,'AVANCE REAL'!$C$6:$C$405,$B51,'AVANCE REAL'!$D$6:$D$405,$C51,'AVANCE REAL'!$A$6:$A$405,"&lt;="&amp;MIN(AH$5,PARÁMETROS!$B$7))</f>
        <v>0</v>
      </c>
      <c r="AI51" s="49" t="n">
        <f aca="false">_xlfn.MAXIFS('AVANCE REAL'!$E$6:$E$405,'AVANCE REAL'!$C$6:$C$405,$B51,'AVANCE REAL'!$D$6:$D$405,$C51,'AVANCE REAL'!$A$6:$A$405,"&lt;="&amp;MIN(AI$5,PARÁMETROS!$B$7))</f>
        <v>0</v>
      </c>
      <c r="AJ51" s="49" t="n">
        <f aca="false">_xlfn.MAXIFS('AVANCE REAL'!$E$6:$E$405,'AVANCE REAL'!$C$6:$C$405,$B51,'AVANCE REAL'!$D$6:$D$405,$C51,'AVANCE REAL'!$A$6:$A$405,"&lt;="&amp;MIN(AJ$5,PARÁMETROS!$B$7))</f>
        <v>0</v>
      </c>
      <c r="AK51" s="49" t="n">
        <f aca="false">_xlfn.MAXIFS('AVANCE REAL'!$E$6:$E$405,'AVANCE REAL'!$C$6:$C$405,$B51,'AVANCE REAL'!$D$6:$D$405,$C51,'AVANCE REAL'!$A$6:$A$405,"&lt;="&amp;MIN(AK$5,PARÁMETROS!$B$7))</f>
        <v>0</v>
      </c>
    </row>
    <row r="52" customFormat="false" ht="15" hidden="false" customHeight="false" outlineLevel="0" collapsed="false">
      <c r="B52" s="39" t="str">
        <f aca="false">B25</f>
        <v>NIVEL 4</v>
      </c>
      <c r="C52" s="39" t="str">
        <f aca="false">C25</f>
        <v>Curado</v>
      </c>
      <c r="L52" s="49" t="n">
        <f aca="false">_xlfn.MAXIFS('AVANCE REAL'!$E$6:$E$405,'AVANCE REAL'!$C$6:$C$405,$B52,'AVANCE REAL'!$D$6:$D$405,$C52,'AVANCE REAL'!$A$6:$A$405,"&lt;="&amp;MIN(L$5,PARÁMETROS!$B$7))</f>
        <v>0</v>
      </c>
      <c r="M52" s="49" t="n">
        <f aca="false">_xlfn.MAXIFS('AVANCE REAL'!$E$6:$E$405,'AVANCE REAL'!$C$6:$C$405,$B52,'AVANCE REAL'!$D$6:$D$405,$C52,'AVANCE REAL'!$A$6:$A$405,"&lt;="&amp;MIN(M$5,PARÁMETROS!$B$7))</f>
        <v>0</v>
      </c>
      <c r="N52" s="49" t="n">
        <f aca="false">_xlfn.MAXIFS('AVANCE REAL'!$E$6:$E$405,'AVANCE REAL'!$C$6:$C$405,$B52,'AVANCE REAL'!$D$6:$D$405,$C52,'AVANCE REAL'!$A$6:$A$405,"&lt;="&amp;MIN(N$5,PARÁMETROS!$B$7))</f>
        <v>0</v>
      </c>
      <c r="O52" s="49" t="n">
        <f aca="false">_xlfn.MAXIFS('AVANCE REAL'!$E$6:$E$405,'AVANCE REAL'!$C$6:$C$405,$B52,'AVANCE REAL'!$D$6:$D$405,$C52,'AVANCE REAL'!$A$6:$A$405,"&lt;="&amp;MIN(O$5,PARÁMETROS!$B$7))</f>
        <v>0</v>
      </c>
      <c r="P52" s="49" t="n">
        <f aca="false">_xlfn.MAXIFS('AVANCE REAL'!$E$6:$E$405,'AVANCE REAL'!$C$6:$C$405,$B52,'AVANCE REAL'!$D$6:$D$405,$C52,'AVANCE REAL'!$A$6:$A$405,"&lt;="&amp;MIN(P$5,PARÁMETROS!$B$7))</f>
        <v>0</v>
      </c>
      <c r="Q52" s="49" t="n">
        <f aca="false">_xlfn.MAXIFS('AVANCE REAL'!$E$6:$E$405,'AVANCE REAL'!$C$6:$C$405,$B52,'AVANCE REAL'!$D$6:$D$405,$C52,'AVANCE REAL'!$A$6:$A$405,"&lt;="&amp;MIN(Q$5,PARÁMETROS!$B$7))</f>
        <v>0</v>
      </c>
      <c r="R52" s="49" t="n">
        <f aca="false">_xlfn.MAXIFS('AVANCE REAL'!$E$6:$E$405,'AVANCE REAL'!$C$6:$C$405,$B52,'AVANCE REAL'!$D$6:$D$405,$C52,'AVANCE REAL'!$A$6:$A$405,"&lt;="&amp;MIN(R$5,PARÁMETROS!$B$7))</f>
        <v>0</v>
      </c>
      <c r="S52" s="49" t="n">
        <f aca="false">_xlfn.MAXIFS('AVANCE REAL'!$E$6:$E$405,'AVANCE REAL'!$C$6:$C$405,$B52,'AVANCE REAL'!$D$6:$D$405,$C52,'AVANCE REAL'!$A$6:$A$405,"&lt;="&amp;MIN(S$5,PARÁMETROS!$B$7))</f>
        <v>0</v>
      </c>
      <c r="T52" s="49" t="n">
        <f aca="false">_xlfn.MAXIFS('AVANCE REAL'!$E$6:$E$405,'AVANCE REAL'!$C$6:$C$405,$B52,'AVANCE REAL'!$D$6:$D$405,$C52,'AVANCE REAL'!$A$6:$A$405,"&lt;="&amp;MIN(T$5,PARÁMETROS!$B$7))</f>
        <v>0</v>
      </c>
      <c r="U52" s="49" t="n">
        <f aca="false">_xlfn.MAXIFS('AVANCE REAL'!$E$6:$E$405,'AVANCE REAL'!$C$6:$C$405,$B52,'AVANCE REAL'!$D$6:$D$405,$C52,'AVANCE REAL'!$A$6:$A$405,"&lt;="&amp;MIN(U$5,PARÁMETROS!$B$7))</f>
        <v>0</v>
      </c>
      <c r="V52" s="49" t="n">
        <f aca="false">_xlfn.MAXIFS('AVANCE REAL'!$E$6:$E$405,'AVANCE REAL'!$C$6:$C$405,$B52,'AVANCE REAL'!$D$6:$D$405,$C52,'AVANCE REAL'!$A$6:$A$405,"&lt;="&amp;MIN(V$5,PARÁMETROS!$B$7))</f>
        <v>0</v>
      </c>
      <c r="W52" s="49" t="n">
        <f aca="false">_xlfn.MAXIFS('AVANCE REAL'!$E$6:$E$405,'AVANCE REAL'!$C$6:$C$405,$B52,'AVANCE REAL'!$D$6:$D$405,$C52,'AVANCE REAL'!$A$6:$A$405,"&lt;="&amp;MIN(W$5,PARÁMETROS!$B$7))</f>
        <v>0</v>
      </c>
      <c r="X52" s="49" t="n">
        <f aca="false">_xlfn.MAXIFS('AVANCE REAL'!$E$6:$E$405,'AVANCE REAL'!$C$6:$C$405,$B52,'AVANCE REAL'!$D$6:$D$405,$C52,'AVANCE REAL'!$A$6:$A$405,"&lt;="&amp;MIN(X$5,PARÁMETROS!$B$7))</f>
        <v>0</v>
      </c>
      <c r="Y52" s="49" t="n">
        <f aca="false">_xlfn.MAXIFS('AVANCE REAL'!$E$6:$E$405,'AVANCE REAL'!$C$6:$C$405,$B52,'AVANCE REAL'!$D$6:$D$405,$C52,'AVANCE REAL'!$A$6:$A$405,"&lt;="&amp;MIN(Y$5,PARÁMETROS!$B$7))</f>
        <v>0</v>
      </c>
      <c r="Z52" s="49" t="n">
        <f aca="false">_xlfn.MAXIFS('AVANCE REAL'!$E$6:$E$405,'AVANCE REAL'!$C$6:$C$405,$B52,'AVANCE REAL'!$D$6:$D$405,$C52,'AVANCE REAL'!$A$6:$A$405,"&lt;="&amp;MIN(Z$5,PARÁMETROS!$B$7))</f>
        <v>0</v>
      </c>
      <c r="AA52" s="49" t="n">
        <f aca="false">_xlfn.MAXIFS('AVANCE REAL'!$E$6:$E$405,'AVANCE REAL'!$C$6:$C$405,$B52,'AVANCE REAL'!$D$6:$D$405,$C52,'AVANCE REAL'!$A$6:$A$405,"&lt;="&amp;MIN(AA$5,PARÁMETROS!$B$7))</f>
        <v>0</v>
      </c>
      <c r="AB52" s="49" t="n">
        <f aca="false">_xlfn.MAXIFS('AVANCE REAL'!$E$6:$E$405,'AVANCE REAL'!$C$6:$C$405,$B52,'AVANCE REAL'!$D$6:$D$405,$C52,'AVANCE REAL'!$A$6:$A$405,"&lt;="&amp;MIN(AB$5,PARÁMETROS!$B$7))</f>
        <v>0</v>
      </c>
      <c r="AC52" s="49" t="n">
        <f aca="false">_xlfn.MAXIFS('AVANCE REAL'!$E$6:$E$405,'AVANCE REAL'!$C$6:$C$405,$B52,'AVANCE REAL'!$D$6:$D$405,$C52,'AVANCE REAL'!$A$6:$A$405,"&lt;="&amp;MIN(AC$5,PARÁMETROS!$B$7))</f>
        <v>0</v>
      </c>
      <c r="AD52" s="49" t="n">
        <f aca="false">_xlfn.MAXIFS('AVANCE REAL'!$E$6:$E$405,'AVANCE REAL'!$C$6:$C$405,$B52,'AVANCE REAL'!$D$6:$D$405,$C52,'AVANCE REAL'!$A$6:$A$405,"&lt;="&amp;MIN(AD$5,PARÁMETROS!$B$7))</f>
        <v>0</v>
      </c>
      <c r="AE52" s="49" t="n">
        <f aca="false">_xlfn.MAXIFS('AVANCE REAL'!$E$6:$E$405,'AVANCE REAL'!$C$6:$C$405,$B52,'AVANCE REAL'!$D$6:$D$405,$C52,'AVANCE REAL'!$A$6:$A$405,"&lt;="&amp;MIN(AE$5,PARÁMETROS!$B$7))</f>
        <v>0</v>
      </c>
      <c r="AF52" s="49" t="n">
        <f aca="false">_xlfn.MAXIFS('AVANCE REAL'!$E$6:$E$405,'AVANCE REAL'!$C$6:$C$405,$B52,'AVANCE REAL'!$D$6:$D$405,$C52,'AVANCE REAL'!$A$6:$A$405,"&lt;="&amp;MIN(AF$5,PARÁMETROS!$B$7))</f>
        <v>0</v>
      </c>
      <c r="AG52" s="49" t="n">
        <f aca="false">_xlfn.MAXIFS('AVANCE REAL'!$E$6:$E$405,'AVANCE REAL'!$C$6:$C$405,$B52,'AVANCE REAL'!$D$6:$D$405,$C52,'AVANCE REAL'!$A$6:$A$405,"&lt;="&amp;MIN(AG$5,PARÁMETROS!$B$7))</f>
        <v>0</v>
      </c>
      <c r="AH52" s="49" t="n">
        <f aca="false">_xlfn.MAXIFS('AVANCE REAL'!$E$6:$E$405,'AVANCE REAL'!$C$6:$C$405,$B52,'AVANCE REAL'!$D$6:$D$405,$C52,'AVANCE REAL'!$A$6:$A$405,"&lt;="&amp;MIN(AH$5,PARÁMETROS!$B$7))</f>
        <v>0</v>
      </c>
      <c r="AI52" s="49" t="n">
        <f aca="false">_xlfn.MAXIFS('AVANCE REAL'!$E$6:$E$405,'AVANCE REAL'!$C$6:$C$405,$B52,'AVANCE REAL'!$D$6:$D$405,$C52,'AVANCE REAL'!$A$6:$A$405,"&lt;="&amp;MIN(AI$5,PARÁMETROS!$B$7))</f>
        <v>0</v>
      </c>
      <c r="AJ52" s="49" t="n">
        <f aca="false">_xlfn.MAXIFS('AVANCE REAL'!$E$6:$E$405,'AVANCE REAL'!$C$6:$C$405,$B52,'AVANCE REAL'!$D$6:$D$405,$C52,'AVANCE REAL'!$A$6:$A$405,"&lt;="&amp;MIN(AJ$5,PARÁMETROS!$B$7))</f>
        <v>0</v>
      </c>
      <c r="AK52" s="49" t="n">
        <f aca="false">_xlfn.MAXIFS('AVANCE REAL'!$E$6:$E$405,'AVANCE REAL'!$C$6:$C$405,$B52,'AVANCE REAL'!$D$6:$D$405,$C52,'AVANCE REAL'!$A$6:$A$405,"&lt;="&amp;MIN(AK$5,PARÁMETROS!$B$7))</f>
        <v>0</v>
      </c>
    </row>
    <row r="53" customFormat="false" ht="15" hidden="false" customHeight="false" outlineLevel="0" collapsed="false">
      <c r="B53" s="39" t="str">
        <f aca="false">B26</f>
        <v>NIVEL 5</v>
      </c>
      <c r="C53" s="39" t="str">
        <f aca="false">C26</f>
        <v>Acero</v>
      </c>
      <c r="L53" s="49" t="n">
        <f aca="false">_xlfn.MAXIFS('AVANCE REAL'!$E$6:$E$405,'AVANCE REAL'!$C$6:$C$405,$B53,'AVANCE REAL'!$D$6:$D$405,$C53,'AVANCE REAL'!$A$6:$A$405,"&lt;="&amp;MIN(L$5,PARÁMETROS!$B$7))</f>
        <v>0</v>
      </c>
      <c r="M53" s="49" t="n">
        <f aca="false">_xlfn.MAXIFS('AVANCE REAL'!$E$6:$E$405,'AVANCE REAL'!$C$6:$C$405,$B53,'AVANCE REAL'!$D$6:$D$405,$C53,'AVANCE REAL'!$A$6:$A$405,"&lt;="&amp;MIN(M$5,PARÁMETROS!$B$7))</f>
        <v>0</v>
      </c>
      <c r="N53" s="49" t="n">
        <f aca="false">_xlfn.MAXIFS('AVANCE REAL'!$E$6:$E$405,'AVANCE REAL'!$C$6:$C$405,$B53,'AVANCE REAL'!$D$6:$D$405,$C53,'AVANCE REAL'!$A$6:$A$405,"&lt;="&amp;MIN(N$5,PARÁMETROS!$B$7))</f>
        <v>0</v>
      </c>
      <c r="O53" s="49" t="n">
        <f aca="false">_xlfn.MAXIFS('AVANCE REAL'!$E$6:$E$405,'AVANCE REAL'!$C$6:$C$405,$B53,'AVANCE REAL'!$D$6:$D$405,$C53,'AVANCE REAL'!$A$6:$A$405,"&lt;="&amp;MIN(O$5,PARÁMETROS!$B$7))</f>
        <v>0</v>
      </c>
      <c r="P53" s="49" t="n">
        <f aca="false">_xlfn.MAXIFS('AVANCE REAL'!$E$6:$E$405,'AVANCE REAL'!$C$6:$C$405,$B53,'AVANCE REAL'!$D$6:$D$405,$C53,'AVANCE REAL'!$A$6:$A$405,"&lt;="&amp;MIN(P$5,PARÁMETROS!$B$7))</f>
        <v>0</v>
      </c>
      <c r="Q53" s="49" t="n">
        <f aca="false">_xlfn.MAXIFS('AVANCE REAL'!$E$6:$E$405,'AVANCE REAL'!$C$6:$C$405,$B53,'AVANCE REAL'!$D$6:$D$405,$C53,'AVANCE REAL'!$A$6:$A$405,"&lt;="&amp;MIN(Q$5,PARÁMETROS!$B$7))</f>
        <v>0</v>
      </c>
      <c r="R53" s="49" t="n">
        <f aca="false">_xlfn.MAXIFS('AVANCE REAL'!$E$6:$E$405,'AVANCE REAL'!$C$6:$C$405,$B53,'AVANCE REAL'!$D$6:$D$405,$C53,'AVANCE REAL'!$A$6:$A$405,"&lt;="&amp;MIN(R$5,PARÁMETROS!$B$7))</f>
        <v>0</v>
      </c>
      <c r="S53" s="49" t="n">
        <f aca="false">_xlfn.MAXIFS('AVANCE REAL'!$E$6:$E$405,'AVANCE REAL'!$C$6:$C$405,$B53,'AVANCE REAL'!$D$6:$D$405,$C53,'AVANCE REAL'!$A$6:$A$405,"&lt;="&amp;MIN(S$5,PARÁMETROS!$B$7))</f>
        <v>0</v>
      </c>
      <c r="T53" s="49" t="n">
        <f aca="false">_xlfn.MAXIFS('AVANCE REAL'!$E$6:$E$405,'AVANCE REAL'!$C$6:$C$405,$B53,'AVANCE REAL'!$D$6:$D$405,$C53,'AVANCE REAL'!$A$6:$A$405,"&lt;="&amp;MIN(T$5,PARÁMETROS!$B$7))</f>
        <v>0</v>
      </c>
      <c r="U53" s="49" t="n">
        <f aca="false">_xlfn.MAXIFS('AVANCE REAL'!$E$6:$E$405,'AVANCE REAL'!$C$6:$C$405,$B53,'AVANCE REAL'!$D$6:$D$405,$C53,'AVANCE REAL'!$A$6:$A$405,"&lt;="&amp;MIN(U$5,PARÁMETROS!$B$7))</f>
        <v>0</v>
      </c>
      <c r="V53" s="49" t="n">
        <f aca="false">_xlfn.MAXIFS('AVANCE REAL'!$E$6:$E$405,'AVANCE REAL'!$C$6:$C$405,$B53,'AVANCE REAL'!$D$6:$D$405,$C53,'AVANCE REAL'!$A$6:$A$405,"&lt;="&amp;MIN(V$5,PARÁMETROS!$B$7))</f>
        <v>0</v>
      </c>
      <c r="W53" s="49" t="n">
        <f aca="false">_xlfn.MAXIFS('AVANCE REAL'!$E$6:$E$405,'AVANCE REAL'!$C$6:$C$405,$B53,'AVANCE REAL'!$D$6:$D$405,$C53,'AVANCE REAL'!$A$6:$A$405,"&lt;="&amp;MIN(W$5,PARÁMETROS!$B$7))</f>
        <v>0</v>
      </c>
      <c r="X53" s="49" t="n">
        <f aca="false">_xlfn.MAXIFS('AVANCE REAL'!$E$6:$E$405,'AVANCE REAL'!$C$6:$C$405,$B53,'AVANCE REAL'!$D$6:$D$405,$C53,'AVANCE REAL'!$A$6:$A$405,"&lt;="&amp;MIN(X$5,PARÁMETROS!$B$7))</f>
        <v>0</v>
      </c>
      <c r="Y53" s="49" t="n">
        <f aca="false">_xlfn.MAXIFS('AVANCE REAL'!$E$6:$E$405,'AVANCE REAL'!$C$6:$C$405,$B53,'AVANCE REAL'!$D$6:$D$405,$C53,'AVANCE REAL'!$A$6:$A$405,"&lt;="&amp;MIN(Y$5,PARÁMETROS!$B$7))</f>
        <v>0</v>
      </c>
      <c r="Z53" s="49" t="n">
        <f aca="false">_xlfn.MAXIFS('AVANCE REAL'!$E$6:$E$405,'AVANCE REAL'!$C$6:$C$405,$B53,'AVANCE REAL'!$D$6:$D$405,$C53,'AVANCE REAL'!$A$6:$A$405,"&lt;="&amp;MIN(Z$5,PARÁMETROS!$B$7))</f>
        <v>0</v>
      </c>
      <c r="AA53" s="49" t="n">
        <f aca="false">_xlfn.MAXIFS('AVANCE REAL'!$E$6:$E$405,'AVANCE REAL'!$C$6:$C$405,$B53,'AVANCE REAL'!$D$6:$D$405,$C53,'AVANCE REAL'!$A$6:$A$405,"&lt;="&amp;MIN(AA$5,PARÁMETROS!$B$7))</f>
        <v>0</v>
      </c>
      <c r="AB53" s="49" t="n">
        <f aca="false">_xlfn.MAXIFS('AVANCE REAL'!$E$6:$E$405,'AVANCE REAL'!$C$6:$C$405,$B53,'AVANCE REAL'!$D$6:$D$405,$C53,'AVANCE REAL'!$A$6:$A$405,"&lt;="&amp;MIN(AB$5,PARÁMETROS!$B$7))</f>
        <v>0</v>
      </c>
      <c r="AC53" s="49" t="n">
        <f aca="false">_xlfn.MAXIFS('AVANCE REAL'!$E$6:$E$405,'AVANCE REAL'!$C$6:$C$405,$B53,'AVANCE REAL'!$D$6:$D$405,$C53,'AVANCE REAL'!$A$6:$A$405,"&lt;="&amp;MIN(AC$5,PARÁMETROS!$B$7))</f>
        <v>0</v>
      </c>
      <c r="AD53" s="49" t="n">
        <f aca="false">_xlfn.MAXIFS('AVANCE REAL'!$E$6:$E$405,'AVANCE REAL'!$C$6:$C$405,$B53,'AVANCE REAL'!$D$6:$D$405,$C53,'AVANCE REAL'!$A$6:$A$405,"&lt;="&amp;MIN(AD$5,PARÁMETROS!$B$7))</f>
        <v>0</v>
      </c>
      <c r="AE53" s="49" t="n">
        <f aca="false">_xlfn.MAXIFS('AVANCE REAL'!$E$6:$E$405,'AVANCE REAL'!$C$6:$C$405,$B53,'AVANCE REAL'!$D$6:$D$405,$C53,'AVANCE REAL'!$A$6:$A$405,"&lt;="&amp;MIN(AE$5,PARÁMETROS!$B$7))</f>
        <v>0</v>
      </c>
      <c r="AF53" s="49" t="n">
        <f aca="false">_xlfn.MAXIFS('AVANCE REAL'!$E$6:$E$405,'AVANCE REAL'!$C$6:$C$405,$B53,'AVANCE REAL'!$D$6:$D$405,$C53,'AVANCE REAL'!$A$6:$A$405,"&lt;="&amp;MIN(AF$5,PARÁMETROS!$B$7))</f>
        <v>0</v>
      </c>
      <c r="AG53" s="49" t="n">
        <f aca="false">_xlfn.MAXIFS('AVANCE REAL'!$E$6:$E$405,'AVANCE REAL'!$C$6:$C$405,$B53,'AVANCE REAL'!$D$6:$D$405,$C53,'AVANCE REAL'!$A$6:$A$405,"&lt;="&amp;MIN(AG$5,PARÁMETROS!$B$7))</f>
        <v>0</v>
      </c>
      <c r="AH53" s="49" t="n">
        <f aca="false">_xlfn.MAXIFS('AVANCE REAL'!$E$6:$E$405,'AVANCE REAL'!$C$6:$C$405,$B53,'AVANCE REAL'!$D$6:$D$405,$C53,'AVANCE REAL'!$A$6:$A$405,"&lt;="&amp;MIN(AH$5,PARÁMETROS!$B$7))</f>
        <v>0</v>
      </c>
      <c r="AI53" s="49" t="n">
        <f aca="false">_xlfn.MAXIFS('AVANCE REAL'!$E$6:$E$405,'AVANCE REAL'!$C$6:$C$405,$B53,'AVANCE REAL'!$D$6:$D$405,$C53,'AVANCE REAL'!$A$6:$A$405,"&lt;="&amp;MIN(AI$5,PARÁMETROS!$B$7))</f>
        <v>0</v>
      </c>
      <c r="AJ53" s="49" t="n">
        <f aca="false">_xlfn.MAXIFS('AVANCE REAL'!$E$6:$E$405,'AVANCE REAL'!$C$6:$C$405,$B53,'AVANCE REAL'!$D$6:$D$405,$C53,'AVANCE REAL'!$A$6:$A$405,"&lt;="&amp;MIN(AJ$5,PARÁMETROS!$B$7))</f>
        <v>0</v>
      </c>
      <c r="AK53" s="49" t="n">
        <f aca="false">_xlfn.MAXIFS('AVANCE REAL'!$E$6:$E$405,'AVANCE REAL'!$C$6:$C$405,$B53,'AVANCE REAL'!$D$6:$D$405,$C53,'AVANCE REAL'!$A$6:$A$405,"&lt;="&amp;MIN(AK$5,PARÁMETROS!$B$7))</f>
        <v>0</v>
      </c>
    </row>
    <row r="54" customFormat="false" ht="15" hidden="false" customHeight="false" outlineLevel="0" collapsed="false">
      <c r="B54" s="39" t="str">
        <f aca="false">B27</f>
        <v>NIVEL 5</v>
      </c>
      <c r="C54" s="39" t="str">
        <f aca="false">C27</f>
        <v>Encofrado</v>
      </c>
      <c r="L54" s="49" t="n">
        <f aca="false">_xlfn.MAXIFS('AVANCE REAL'!$E$6:$E$405,'AVANCE REAL'!$C$6:$C$405,$B54,'AVANCE REAL'!$D$6:$D$405,$C54,'AVANCE REAL'!$A$6:$A$405,"&lt;="&amp;MIN(L$5,PARÁMETROS!$B$7))</f>
        <v>0</v>
      </c>
      <c r="M54" s="49" t="n">
        <f aca="false">_xlfn.MAXIFS('AVANCE REAL'!$E$6:$E$405,'AVANCE REAL'!$C$6:$C$405,$B54,'AVANCE REAL'!$D$6:$D$405,$C54,'AVANCE REAL'!$A$6:$A$405,"&lt;="&amp;MIN(M$5,PARÁMETROS!$B$7))</f>
        <v>0</v>
      </c>
      <c r="N54" s="49" t="n">
        <f aca="false">_xlfn.MAXIFS('AVANCE REAL'!$E$6:$E$405,'AVANCE REAL'!$C$6:$C$405,$B54,'AVANCE REAL'!$D$6:$D$405,$C54,'AVANCE REAL'!$A$6:$A$405,"&lt;="&amp;MIN(N$5,PARÁMETROS!$B$7))</f>
        <v>0</v>
      </c>
      <c r="O54" s="49" t="n">
        <f aca="false">_xlfn.MAXIFS('AVANCE REAL'!$E$6:$E$405,'AVANCE REAL'!$C$6:$C$405,$B54,'AVANCE REAL'!$D$6:$D$405,$C54,'AVANCE REAL'!$A$6:$A$405,"&lt;="&amp;MIN(O$5,PARÁMETROS!$B$7))</f>
        <v>0</v>
      </c>
      <c r="P54" s="49" t="n">
        <f aca="false">_xlfn.MAXIFS('AVANCE REAL'!$E$6:$E$405,'AVANCE REAL'!$C$6:$C$405,$B54,'AVANCE REAL'!$D$6:$D$405,$C54,'AVANCE REAL'!$A$6:$A$405,"&lt;="&amp;MIN(P$5,PARÁMETROS!$B$7))</f>
        <v>0</v>
      </c>
      <c r="Q54" s="49" t="n">
        <f aca="false">_xlfn.MAXIFS('AVANCE REAL'!$E$6:$E$405,'AVANCE REAL'!$C$6:$C$405,$B54,'AVANCE REAL'!$D$6:$D$405,$C54,'AVANCE REAL'!$A$6:$A$405,"&lt;="&amp;MIN(Q$5,PARÁMETROS!$B$7))</f>
        <v>0</v>
      </c>
      <c r="R54" s="49" t="n">
        <f aca="false">_xlfn.MAXIFS('AVANCE REAL'!$E$6:$E$405,'AVANCE REAL'!$C$6:$C$405,$B54,'AVANCE REAL'!$D$6:$D$405,$C54,'AVANCE REAL'!$A$6:$A$405,"&lt;="&amp;MIN(R$5,PARÁMETROS!$B$7))</f>
        <v>0</v>
      </c>
      <c r="S54" s="49" t="n">
        <f aca="false">_xlfn.MAXIFS('AVANCE REAL'!$E$6:$E$405,'AVANCE REAL'!$C$6:$C$405,$B54,'AVANCE REAL'!$D$6:$D$405,$C54,'AVANCE REAL'!$A$6:$A$405,"&lt;="&amp;MIN(S$5,PARÁMETROS!$B$7))</f>
        <v>0</v>
      </c>
      <c r="T54" s="49" t="n">
        <f aca="false">_xlfn.MAXIFS('AVANCE REAL'!$E$6:$E$405,'AVANCE REAL'!$C$6:$C$405,$B54,'AVANCE REAL'!$D$6:$D$405,$C54,'AVANCE REAL'!$A$6:$A$405,"&lt;="&amp;MIN(T$5,PARÁMETROS!$B$7))</f>
        <v>0</v>
      </c>
      <c r="U54" s="49" t="n">
        <f aca="false">_xlfn.MAXIFS('AVANCE REAL'!$E$6:$E$405,'AVANCE REAL'!$C$6:$C$405,$B54,'AVANCE REAL'!$D$6:$D$405,$C54,'AVANCE REAL'!$A$6:$A$405,"&lt;="&amp;MIN(U$5,PARÁMETROS!$B$7))</f>
        <v>0</v>
      </c>
      <c r="V54" s="49" t="n">
        <f aca="false">_xlfn.MAXIFS('AVANCE REAL'!$E$6:$E$405,'AVANCE REAL'!$C$6:$C$405,$B54,'AVANCE REAL'!$D$6:$D$405,$C54,'AVANCE REAL'!$A$6:$A$405,"&lt;="&amp;MIN(V$5,PARÁMETROS!$B$7))</f>
        <v>0</v>
      </c>
      <c r="W54" s="49" t="n">
        <f aca="false">_xlfn.MAXIFS('AVANCE REAL'!$E$6:$E$405,'AVANCE REAL'!$C$6:$C$405,$B54,'AVANCE REAL'!$D$6:$D$405,$C54,'AVANCE REAL'!$A$6:$A$405,"&lt;="&amp;MIN(W$5,PARÁMETROS!$B$7))</f>
        <v>0</v>
      </c>
      <c r="X54" s="49" t="n">
        <f aca="false">_xlfn.MAXIFS('AVANCE REAL'!$E$6:$E$405,'AVANCE REAL'!$C$6:$C$405,$B54,'AVANCE REAL'!$D$6:$D$405,$C54,'AVANCE REAL'!$A$6:$A$405,"&lt;="&amp;MIN(X$5,PARÁMETROS!$B$7))</f>
        <v>0</v>
      </c>
      <c r="Y54" s="49" t="n">
        <f aca="false">_xlfn.MAXIFS('AVANCE REAL'!$E$6:$E$405,'AVANCE REAL'!$C$6:$C$405,$B54,'AVANCE REAL'!$D$6:$D$405,$C54,'AVANCE REAL'!$A$6:$A$405,"&lt;="&amp;MIN(Y$5,PARÁMETROS!$B$7))</f>
        <v>0</v>
      </c>
      <c r="Z54" s="49" t="n">
        <f aca="false">_xlfn.MAXIFS('AVANCE REAL'!$E$6:$E$405,'AVANCE REAL'!$C$6:$C$405,$B54,'AVANCE REAL'!$D$6:$D$405,$C54,'AVANCE REAL'!$A$6:$A$405,"&lt;="&amp;MIN(Z$5,PARÁMETROS!$B$7))</f>
        <v>0</v>
      </c>
      <c r="AA54" s="49" t="n">
        <f aca="false">_xlfn.MAXIFS('AVANCE REAL'!$E$6:$E$405,'AVANCE REAL'!$C$6:$C$405,$B54,'AVANCE REAL'!$D$6:$D$405,$C54,'AVANCE REAL'!$A$6:$A$405,"&lt;="&amp;MIN(AA$5,PARÁMETROS!$B$7))</f>
        <v>0</v>
      </c>
      <c r="AB54" s="49" t="n">
        <f aca="false">_xlfn.MAXIFS('AVANCE REAL'!$E$6:$E$405,'AVANCE REAL'!$C$6:$C$405,$B54,'AVANCE REAL'!$D$6:$D$405,$C54,'AVANCE REAL'!$A$6:$A$405,"&lt;="&amp;MIN(AB$5,PARÁMETROS!$B$7))</f>
        <v>0</v>
      </c>
      <c r="AC54" s="49" t="n">
        <f aca="false">_xlfn.MAXIFS('AVANCE REAL'!$E$6:$E$405,'AVANCE REAL'!$C$6:$C$405,$B54,'AVANCE REAL'!$D$6:$D$405,$C54,'AVANCE REAL'!$A$6:$A$405,"&lt;="&amp;MIN(AC$5,PARÁMETROS!$B$7))</f>
        <v>0</v>
      </c>
      <c r="AD54" s="49" t="n">
        <f aca="false">_xlfn.MAXIFS('AVANCE REAL'!$E$6:$E$405,'AVANCE REAL'!$C$6:$C$405,$B54,'AVANCE REAL'!$D$6:$D$405,$C54,'AVANCE REAL'!$A$6:$A$405,"&lt;="&amp;MIN(AD$5,PARÁMETROS!$B$7))</f>
        <v>0</v>
      </c>
      <c r="AE54" s="49" t="n">
        <f aca="false">_xlfn.MAXIFS('AVANCE REAL'!$E$6:$E$405,'AVANCE REAL'!$C$6:$C$405,$B54,'AVANCE REAL'!$D$6:$D$405,$C54,'AVANCE REAL'!$A$6:$A$405,"&lt;="&amp;MIN(AE$5,PARÁMETROS!$B$7))</f>
        <v>0</v>
      </c>
      <c r="AF54" s="49" t="n">
        <f aca="false">_xlfn.MAXIFS('AVANCE REAL'!$E$6:$E$405,'AVANCE REAL'!$C$6:$C$405,$B54,'AVANCE REAL'!$D$6:$D$405,$C54,'AVANCE REAL'!$A$6:$A$405,"&lt;="&amp;MIN(AF$5,PARÁMETROS!$B$7))</f>
        <v>0</v>
      </c>
      <c r="AG54" s="49" t="n">
        <f aca="false">_xlfn.MAXIFS('AVANCE REAL'!$E$6:$E$405,'AVANCE REAL'!$C$6:$C$405,$B54,'AVANCE REAL'!$D$6:$D$405,$C54,'AVANCE REAL'!$A$6:$A$405,"&lt;="&amp;MIN(AG$5,PARÁMETROS!$B$7))</f>
        <v>0</v>
      </c>
      <c r="AH54" s="49" t="n">
        <f aca="false">_xlfn.MAXIFS('AVANCE REAL'!$E$6:$E$405,'AVANCE REAL'!$C$6:$C$405,$B54,'AVANCE REAL'!$D$6:$D$405,$C54,'AVANCE REAL'!$A$6:$A$405,"&lt;="&amp;MIN(AH$5,PARÁMETROS!$B$7))</f>
        <v>0</v>
      </c>
      <c r="AI54" s="49" t="n">
        <f aca="false">_xlfn.MAXIFS('AVANCE REAL'!$E$6:$E$405,'AVANCE REAL'!$C$6:$C$405,$B54,'AVANCE REAL'!$D$6:$D$405,$C54,'AVANCE REAL'!$A$6:$A$405,"&lt;="&amp;MIN(AI$5,PARÁMETROS!$B$7))</f>
        <v>0</v>
      </c>
      <c r="AJ54" s="49" t="n">
        <f aca="false">_xlfn.MAXIFS('AVANCE REAL'!$E$6:$E$405,'AVANCE REAL'!$C$6:$C$405,$B54,'AVANCE REAL'!$D$6:$D$405,$C54,'AVANCE REAL'!$A$6:$A$405,"&lt;="&amp;MIN(AJ$5,PARÁMETROS!$B$7))</f>
        <v>0</v>
      </c>
      <c r="AK54" s="49" t="n">
        <f aca="false">_xlfn.MAXIFS('AVANCE REAL'!$E$6:$E$405,'AVANCE REAL'!$C$6:$C$405,$B54,'AVANCE REAL'!$D$6:$D$405,$C54,'AVANCE REAL'!$A$6:$A$405,"&lt;="&amp;MIN(AK$5,PARÁMETROS!$B$7))</f>
        <v>0</v>
      </c>
    </row>
    <row r="55" customFormat="false" ht="15" hidden="false" customHeight="false" outlineLevel="0" collapsed="false">
      <c r="B55" s="39" t="str">
        <f aca="false">B28</f>
        <v>NIVEL 5</v>
      </c>
      <c r="C55" s="39" t="str">
        <f aca="false">C28</f>
        <v>Concreto</v>
      </c>
      <c r="L55" s="49" t="n">
        <f aca="false">_xlfn.MAXIFS('AVANCE REAL'!$E$6:$E$405,'AVANCE REAL'!$C$6:$C$405,$B55,'AVANCE REAL'!$D$6:$D$405,$C55,'AVANCE REAL'!$A$6:$A$405,"&lt;="&amp;MIN(L$5,PARÁMETROS!$B$7))</f>
        <v>0</v>
      </c>
      <c r="M55" s="49" t="n">
        <f aca="false">_xlfn.MAXIFS('AVANCE REAL'!$E$6:$E$405,'AVANCE REAL'!$C$6:$C$405,$B55,'AVANCE REAL'!$D$6:$D$405,$C55,'AVANCE REAL'!$A$6:$A$405,"&lt;="&amp;MIN(M$5,PARÁMETROS!$B$7))</f>
        <v>0</v>
      </c>
      <c r="N55" s="49" t="n">
        <f aca="false">_xlfn.MAXIFS('AVANCE REAL'!$E$6:$E$405,'AVANCE REAL'!$C$6:$C$405,$B55,'AVANCE REAL'!$D$6:$D$405,$C55,'AVANCE REAL'!$A$6:$A$405,"&lt;="&amp;MIN(N$5,PARÁMETROS!$B$7))</f>
        <v>0</v>
      </c>
      <c r="O55" s="49" t="n">
        <f aca="false">_xlfn.MAXIFS('AVANCE REAL'!$E$6:$E$405,'AVANCE REAL'!$C$6:$C$405,$B55,'AVANCE REAL'!$D$6:$D$405,$C55,'AVANCE REAL'!$A$6:$A$405,"&lt;="&amp;MIN(O$5,PARÁMETROS!$B$7))</f>
        <v>0</v>
      </c>
      <c r="P55" s="49" t="n">
        <f aca="false">_xlfn.MAXIFS('AVANCE REAL'!$E$6:$E$405,'AVANCE REAL'!$C$6:$C$405,$B55,'AVANCE REAL'!$D$6:$D$405,$C55,'AVANCE REAL'!$A$6:$A$405,"&lt;="&amp;MIN(P$5,PARÁMETROS!$B$7))</f>
        <v>0</v>
      </c>
      <c r="Q55" s="49" t="n">
        <f aca="false">_xlfn.MAXIFS('AVANCE REAL'!$E$6:$E$405,'AVANCE REAL'!$C$6:$C$405,$B55,'AVANCE REAL'!$D$6:$D$405,$C55,'AVANCE REAL'!$A$6:$A$405,"&lt;="&amp;MIN(Q$5,PARÁMETROS!$B$7))</f>
        <v>0</v>
      </c>
      <c r="R55" s="49" t="n">
        <f aca="false">_xlfn.MAXIFS('AVANCE REAL'!$E$6:$E$405,'AVANCE REAL'!$C$6:$C$405,$B55,'AVANCE REAL'!$D$6:$D$405,$C55,'AVANCE REAL'!$A$6:$A$405,"&lt;="&amp;MIN(R$5,PARÁMETROS!$B$7))</f>
        <v>0</v>
      </c>
      <c r="S55" s="49" t="n">
        <f aca="false">_xlfn.MAXIFS('AVANCE REAL'!$E$6:$E$405,'AVANCE REAL'!$C$6:$C$405,$B55,'AVANCE REAL'!$D$6:$D$405,$C55,'AVANCE REAL'!$A$6:$A$405,"&lt;="&amp;MIN(S$5,PARÁMETROS!$B$7))</f>
        <v>0</v>
      </c>
      <c r="T55" s="49" t="n">
        <f aca="false">_xlfn.MAXIFS('AVANCE REAL'!$E$6:$E$405,'AVANCE REAL'!$C$6:$C$405,$B55,'AVANCE REAL'!$D$6:$D$405,$C55,'AVANCE REAL'!$A$6:$A$405,"&lt;="&amp;MIN(T$5,PARÁMETROS!$B$7))</f>
        <v>0</v>
      </c>
      <c r="U55" s="49" t="n">
        <f aca="false">_xlfn.MAXIFS('AVANCE REAL'!$E$6:$E$405,'AVANCE REAL'!$C$6:$C$405,$B55,'AVANCE REAL'!$D$6:$D$405,$C55,'AVANCE REAL'!$A$6:$A$405,"&lt;="&amp;MIN(U$5,PARÁMETROS!$B$7))</f>
        <v>0</v>
      </c>
      <c r="V55" s="49" t="n">
        <f aca="false">_xlfn.MAXIFS('AVANCE REAL'!$E$6:$E$405,'AVANCE REAL'!$C$6:$C$405,$B55,'AVANCE REAL'!$D$6:$D$405,$C55,'AVANCE REAL'!$A$6:$A$405,"&lt;="&amp;MIN(V$5,PARÁMETROS!$B$7))</f>
        <v>0</v>
      </c>
      <c r="W55" s="49" t="n">
        <f aca="false">_xlfn.MAXIFS('AVANCE REAL'!$E$6:$E$405,'AVANCE REAL'!$C$6:$C$405,$B55,'AVANCE REAL'!$D$6:$D$405,$C55,'AVANCE REAL'!$A$6:$A$405,"&lt;="&amp;MIN(W$5,PARÁMETROS!$B$7))</f>
        <v>0</v>
      </c>
      <c r="X55" s="49" t="n">
        <f aca="false">_xlfn.MAXIFS('AVANCE REAL'!$E$6:$E$405,'AVANCE REAL'!$C$6:$C$405,$B55,'AVANCE REAL'!$D$6:$D$405,$C55,'AVANCE REAL'!$A$6:$A$405,"&lt;="&amp;MIN(X$5,PARÁMETROS!$B$7))</f>
        <v>0</v>
      </c>
      <c r="Y55" s="49" t="n">
        <f aca="false">_xlfn.MAXIFS('AVANCE REAL'!$E$6:$E$405,'AVANCE REAL'!$C$6:$C$405,$B55,'AVANCE REAL'!$D$6:$D$405,$C55,'AVANCE REAL'!$A$6:$A$405,"&lt;="&amp;MIN(Y$5,PARÁMETROS!$B$7))</f>
        <v>0</v>
      </c>
      <c r="Z55" s="49" t="n">
        <f aca="false">_xlfn.MAXIFS('AVANCE REAL'!$E$6:$E$405,'AVANCE REAL'!$C$6:$C$405,$B55,'AVANCE REAL'!$D$6:$D$405,$C55,'AVANCE REAL'!$A$6:$A$405,"&lt;="&amp;MIN(Z$5,PARÁMETROS!$B$7))</f>
        <v>0</v>
      </c>
      <c r="AA55" s="49" t="n">
        <f aca="false">_xlfn.MAXIFS('AVANCE REAL'!$E$6:$E$405,'AVANCE REAL'!$C$6:$C$405,$B55,'AVANCE REAL'!$D$6:$D$405,$C55,'AVANCE REAL'!$A$6:$A$405,"&lt;="&amp;MIN(AA$5,PARÁMETROS!$B$7))</f>
        <v>0</v>
      </c>
      <c r="AB55" s="49" t="n">
        <f aca="false">_xlfn.MAXIFS('AVANCE REAL'!$E$6:$E$405,'AVANCE REAL'!$C$6:$C$405,$B55,'AVANCE REAL'!$D$6:$D$405,$C55,'AVANCE REAL'!$A$6:$A$405,"&lt;="&amp;MIN(AB$5,PARÁMETROS!$B$7))</f>
        <v>0</v>
      </c>
      <c r="AC55" s="49" t="n">
        <f aca="false">_xlfn.MAXIFS('AVANCE REAL'!$E$6:$E$405,'AVANCE REAL'!$C$6:$C$405,$B55,'AVANCE REAL'!$D$6:$D$405,$C55,'AVANCE REAL'!$A$6:$A$405,"&lt;="&amp;MIN(AC$5,PARÁMETROS!$B$7))</f>
        <v>0</v>
      </c>
      <c r="AD55" s="49" t="n">
        <f aca="false">_xlfn.MAXIFS('AVANCE REAL'!$E$6:$E$405,'AVANCE REAL'!$C$6:$C$405,$B55,'AVANCE REAL'!$D$6:$D$405,$C55,'AVANCE REAL'!$A$6:$A$405,"&lt;="&amp;MIN(AD$5,PARÁMETROS!$B$7))</f>
        <v>0</v>
      </c>
      <c r="AE55" s="49" t="n">
        <f aca="false">_xlfn.MAXIFS('AVANCE REAL'!$E$6:$E$405,'AVANCE REAL'!$C$6:$C$405,$B55,'AVANCE REAL'!$D$6:$D$405,$C55,'AVANCE REAL'!$A$6:$A$405,"&lt;="&amp;MIN(AE$5,PARÁMETROS!$B$7))</f>
        <v>0</v>
      </c>
      <c r="AF55" s="49" t="n">
        <f aca="false">_xlfn.MAXIFS('AVANCE REAL'!$E$6:$E$405,'AVANCE REAL'!$C$6:$C$405,$B55,'AVANCE REAL'!$D$6:$D$405,$C55,'AVANCE REAL'!$A$6:$A$405,"&lt;="&amp;MIN(AF$5,PARÁMETROS!$B$7))</f>
        <v>0</v>
      </c>
      <c r="AG55" s="49" t="n">
        <f aca="false">_xlfn.MAXIFS('AVANCE REAL'!$E$6:$E$405,'AVANCE REAL'!$C$6:$C$405,$B55,'AVANCE REAL'!$D$6:$D$405,$C55,'AVANCE REAL'!$A$6:$A$405,"&lt;="&amp;MIN(AG$5,PARÁMETROS!$B$7))</f>
        <v>0</v>
      </c>
      <c r="AH55" s="49" t="n">
        <f aca="false">_xlfn.MAXIFS('AVANCE REAL'!$E$6:$E$405,'AVANCE REAL'!$C$6:$C$405,$B55,'AVANCE REAL'!$D$6:$D$405,$C55,'AVANCE REAL'!$A$6:$A$405,"&lt;="&amp;MIN(AH$5,PARÁMETROS!$B$7))</f>
        <v>0</v>
      </c>
      <c r="AI55" s="49" t="n">
        <f aca="false">_xlfn.MAXIFS('AVANCE REAL'!$E$6:$E$405,'AVANCE REAL'!$C$6:$C$405,$B55,'AVANCE REAL'!$D$6:$D$405,$C55,'AVANCE REAL'!$A$6:$A$405,"&lt;="&amp;MIN(AI$5,PARÁMETROS!$B$7))</f>
        <v>0</v>
      </c>
      <c r="AJ55" s="49" t="n">
        <f aca="false">_xlfn.MAXIFS('AVANCE REAL'!$E$6:$E$405,'AVANCE REAL'!$C$6:$C$405,$B55,'AVANCE REAL'!$D$6:$D$405,$C55,'AVANCE REAL'!$A$6:$A$405,"&lt;="&amp;MIN(AJ$5,PARÁMETROS!$B$7))</f>
        <v>0</v>
      </c>
      <c r="AK55" s="49" t="n">
        <f aca="false">_xlfn.MAXIFS('AVANCE REAL'!$E$6:$E$405,'AVANCE REAL'!$C$6:$C$405,$B55,'AVANCE REAL'!$D$6:$D$405,$C55,'AVANCE REAL'!$A$6:$A$405,"&lt;="&amp;MIN(AK$5,PARÁMETROS!$B$7))</f>
        <v>0</v>
      </c>
    </row>
    <row r="56" customFormat="false" ht="15" hidden="false" customHeight="false" outlineLevel="0" collapsed="false">
      <c r="B56" s="39" t="str">
        <f aca="false">B29</f>
        <v>NIVEL 5</v>
      </c>
      <c r="C56" s="39" t="str">
        <f aca="false">C29</f>
        <v>Curado</v>
      </c>
      <c r="L56" s="49" t="n">
        <f aca="false">_xlfn.MAXIFS('AVANCE REAL'!$E$6:$E$405,'AVANCE REAL'!$C$6:$C$405,$B56,'AVANCE REAL'!$D$6:$D$405,$C56,'AVANCE REAL'!$A$6:$A$405,"&lt;="&amp;MIN(L$5,PARÁMETROS!$B$7))</f>
        <v>0</v>
      </c>
      <c r="M56" s="49" t="n">
        <f aca="false">_xlfn.MAXIFS('AVANCE REAL'!$E$6:$E$405,'AVANCE REAL'!$C$6:$C$405,$B56,'AVANCE REAL'!$D$6:$D$405,$C56,'AVANCE REAL'!$A$6:$A$405,"&lt;="&amp;MIN(M$5,PARÁMETROS!$B$7))</f>
        <v>0</v>
      </c>
      <c r="N56" s="49" t="n">
        <f aca="false">_xlfn.MAXIFS('AVANCE REAL'!$E$6:$E$405,'AVANCE REAL'!$C$6:$C$405,$B56,'AVANCE REAL'!$D$6:$D$405,$C56,'AVANCE REAL'!$A$6:$A$405,"&lt;="&amp;MIN(N$5,PARÁMETROS!$B$7))</f>
        <v>0</v>
      </c>
      <c r="O56" s="49" t="n">
        <f aca="false">_xlfn.MAXIFS('AVANCE REAL'!$E$6:$E$405,'AVANCE REAL'!$C$6:$C$405,$B56,'AVANCE REAL'!$D$6:$D$405,$C56,'AVANCE REAL'!$A$6:$A$405,"&lt;="&amp;MIN(O$5,PARÁMETROS!$B$7))</f>
        <v>0</v>
      </c>
      <c r="P56" s="49" t="n">
        <f aca="false">_xlfn.MAXIFS('AVANCE REAL'!$E$6:$E$405,'AVANCE REAL'!$C$6:$C$405,$B56,'AVANCE REAL'!$D$6:$D$405,$C56,'AVANCE REAL'!$A$6:$A$405,"&lt;="&amp;MIN(P$5,PARÁMETROS!$B$7))</f>
        <v>0</v>
      </c>
      <c r="Q56" s="49" t="n">
        <f aca="false">_xlfn.MAXIFS('AVANCE REAL'!$E$6:$E$405,'AVANCE REAL'!$C$6:$C$405,$B56,'AVANCE REAL'!$D$6:$D$405,$C56,'AVANCE REAL'!$A$6:$A$405,"&lt;="&amp;MIN(Q$5,PARÁMETROS!$B$7))</f>
        <v>0</v>
      </c>
      <c r="R56" s="49" t="n">
        <f aca="false">_xlfn.MAXIFS('AVANCE REAL'!$E$6:$E$405,'AVANCE REAL'!$C$6:$C$405,$B56,'AVANCE REAL'!$D$6:$D$405,$C56,'AVANCE REAL'!$A$6:$A$405,"&lt;="&amp;MIN(R$5,PARÁMETROS!$B$7))</f>
        <v>0</v>
      </c>
      <c r="S56" s="49" t="n">
        <f aca="false">_xlfn.MAXIFS('AVANCE REAL'!$E$6:$E$405,'AVANCE REAL'!$C$6:$C$405,$B56,'AVANCE REAL'!$D$6:$D$405,$C56,'AVANCE REAL'!$A$6:$A$405,"&lt;="&amp;MIN(S$5,PARÁMETROS!$B$7))</f>
        <v>0</v>
      </c>
      <c r="T56" s="49" t="n">
        <f aca="false">_xlfn.MAXIFS('AVANCE REAL'!$E$6:$E$405,'AVANCE REAL'!$C$6:$C$405,$B56,'AVANCE REAL'!$D$6:$D$405,$C56,'AVANCE REAL'!$A$6:$A$405,"&lt;="&amp;MIN(T$5,PARÁMETROS!$B$7))</f>
        <v>0</v>
      </c>
      <c r="U56" s="49" t="n">
        <f aca="false">_xlfn.MAXIFS('AVANCE REAL'!$E$6:$E$405,'AVANCE REAL'!$C$6:$C$405,$B56,'AVANCE REAL'!$D$6:$D$405,$C56,'AVANCE REAL'!$A$6:$A$405,"&lt;="&amp;MIN(U$5,PARÁMETROS!$B$7))</f>
        <v>0</v>
      </c>
      <c r="V56" s="49" t="n">
        <f aca="false">_xlfn.MAXIFS('AVANCE REAL'!$E$6:$E$405,'AVANCE REAL'!$C$6:$C$405,$B56,'AVANCE REAL'!$D$6:$D$405,$C56,'AVANCE REAL'!$A$6:$A$405,"&lt;="&amp;MIN(V$5,PARÁMETROS!$B$7))</f>
        <v>0</v>
      </c>
      <c r="W56" s="49" t="n">
        <f aca="false">_xlfn.MAXIFS('AVANCE REAL'!$E$6:$E$405,'AVANCE REAL'!$C$6:$C$405,$B56,'AVANCE REAL'!$D$6:$D$405,$C56,'AVANCE REAL'!$A$6:$A$405,"&lt;="&amp;MIN(W$5,PARÁMETROS!$B$7))</f>
        <v>0</v>
      </c>
      <c r="X56" s="49" t="n">
        <f aca="false">_xlfn.MAXIFS('AVANCE REAL'!$E$6:$E$405,'AVANCE REAL'!$C$6:$C$405,$B56,'AVANCE REAL'!$D$6:$D$405,$C56,'AVANCE REAL'!$A$6:$A$405,"&lt;="&amp;MIN(X$5,PARÁMETROS!$B$7))</f>
        <v>0</v>
      </c>
      <c r="Y56" s="49" t="n">
        <f aca="false">_xlfn.MAXIFS('AVANCE REAL'!$E$6:$E$405,'AVANCE REAL'!$C$6:$C$405,$B56,'AVANCE REAL'!$D$6:$D$405,$C56,'AVANCE REAL'!$A$6:$A$405,"&lt;="&amp;MIN(Y$5,PARÁMETROS!$B$7))</f>
        <v>0</v>
      </c>
      <c r="Z56" s="49" t="n">
        <f aca="false">_xlfn.MAXIFS('AVANCE REAL'!$E$6:$E$405,'AVANCE REAL'!$C$6:$C$405,$B56,'AVANCE REAL'!$D$6:$D$405,$C56,'AVANCE REAL'!$A$6:$A$405,"&lt;="&amp;MIN(Z$5,PARÁMETROS!$B$7))</f>
        <v>0</v>
      </c>
      <c r="AA56" s="49" t="n">
        <f aca="false">_xlfn.MAXIFS('AVANCE REAL'!$E$6:$E$405,'AVANCE REAL'!$C$6:$C$405,$B56,'AVANCE REAL'!$D$6:$D$405,$C56,'AVANCE REAL'!$A$6:$A$405,"&lt;="&amp;MIN(AA$5,PARÁMETROS!$B$7))</f>
        <v>0</v>
      </c>
      <c r="AB56" s="49" t="n">
        <f aca="false">_xlfn.MAXIFS('AVANCE REAL'!$E$6:$E$405,'AVANCE REAL'!$C$6:$C$405,$B56,'AVANCE REAL'!$D$6:$D$405,$C56,'AVANCE REAL'!$A$6:$A$405,"&lt;="&amp;MIN(AB$5,PARÁMETROS!$B$7))</f>
        <v>0</v>
      </c>
      <c r="AC56" s="49" t="n">
        <f aca="false">_xlfn.MAXIFS('AVANCE REAL'!$E$6:$E$405,'AVANCE REAL'!$C$6:$C$405,$B56,'AVANCE REAL'!$D$6:$D$405,$C56,'AVANCE REAL'!$A$6:$A$405,"&lt;="&amp;MIN(AC$5,PARÁMETROS!$B$7))</f>
        <v>0</v>
      </c>
      <c r="AD56" s="49" t="n">
        <f aca="false">_xlfn.MAXIFS('AVANCE REAL'!$E$6:$E$405,'AVANCE REAL'!$C$6:$C$405,$B56,'AVANCE REAL'!$D$6:$D$405,$C56,'AVANCE REAL'!$A$6:$A$405,"&lt;="&amp;MIN(AD$5,PARÁMETROS!$B$7))</f>
        <v>0</v>
      </c>
      <c r="AE56" s="49" t="n">
        <f aca="false">_xlfn.MAXIFS('AVANCE REAL'!$E$6:$E$405,'AVANCE REAL'!$C$6:$C$405,$B56,'AVANCE REAL'!$D$6:$D$405,$C56,'AVANCE REAL'!$A$6:$A$405,"&lt;="&amp;MIN(AE$5,PARÁMETROS!$B$7))</f>
        <v>0</v>
      </c>
      <c r="AF56" s="49" t="n">
        <f aca="false">_xlfn.MAXIFS('AVANCE REAL'!$E$6:$E$405,'AVANCE REAL'!$C$6:$C$405,$B56,'AVANCE REAL'!$D$6:$D$405,$C56,'AVANCE REAL'!$A$6:$A$405,"&lt;="&amp;MIN(AF$5,PARÁMETROS!$B$7))</f>
        <v>0</v>
      </c>
      <c r="AG56" s="49" t="n">
        <f aca="false">_xlfn.MAXIFS('AVANCE REAL'!$E$6:$E$405,'AVANCE REAL'!$C$6:$C$405,$B56,'AVANCE REAL'!$D$6:$D$405,$C56,'AVANCE REAL'!$A$6:$A$405,"&lt;="&amp;MIN(AG$5,PARÁMETROS!$B$7))</f>
        <v>0</v>
      </c>
      <c r="AH56" s="49" t="n">
        <f aca="false">_xlfn.MAXIFS('AVANCE REAL'!$E$6:$E$405,'AVANCE REAL'!$C$6:$C$405,$B56,'AVANCE REAL'!$D$6:$D$405,$C56,'AVANCE REAL'!$A$6:$A$405,"&lt;="&amp;MIN(AH$5,PARÁMETROS!$B$7))</f>
        <v>0</v>
      </c>
      <c r="AI56" s="49" t="n">
        <f aca="false">_xlfn.MAXIFS('AVANCE REAL'!$E$6:$E$405,'AVANCE REAL'!$C$6:$C$405,$B56,'AVANCE REAL'!$D$6:$D$405,$C56,'AVANCE REAL'!$A$6:$A$405,"&lt;="&amp;MIN(AI$5,PARÁMETROS!$B$7))</f>
        <v>0</v>
      </c>
      <c r="AJ56" s="49" t="n">
        <f aca="false">_xlfn.MAXIFS('AVANCE REAL'!$E$6:$E$405,'AVANCE REAL'!$C$6:$C$405,$B56,'AVANCE REAL'!$D$6:$D$405,$C56,'AVANCE REAL'!$A$6:$A$405,"&lt;="&amp;MIN(AJ$5,PARÁMETROS!$B$7))</f>
        <v>0</v>
      </c>
      <c r="AK56" s="49" t="n">
        <f aca="false">_xlfn.MAXIFS('AVANCE REAL'!$E$6:$E$405,'AVANCE REAL'!$C$6:$C$405,$B56,'AVANCE REAL'!$D$6:$D$405,$C56,'AVANCE REAL'!$A$6:$A$405,"&lt;="&amp;MIN(AK$5,PARÁMETROS!$B$7))</f>
        <v>0</v>
      </c>
    </row>
  </sheetData>
  <conditionalFormatting sqref="L6:AK29">
    <cfRule type="expression" priority="2" aboveAverage="0" equalAverage="0" bottom="0" percent="0" rank="0" text="" dxfId="2">
      <formula>AND(L6&gt;0,L6&lt;1)</formula>
    </cfRule>
    <cfRule type="expression" priority="3" aboveAverage="0" equalAverage="0" bottom="0" percent="0" rank="0" text="" dxfId="3">
      <formula>L6&gt;=1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3" min="3" style="0" width="15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30"/>
    <col collapsed="false" customWidth="true" hidden="false" outlineLevel="0" max="7" min="7" style="0" width="3"/>
    <col collapsed="false" customWidth="true" hidden="false" outlineLevel="0" max="8" min="8" style="0" width="12"/>
    <col collapsed="false" customWidth="true" hidden="false" outlineLevel="0" max="9" min="9" style="0" width="32"/>
    <col collapsed="false" customWidth="true" hidden="false" outlineLevel="0" max="10" min="10" style="0" width="9"/>
    <col collapsed="false" customWidth="true" hidden="false" outlineLevel="0" max="12" min="11" style="0" width="12"/>
    <col collapsed="false" customWidth="true" hidden="false" outlineLevel="0" max="13" min="13" style="0" width="20"/>
    <col collapsed="false" customWidth="true" hidden="false" outlineLevel="0" max="14" min="14" style="0" width="26"/>
  </cols>
  <sheetData>
    <row r="1" customFormat="false" ht="17.35" hidden="false" customHeight="false" outlineLevel="0" collapsed="false">
      <c r="A1" s="1" t="s">
        <v>307</v>
      </c>
    </row>
    <row r="2" customFormat="false" ht="15" hidden="false" customHeight="false" outlineLevel="0" collapsed="false">
      <c r="A2" s="2" t="s">
        <v>308</v>
      </c>
    </row>
    <row r="3" customFormat="false" ht="15" hidden="false" customHeight="false" outlineLevel="0" collapsed="false">
      <c r="A3" s="51" t="s">
        <v>309</v>
      </c>
    </row>
    <row r="5" customFormat="false" ht="36" hidden="false" customHeight="true" outlineLevel="0" collapsed="false">
      <c r="A5" s="4" t="s">
        <v>310</v>
      </c>
      <c r="B5" s="4" t="s">
        <v>311</v>
      </c>
      <c r="C5" s="4" t="s">
        <v>177</v>
      </c>
      <c r="D5" s="4" t="s">
        <v>178</v>
      </c>
      <c r="E5" s="4" t="s">
        <v>312</v>
      </c>
      <c r="F5" s="4" t="s">
        <v>313</v>
      </c>
      <c r="H5" s="4" t="s">
        <v>310</v>
      </c>
      <c r="I5" s="4" t="s">
        <v>107</v>
      </c>
      <c r="J5" s="4" t="s">
        <v>5</v>
      </c>
      <c r="K5" s="4" t="s">
        <v>314</v>
      </c>
      <c r="L5" s="4" t="s">
        <v>315</v>
      </c>
      <c r="M5" s="4" t="s">
        <v>316</v>
      </c>
      <c r="N5" s="4" t="s">
        <v>313</v>
      </c>
    </row>
    <row r="6" customFormat="false" ht="15" hidden="false" customHeight="false" outlineLevel="0" collapsed="false">
      <c r="A6" s="6"/>
      <c r="B6" s="25" t="str">
        <f aca="false">IF(A6="","",INT((A6-PARÁMETROS!$B$6)/7)+1)</f>
        <v/>
      </c>
      <c r="C6" s="17"/>
      <c r="D6" s="17"/>
      <c r="E6" s="8"/>
      <c r="F6" s="17"/>
      <c r="H6" s="6"/>
      <c r="I6" s="17"/>
      <c r="J6" s="5" t="str">
        <f aca="false">IF(I6="","",INDEX(PARÁMETROS!$B$70:$B$89,MATCH(I6,PARÁMETROS!$A$70:$A$89,0)))</f>
        <v/>
      </c>
      <c r="K6" s="11"/>
      <c r="L6" s="11"/>
      <c r="M6" s="17"/>
      <c r="N6" s="17"/>
    </row>
    <row r="7" customFormat="false" ht="15" hidden="false" customHeight="false" outlineLevel="0" collapsed="false">
      <c r="A7" s="6"/>
      <c r="B7" s="25" t="str">
        <f aca="false">IF(A7="","",INT((A7-PARÁMETROS!$B$6)/7)+1)</f>
        <v/>
      </c>
      <c r="C7" s="17"/>
      <c r="D7" s="17"/>
      <c r="E7" s="8"/>
      <c r="F7" s="17"/>
      <c r="H7" s="6"/>
      <c r="I7" s="17"/>
      <c r="J7" s="5" t="str">
        <f aca="false">IF(I7="","",INDEX(PARÁMETROS!$B$70:$B$89,MATCH(I7,PARÁMETROS!$A$70:$A$89,0)))</f>
        <v/>
      </c>
      <c r="K7" s="11"/>
      <c r="L7" s="11"/>
      <c r="M7" s="17"/>
      <c r="N7" s="17"/>
    </row>
    <row r="8" customFormat="false" ht="15" hidden="false" customHeight="false" outlineLevel="0" collapsed="false">
      <c r="A8" s="6"/>
      <c r="B8" s="25" t="str">
        <f aca="false">IF(A8="","",INT((A8-PARÁMETROS!$B$6)/7)+1)</f>
        <v/>
      </c>
      <c r="C8" s="17"/>
      <c r="D8" s="17"/>
      <c r="E8" s="8"/>
      <c r="F8" s="17"/>
      <c r="H8" s="6"/>
      <c r="I8" s="17"/>
      <c r="J8" s="5" t="str">
        <f aca="false">IF(I8="","",INDEX(PARÁMETROS!$B$70:$B$89,MATCH(I8,PARÁMETROS!$A$70:$A$89,0)))</f>
        <v/>
      </c>
      <c r="K8" s="11"/>
      <c r="L8" s="11"/>
      <c r="M8" s="17"/>
      <c r="N8" s="17"/>
    </row>
    <row r="9" customFormat="false" ht="15" hidden="false" customHeight="false" outlineLevel="0" collapsed="false">
      <c r="A9" s="6"/>
      <c r="B9" s="25" t="str">
        <f aca="false">IF(A9="","",INT((A9-PARÁMETROS!$B$6)/7)+1)</f>
        <v/>
      </c>
      <c r="C9" s="17"/>
      <c r="D9" s="17"/>
      <c r="E9" s="8"/>
      <c r="F9" s="17"/>
      <c r="H9" s="6"/>
      <c r="I9" s="17"/>
      <c r="J9" s="5" t="str">
        <f aca="false">IF(I9="","",INDEX(PARÁMETROS!$B$70:$B$89,MATCH(I9,PARÁMETROS!$A$70:$A$89,0)))</f>
        <v/>
      </c>
      <c r="K9" s="11"/>
      <c r="L9" s="11"/>
      <c r="M9" s="17"/>
      <c r="N9" s="17"/>
    </row>
    <row r="10" customFormat="false" ht="15" hidden="false" customHeight="false" outlineLevel="0" collapsed="false">
      <c r="A10" s="6"/>
      <c r="B10" s="25" t="str">
        <f aca="false">IF(A10="","",INT((A10-PARÁMETROS!$B$6)/7)+1)</f>
        <v/>
      </c>
      <c r="C10" s="17"/>
      <c r="D10" s="17"/>
      <c r="E10" s="8"/>
      <c r="F10" s="17"/>
      <c r="H10" s="6"/>
      <c r="I10" s="17"/>
      <c r="J10" s="5" t="str">
        <f aca="false">IF(I10="","",INDEX(PARÁMETROS!$B$70:$B$89,MATCH(I10,PARÁMETROS!$A$70:$A$89,0)))</f>
        <v/>
      </c>
      <c r="K10" s="11"/>
      <c r="L10" s="11"/>
      <c r="M10" s="17"/>
      <c r="N10" s="17"/>
    </row>
    <row r="11" customFormat="false" ht="15" hidden="false" customHeight="false" outlineLevel="0" collapsed="false">
      <c r="A11" s="6"/>
      <c r="B11" s="25" t="str">
        <f aca="false">IF(A11="","",INT((A11-PARÁMETROS!$B$6)/7)+1)</f>
        <v/>
      </c>
      <c r="C11" s="17"/>
      <c r="D11" s="17"/>
      <c r="E11" s="8"/>
      <c r="F11" s="17"/>
      <c r="H11" s="6"/>
      <c r="I11" s="17"/>
      <c r="J11" s="5" t="str">
        <f aca="false">IF(I11="","",INDEX(PARÁMETROS!$B$70:$B$89,MATCH(I11,PARÁMETROS!$A$70:$A$89,0)))</f>
        <v/>
      </c>
      <c r="K11" s="11"/>
      <c r="L11" s="11"/>
      <c r="M11" s="17"/>
      <c r="N11" s="17"/>
    </row>
    <row r="12" customFormat="false" ht="15" hidden="false" customHeight="false" outlineLevel="0" collapsed="false">
      <c r="A12" s="6"/>
      <c r="B12" s="25" t="str">
        <f aca="false">IF(A12="","",INT((A12-PARÁMETROS!$B$6)/7)+1)</f>
        <v/>
      </c>
      <c r="C12" s="17"/>
      <c r="D12" s="17"/>
      <c r="E12" s="8"/>
      <c r="F12" s="17"/>
      <c r="H12" s="6"/>
      <c r="I12" s="17"/>
      <c r="J12" s="5" t="str">
        <f aca="false">IF(I12="","",INDEX(PARÁMETROS!$B$70:$B$89,MATCH(I12,PARÁMETROS!$A$70:$A$89,0)))</f>
        <v/>
      </c>
      <c r="K12" s="11"/>
      <c r="L12" s="11"/>
      <c r="M12" s="17"/>
      <c r="N12" s="17"/>
    </row>
    <row r="13" customFormat="false" ht="15" hidden="false" customHeight="false" outlineLevel="0" collapsed="false">
      <c r="A13" s="6"/>
      <c r="B13" s="25" t="str">
        <f aca="false">IF(A13="","",INT((A13-PARÁMETROS!$B$6)/7)+1)</f>
        <v/>
      </c>
      <c r="C13" s="17"/>
      <c r="D13" s="17"/>
      <c r="E13" s="8"/>
      <c r="F13" s="17"/>
      <c r="H13" s="6"/>
      <c r="I13" s="17"/>
      <c r="J13" s="5" t="str">
        <f aca="false">IF(I13="","",INDEX(PARÁMETROS!$B$70:$B$89,MATCH(I13,PARÁMETROS!$A$70:$A$89,0)))</f>
        <v/>
      </c>
      <c r="K13" s="11"/>
      <c r="L13" s="11"/>
      <c r="M13" s="17"/>
      <c r="N13" s="17"/>
    </row>
    <row r="14" customFormat="false" ht="15" hidden="false" customHeight="false" outlineLevel="0" collapsed="false">
      <c r="A14" s="6"/>
      <c r="B14" s="25" t="str">
        <f aca="false">IF(A14="","",INT((A14-PARÁMETROS!$B$6)/7)+1)</f>
        <v/>
      </c>
      <c r="C14" s="17"/>
      <c r="D14" s="17"/>
      <c r="E14" s="8"/>
      <c r="F14" s="17"/>
      <c r="H14" s="6"/>
      <c r="I14" s="17"/>
      <c r="J14" s="5" t="str">
        <f aca="false">IF(I14="","",INDEX(PARÁMETROS!$B$70:$B$89,MATCH(I14,PARÁMETROS!$A$70:$A$89,0)))</f>
        <v/>
      </c>
      <c r="K14" s="11"/>
      <c r="L14" s="11"/>
      <c r="M14" s="17"/>
      <c r="N14" s="17"/>
    </row>
    <row r="15" customFormat="false" ht="15" hidden="false" customHeight="false" outlineLevel="0" collapsed="false">
      <c r="A15" s="6"/>
      <c r="B15" s="25" t="str">
        <f aca="false">IF(A15="","",INT((A15-PARÁMETROS!$B$6)/7)+1)</f>
        <v/>
      </c>
      <c r="C15" s="17"/>
      <c r="D15" s="17"/>
      <c r="E15" s="8"/>
      <c r="F15" s="17"/>
      <c r="H15" s="6"/>
      <c r="I15" s="17"/>
      <c r="J15" s="5" t="str">
        <f aca="false">IF(I15="","",INDEX(PARÁMETROS!$B$70:$B$89,MATCH(I15,PARÁMETROS!$A$70:$A$89,0)))</f>
        <v/>
      </c>
      <c r="K15" s="11"/>
      <c r="L15" s="11"/>
      <c r="M15" s="17"/>
      <c r="N15" s="17"/>
    </row>
    <row r="16" customFormat="false" ht="15" hidden="false" customHeight="false" outlineLevel="0" collapsed="false">
      <c r="A16" s="6"/>
      <c r="B16" s="25" t="str">
        <f aca="false">IF(A16="","",INT((A16-PARÁMETROS!$B$6)/7)+1)</f>
        <v/>
      </c>
      <c r="C16" s="17"/>
      <c r="D16" s="17"/>
      <c r="E16" s="8"/>
      <c r="F16" s="17"/>
      <c r="H16" s="6"/>
      <c r="I16" s="17"/>
      <c r="J16" s="5" t="str">
        <f aca="false">IF(I16="","",INDEX(PARÁMETROS!$B$70:$B$89,MATCH(I16,PARÁMETROS!$A$70:$A$89,0)))</f>
        <v/>
      </c>
      <c r="K16" s="11"/>
      <c r="L16" s="11"/>
      <c r="M16" s="17"/>
      <c r="N16" s="17"/>
    </row>
    <row r="17" customFormat="false" ht="15" hidden="false" customHeight="false" outlineLevel="0" collapsed="false">
      <c r="A17" s="6"/>
      <c r="B17" s="25" t="str">
        <f aca="false">IF(A17="","",INT((A17-PARÁMETROS!$B$6)/7)+1)</f>
        <v/>
      </c>
      <c r="C17" s="17"/>
      <c r="D17" s="17"/>
      <c r="E17" s="8"/>
      <c r="F17" s="17"/>
      <c r="H17" s="6"/>
      <c r="I17" s="17"/>
      <c r="J17" s="5" t="str">
        <f aca="false">IF(I17="","",INDEX(PARÁMETROS!$B$70:$B$89,MATCH(I17,PARÁMETROS!$A$70:$A$89,0)))</f>
        <v/>
      </c>
      <c r="K17" s="11"/>
      <c r="L17" s="11"/>
      <c r="M17" s="17"/>
      <c r="N17" s="17"/>
    </row>
    <row r="18" customFormat="false" ht="15" hidden="false" customHeight="false" outlineLevel="0" collapsed="false">
      <c r="A18" s="6"/>
      <c r="B18" s="25" t="str">
        <f aca="false">IF(A18="","",INT((A18-PARÁMETROS!$B$6)/7)+1)</f>
        <v/>
      </c>
      <c r="C18" s="17"/>
      <c r="D18" s="17"/>
      <c r="E18" s="8"/>
      <c r="F18" s="17"/>
      <c r="H18" s="6"/>
      <c r="I18" s="17"/>
      <c r="J18" s="5" t="str">
        <f aca="false">IF(I18="","",INDEX(PARÁMETROS!$B$70:$B$89,MATCH(I18,PARÁMETROS!$A$70:$A$89,0)))</f>
        <v/>
      </c>
      <c r="K18" s="11"/>
      <c r="L18" s="11"/>
      <c r="M18" s="17"/>
      <c r="N18" s="17"/>
    </row>
    <row r="19" customFormat="false" ht="15" hidden="false" customHeight="false" outlineLevel="0" collapsed="false">
      <c r="A19" s="6"/>
      <c r="B19" s="25" t="str">
        <f aca="false">IF(A19="","",INT((A19-PARÁMETROS!$B$6)/7)+1)</f>
        <v/>
      </c>
      <c r="C19" s="17"/>
      <c r="D19" s="17"/>
      <c r="E19" s="8"/>
      <c r="F19" s="17"/>
      <c r="H19" s="6"/>
      <c r="I19" s="17"/>
      <c r="J19" s="5" t="str">
        <f aca="false">IF(I19="","",INDEX(PARÁMETROS!$B$70:$B$89,MATCH(I19,PARÁMETROS!$A$70:$A$89,0)))</f>
        <v/>
      </c>
      <c r="K19" s="11"/>
      <c r="L19" s="11"/>
      <c r="M19" s="17"/>
      <c r="N19" s="17"/>
    </row>
    <row r="20" customFormat="false" ht="15" hidden="false" customHeight="false" outlineLevel="0" collapsed="false">
      <c r="A20" s="6"/>
      <c r="B20" s="25" t="str">
        <f aca="false">IF(A20="","",INT((A20-PARÁMETROS!$B$6)/7)+1)</f>
        <v/>
      </c>
      <c r="C20" s="17"/>
      <c r="D20" s="17"/>
      <c r="E20" s="8"/>
      <c r="F20" s="17"/>
      <c r="H20" s="6"/>
      <c r="I20" s="17"/>
      <c r="J20" s="5" t="str">
        <f aca="false">IF(I20="","",INDEX(PARÁMETROS!$B$70:$B$89,MATCH(I20,PARÁMETROS!$A$70:$A$89,0)))</f>
        <v/>
      </c>
      <c r="K20" s="11"/>
      <c r="L20" s="11"/>
      <c r="M20" s="17"/>
      <c r="N20" s="17"/>
    </row>
    <row r="21" customFormat="false" ht="15" hidden="false" customHeight="false" outlineLevel="0" collapsed="false">
      <c r="A21" s="6"/>
      <c r="B21" s="25" t="str">
        <f aca="false">IF(A21="","",INT((A21-PARÁMETROS!$B$6)/7)+1)</f>
        <v/>
      </c>
      <c r="C21" s="17"/>
      <c r="D21" s="17"/>
      <c r="E21" s="8"/>
      <c r="F21" s="17"/>
      <c r="H21" s="6"/>
      <c r="I21" s="17"/>
      <c r="J21" s="5" t="str">
        <f aca="false">IF(I21="","",INDEX(PARÁMETROS!$B$70:$B$89,MATCH(I21,PARÁMETROS!$A$70:$A$89,0)))</f>
        <v/>
      </c>
      <c r="K21" s="11"/>
      <c r="L21" s="11"/>
      <c r="M21" s="17"/>
      <c r="N21" s="17"/>
    </row>
    <row r="22" customFormat="false" ht="15" hidden="false" customHeight="false" outlineLevel="0" collapsed="false">
      <c r="A22" s="6"/>
      <c r="B22" s="25" t="str">
        <f aca="false">IF(A22="","",INT((A22-PARÁMETROS!$B$6)/7)+1)</f>
        <v/>
      </c>
      <c r="C22" s="17"/>
      <c r="D22" s="17"/>
      <c r="E22" s="8"/>
      <c r="F22" s="17"/>
      <c r="H22" s="6"/>
      <c r="I22" s="17"/>
      <c r="J22" s="5" t="str">
        <f aca="false">IF(I22="","",INDEX(PARÁMETROS!$B$70:$B$89,MATCH(I22,PARÁMETROS!$A$70:$A$89,0)))</f>
        <v/>
      </c>
      <c r="K22" s="11"/>
      <c r="L22" s="11"/>
      <c r="M22" s="17"/>
      <c r="N22" s="17"/>
    </row>
    <row r="23" customFormat="false" ht="15" hidden="false" customHeight="false" outlineLevel="0" collapsed="false">
      <c r="A23" s="6"/>
      <c r="B23" s="25" t="str">
        <f aca="false">IF(A23="","",INT((A23-PARÁMETROS!$B$6)/7)+1)</f>
        <v/>
      </c>
      <c r="C23" s="17"/>
      <c r="D23" s="17"/>
      <c r="E23" s="8"/>
      <c r="F23" s="17"/>
      <c r="H23" s="6"/>
      <c r="I23" s="17"/>
      <c r="J23" s="5" t="str">
        <f aca="false">IF(I23="","",INDEX(PARÁMETROS!$B$70:$B$89,MATCH(I23,PARÁMETROS!$A$70:$A$89,0)))</f>
        <v/>
      </c>
      <c r="K23" s="11"/>
      <c r="L23" s="11"/>
      <c r="M23" s="17"/>
      <c r="N23" s="17"/>
    </row>
    <row r="24" customFormat="false" ht="15" hidden="false" customHeight="false" outlineLevel="0" collapsed="false">
      <c r="A24" s="6"/>
      <c r="B24" s="25" t="str">
        <f aca="false">IF(A24="","",INT((A24-PARÁMETROS!$B$6)/7)+1)</f>
        <v/>
      </c>
      <c r="C24" s="17"/>
      <c r="D24" s="17"/>
      <c r="E24" s="8"/>
      <c r="F24" s="17"/>
      <c r="H24" s="6"/>
      <c r="I24" s="17"/>
      <c r="J24" s="5" t="str">
        <f aca="false">IF(I24="","",INDEX(PARÁMETROS!$B$70:$B$89,MATCH(I24,PARÁMETROS!$A$70:$A$89,0)))</f>
        <v/>
      </c>
      <c r="K24" s="11"/>
      <c r="L24" s="11"/>
      <c r="M24" s="17"/>
      <c r="N24" s="17"/>
    </row>
    <row r="25" customFormat="false" ht="15" hidden="false" customHeight="false" outlineLevel="0" collapsed="false">
      <c r="A25" s="6"/>
      <c r="B25" s="25" t="str">
        <f aca="false">IF(A25="","",INT((A25-PARÁMETROS!$B$6)/7)+1)</f>
        <v/>
      </c>
      <c r="C25" s="17"/>
      <c r="D25" s="17"/>
      <c r="E25" s="8"/>
      <c r="F25" s="17"/>
      <c r="H25" s="6"/>
      <c r="I25" s="17"/>
      <c r="J25" s="5" t="str">
        <f aca="false">IF(I25="","",INDEX(PARÁMETROS!$B$70:$B$89,MATCH(I25,PARÁMETROS!$A$70:$A$89,0)))</f>
        <v/>
      </c>
      <c r="K25" s="11"/>
      <c r="L25" s="11"/>
      <c r="M25" s="17"/>
      <c r="N25" s="17"/>
    </row>
    <row r="26" customFormat="false" ht="15" hidden="false" customHeight="false" outlineLevel="0" collapsed="false">
      <c r="A26" s="6"/>
      <c r="B26" s="25" t="str">
        <f aca="false">IF(A26="","",INT((A26-PARÁMETROS!$B$6)/7)+1)</f>
        <v/>
      </c>
      <c r="C26" s="17"/>
      <c r="D26" s="17"/>
      <c r="E26" s="8"/>
      <c r="F26" s="17"/>
      <c r="H26" s="6"/>
      <c r="I26" s="17"/>
      <c r="J26" s="5" t="str">
        <f aca="false">IF(I26="","",INDEX(PARÁMETROS!$B$70:$B$89,MATCH(I26,PARÁMETROS!$A$70:$A$89,0)))</f>
        <v/>
      </c>
      <c r="K26" s="11"/>
      <c r="L26" s="11"/>
      <c r="M26" s="17"/>
      <c r="N26" s="17"/>
    </row>
    <row r="27" customFormat="false" ht="15" hidden="false" customHeight="false" outlineLevel="0" collapsed="false">
      <c r="A27" s="6"/>
      <c r="B27" s="25" t="str">
        <f aca="false">IF(A27="","",INT((A27-PARÁMETROS!$B$6)/7)+1)</f>
        <v/>
      </c>
      <c r="C27" s="17"/>
      <c r="D27" s="17"/>
      <c r="E27" s="8"/>
      <c r="F27" s="17"/>
      <c r="H27" s="6"/>
      <c r="I27" s="17"/>
      <c r="J27" s="5" t="str">
        <f aca="false">IF(I27="","",INDEX(PARÁMETROS!$B$70:$B$89,MATCH(I27,PARÁMETROS!$A$70:$A$89,0)))</f>
        <v/>
      </c>
      <c r="K27" s="11"/>
      <c r="L27" s="11"/>
      <c r="M27" s="17"/>
      <c r="N27" s="17"/>
    </row>
    <row r="28" customFormat="false" ht="15" hidden="false" customHeight="false" outlineLevel="0" collapsed="false">
      <c r="A28" s="6"/>
      <c r="B28" s="25" t="str">
        <f aca="false">IF(A28="","",INT((A28-PARÁMETROS!$B$6)/7)+1)</f>
        <v/>
      </c>
      <c r="C28" s="17"/>
      <c r="D28" s="17"/>
      <c r="E28" s="8"/>
      <c r="F28" s="17"/>
      <c r="H28" s="6"/>
      <c r="I28" s="17"/>
      <c r="J28" s="5" t="str">
        <f aca="false">IF(I28="","",INDEX(PARÁMETROS!$B$70:$B$89,MATCH(I28,PARÁMETROS!$A$70:$A$89,0)))</f>
        <v/>
      </c>
      <c r="K28" s="11"/>
      <c r="L28" s="11"/>
      <c r="M28" s="17"/>
      <c r="N28" s="17"/>
    </row>
    <row r="29" customFormat="false" ht="15" hidden="false" customHeight="false" outlineLevel="0" collapsed="false">
      <c r="A29" s="6"/>
      <c r="B29" s="25" t="str">
        <f aca="false">IF(A29="","",INT((A29-PARÁMETROS!$B$6)/7)+1)</f>
        <v/>
      </c>
      <c r="C29" s="17"/>
      <c r="D29" s="17"/>
      <c r="E29" s="8"/>
      <c r="F29" s="17"/>
      <c r="H29" s="6"/>
      <c r="I29" s="17"/>
      <c r="J29" s="5" t="str">
        <f aca="false">IF(I29="","",INDEX(PARÁMETROS!$B$70:$B$89,MATCH(I29,PARÁMETROS!$A$70:$A$89,0)))</f>
        <v/>
      </c>
      <c r="K29" s="11"/>
      <c r="L29" s="11"/>
      <c r="M29" s="17"/>
      <c r="N29" s="17"/>
    </row>
    <row r="30" customFormat="false" ht="15" hidden="false" customHeight="false" outlineLevel="0" collapsed="false">
      <c r="A30" s="6"/>
      <c r="B30" s="25" t="str">
        <f aca="false">IF(A30="","",INT((A30-PARÁMETROS!$B$6)/7)+1)</f>
        <v/>
      </c>
      <c r="C30" s="17"/>
      <c r="D30" s="17"/>
      <c r="E30" s="8"/>
      <c r="F30" s="17"/>
      <c r="H30" s="6"/>
      <c r="I30" s="17"/>
      <c r="J30" s="5" t="str">
        <f aca="false">IF(I30="","",INDEX(PARÁMETROS!$B$70:$B$89,MATCH(I30,PARÁMETROS!$A$70:$A$89,0)))</f>
        <v/>
      </c>
      <c r="K30" s="11"/>
      <c r="L30" s="11"/>
      <c r="M30" s="17"/>
      <c r="N30" s="17"/>
    </row>
    <row r="31" customFormat="false" ht="15" hidden="false" customHeight="false" outlineLevel="0" collapsed="false">
      <c r="A31" s="6"/>
      <c r="B31" s="25" t="str">
        <f aca="false">IF(A31="","",INT((A31-PARÁMETROS!$B$6)/7)+1)</f>
        <v/>
      </c>
      <c r="C31" s="17"/>
      <c r="D31" s="17"/>
      <c r="E31" s="8"/>
      <c r="F31" s="17"/>
      <c r="H31" s="6"/>
      <c r="I31" s="17"/>
      <c r="J31" s="5" t="str">
        <f aca="false">IF(I31="","",INDEX(PARÁMETROS!$B$70:$B$89,MATCH(I31,PARÁMETROS!$A$70:$A$89,0)))</f>
        <v/>
      </c>
      <c r="K31" s="11"/>
      <c r="L31" s="11"/>
      <c r="M31" s="17"/>
      <c r="N31" s="17"/>
    </row>
    <row r="32" customFormat="false" ht="15" hidden="false" customHeight="false" outlineLevel="0" collapsed="false">
      <c r="A32" s="6"/>
      <c r="B32" s="25" t="str">
        <f aca="false">IF(A32="","",INT((A32-PARÁMETROS!$B$6)/7)+1)</f>
        <v/>
      </c>
      <c r="C32" s="17"/>
      <c r="D32" s="17"/>
      <c r="E32" s="8"/>
      <c r="F32" s="17"/>
      <c r="H32" s="6"/>
      <c r="I32" s="17"/>
      <c r="J32" s="5" t="str">
        <f aca="false">IF(I32="","",INDEX(PARÁMETROS!$B$70:$B$89,MATCH(I32,PARÁMETROS!$A$70:$A$89,0)))</f>
        <v/>
      </c>
      <c r="K32" s="11"/>
      <c r="L32" s="11"/>
      <c r="M32" s="17"/>
      <c r="N32" s="17"/>
    </row>
    <row r="33" customFormat="false" ht="15" hidden="false" customHeight="false" outlineLevel="0" collapsed="false">
      <c r="A33" s="6"/>
      <c r="B33" s="25" t="str">
        <f aca="false">IF(A33="","",INT((A33-PARÁMETROS!$B$6)/7)+1)</f>
        <v/>
      </c>
      <c r="C33" s="17"/>
      <c r="D33" s="17"/>
      <c r="E33" s="8"/>
      <c r="F33" s="17"/>
      <c r="H33" s="6"/>
      <c r="I33" s="17"/>
      <c r="J33" s="5" t="str">
        <f aca="false">IF(I33="","",INDEX(PARÁMETROS!$B$70:$B$89,MATCH(I33,PARÁMETROS!$A$70:$A$89,0)))</f>
        <v/>
      </c>
      <c r="K33" s="11"/>
      <c r="L33" s="11"/>
      <c r="M33" s="17"/>
      <c r="N33" s="17"/>
    </row>
    <row r="34" customFormat="false" ht="15" hidden="false" customHeight="false" outlineLevel="0" collapsed="false">
      <c r="A34" s="6"/>
      <c r="B34" s="25" t="str">
        <f aca="false">IF(A34="","",INT((A34-PARÁMETROS!$B$6)/7)+1)</f>
        <v/>
      </c>
      <c r="C34" s="17"/>
      <c r="D34" s="17"/>
      <c r="E34" s="8"/>
      <c r="F34" s="17"/>
      <c r="H34" s="6"/>
      <c r="I34" s="17"/>
      <c r="J34" s="5" t="str">
        <f aca="false">IF(I34="","",INDEX(PARÁMETROS!$B$70:$B$89,MATCH(I34,PARÁMETROS!$A$70:$A$89,0)))</f>
        <v/>
      </c>
      <c r="K34" s="11"/>
      <c r="L34" s="11"/>
      <c r="M34" s="17"/>
      <c r="N34" s="17"/>
    </row>
    <row r="35" customFormat="false" ht="15" hidden="false" customHeight="false" outlineLevel="0" collapsed="false">
      <c r="A35" s="6"/>
      <c r="B35" s="25" t="str">
        <f aca="false">IF(A35="","",INT((A35-PARÁMETROS!$B$6)/7)+1)</f>
        <v/>
      </c>
      <c r="C35" s="17"/>
      <c r="D35" s="17"/>
      <c r="E35" s="8"/>
      <c r="F35" s="17"/>
      <c r="H35" s="6"/>
      <c r="I35" s="17"/>
      <c r="J35" s="5" t="str">
        <f aca="false">IF(I35="","",INDEX(PARÁMETROS!$B$70:$B$89,MATCH(I35,PARÁMETROS!$A$70:$A$89,0)))</f>
        <v/>
      </c>
      <c r="K35" s="11"/>
      <c r="L35" s="11"/>
      <c r="M35" s="17"/>
      <c r="N35" s="17"/>
    </row>
    <row r="36" customFormat="false" ht="15" hidden="false" customHeight="false" outlineLevel="0" collapsed="false">
      <c r="A36" s="6"/>
      <c r="B36" s="25" t="str">
        <f aca="false">IF(A36="","",INT((A36-PARÁMETROS!$B$6)/7)+1)</f>
        <v/>
      </c>
      <c r="C36" s="17"/>
      <c r="D36" s="17"/>
      <c r="E36" s="8"/>
      <c r="F36" s="17"/>
      <c r="H36" s="6"/>
      <c r="I36" s="17"/>
      <c r="J36" s="5" t="str">
        <f aca="false">IF(I36="","",INDEX(PARÁMETROS!$B$70:$B$89,MATCH(I36,PARÁMETROS!$A$70:$A$89,0)))</f>
        <v/>
      </c>
      <c r="K36" s="11"/>
      <c r="L36" s="11"/>
      <c r="M36" s="17"/>
      <c r="N36" s="17"/>
    </row>
    <row r="37" customFormat="false" ht="15" hidden="false" customHeight="false" outlineLevel="0" collapsed="false">
      <c r="A37" s="6"/>
      <c r="B37" s="25" t="str">
        <f aca="false">IF(A37="","",INT((A37-PARÁMETROS!$B$6)/7)+1)</f>
        <v/>
      </c>
      <c r="C37" s="17"/>
      <c r="D37" s="17"/>
      <c r="E37" s="8"/>
      <c r="F37" s="17"/>
      <c r="H37" s="6"/>
      <c r="I37" s="17"/>
      <c r="J37" s="5" t="str">
        <f aca="false">IF(I37="","",INDEX(PARÁMETROS!$B$70:$B$89,MATCH(I37,PARÁMETROS!$A$70:$A$89,0)))</f>
        <v/>
      </c>
      <c r="K37" s="11"/>
      <c r="L37" s="11"/>
      <c r="M37" s="17"/>
      <c r="N37" s="17"/>
    </row>
    <row r="38" customFormat="false" ht="15" hidden="false" customHeight="false" outlineLevel="0" collapsed="false">
      <c r="A38" s="6"/>
      <c r="B38" s="25" t="str">
        <f aca="false">IF(A38="","",INT((A38-PARÁMETROS!$B$6)/7)+1)</f>
        <v/>
      </c>
      <c r="C38" s="17"/>
      <c r="D38" s="17"/>
      <c r="E38" s="8"/>
      <c r="F38" s="17"/>
      <c r="H38" s="6"/>
      <c r="I38" s="17"/>
      <c r="J38" s="5" t="str">
        <f aca="false">IF(I38="","",INDEX(PARÁMETROS!$B$70:$B$89,MATCH(I38,PARÁMETROS!$A$70:$A$89,0)))</f>
        <v/>
      </c>
      <c r="K38" s="11"/>
      <c r="L38" s="11"/>
      <c r="M38" s="17"/>
      <c r="N38" s="17"/>
    </row>
    <row r="39" customFormat="false" ht="15" hidden="false" customHeight="false" outlineLevel="0" collapsed="false">
      <c r="A39" s="6"/>
      <c r="B39" s="25" t="str">
        <f aca="false">IF(A39="","",INT((A39-PARÁMETROS!$B$6)/7)+1)</f>
        <v/>
      </c>
      <c r="C39" s="17"/>
      <c r="D39" s="17"/>
      <c r="E39" s="8"/>
      <c r="F39" s="17"/>
      <c r="H39" s="6"/>
      <c r="I39" s="17"/>
      <c r="J39" s="5" t="str">
        <f aca="false">IF(I39="","",INDEX(PARÁMETROS!$B$70:$B$89,MATCH(I39,PARÁMETROS!$A$70:$A$89,0)))</f>
        <v/>
      </c>
      <c r="K39" s="11"/>
      <c r="L39" s="11"/>
      <c r="M39" s="17"/>
      <c r="N39" s="17"/>
    </row>
    <row r="40" customFormat="false" ht="15" hidden="false" customHeight="false" outlineLevel="0" collapsed="false">
      <c r="A40" s="6"/>
      <c r="B40" s="25" t="str">
        <f aca="false">IF(A40="","",INT((A40-PARÁMETROS!$B$6)/7)+1)</f>
        <v/>
      </c>
      <c r="C40" s="17"/>
      <c r="D40" s="17"/>
      <c r="E40" s="8"/>
      <c r="F40" s="17"/>
      <c r="H40" s="6"/>
      <c r="I40" s="17"/>
      <c r="J40" s="5" t="str">
        <f aca="false">IF(I40="","",INDEX(PARÁMETROS!$B$70:$B$89,MATCH(I40,PARÁMETROS!$A$70:$A$89,0)))</f>
        <v/>
      </c>
      <c r="K40" s="11"/>
      <c r="L40" s="11"/>
      <c r="M40" s="17"/>
      <c r="N40" s="17"/>
    </row>
    <row r="41" customFormat="false" ht="15" hidden="false" customHeight="false" outlineLevel="0" collapsed="false">
      <c r="A41" s="6"/>
      <c r="B41" s="25" t="str">
        <f aca="false">IF(A41="","",INT((A41-PARÁMETROS!$B$6)/7)+1)</f>
        <v/>
      </c>
      <c r="C41" s="17"/>
      <c r="D41" s="17"/>
      <c r="E41" s="8"/>
      <c r="F41" s="17"/>
      <c r="H41" s="6"/>
      <c r="I41" s="17"/>
      <c r="J41" s="5" t="str">
        <f aca="false">IF(I41="","",INDEX(PARÁMETROS!$B$70:$B$89,MATCH(I41,PARÁMETROS!$A$70:$A$89,0)))</f>
        <v/>
      </c>
      <c r="K41" s="11"/>
      <c r="L41" s="11"/>
      <c r="M41" s="17"/>
      <c r="N41" s="17"/>
    </row>
    <row r="42" customFormat="false" ht="15" hidden="false" customHeight="false" outlineLevel="0" collapsed="false">
      <c r="A42" s="6"/>
      <c r="B42" s="25" t="str">
        <f aca="false">IF(A42="","",INT((A42-PARÁMETROS!$B$6)/7)+1)</f>
        <v/>
      </c>
      <c r="C42" s="17"/>
      <c r="D42" s="17"/>
      <c r="E42" s="8"/>
      <c r="F42" s="17"/>
      <c r="H42" s="6"/>
      <c r="I42" s="17"/>
      <c r="J42" s="5" t="str">
        <f aca="false">IF(I42="","",INDEX(PARÁMETROS!$B$70:$B$89,MATCH(I42,PARÁMETROS!$A$70:$A$89,0)))</f>
        <v/>
      </c>
      <c r="K42" s="11"/>
      <c r="L42" s="11"/>
      <c r="M42" s="17"/>
      <c r="N42" s="17"/>
    </row>
    <row r="43" customFormat="false" ht="15" hidden="false" customHeight="false" outlineLevel="0" collapsed="false">
      <c r="A43" s="6"/>
      <c r="B43" s="25" t="str">
        <f aca="false">IF(A43="","",INT((A43-PARÁMETROS!$B$6)/7)+1)</f>
        <v/>
      </c>
      <c r="C43" s="17"/>
      <c r="D43" s="17"/>
      <c r="E43" s="8"/>
      <c r="F43" s="17"/>
      <c r="H43" s="6"/>
      <c r="I43" s="17"/>
      <c r="J43" s="5" t="str">
        <f aca="false">IF(I43="","",INDEX(PARÁMETROS!$B$70:$B$89,MATCH(I43,PARÁMETROS!$A$70:$A$89,0)))</f>
        <v/>
      </c>
      <c r="K43" s="11"/>
      <c r="L43" s="11"/>
      <c r="M43" s="17"/>
      <c r="N43" s="17"/>
    </row>
    <row r="44" customFormat="false" ht="15" hidden="false" customHeight="false" outlineLevel="0" collapsed="false">
      <c r="A44" s="6"/>
      <c r="B44" s="25" t="str">
        <f aca="false">IF(A44="","",INT((A44-PARÁMETROS!$B$6)/7)+1)</f>
        <v/>
      </c>
      <c r="C44" s="17"/>
      <c r="D44" s="17"/>
      <c r="E44" s="8"/>
      <c r="F44" s="17"/>
      <c r="H44" s="6"/>
      <c r="I44" s="17"/>
      <c r="J44" s="5" t="str">
        <f aca="false">IF(I44="","",INDEX(PARÁMETROS!$B$70:$B$89,MATCH(I44,PARÁMETROS!$A$70:$A$89,0)))</f>
        <v/>
      </c>
      <c r="K44" s="11"/>
      <c r="L44" s="11"/>
      <c r="M44" s="17"/>
      <c r="N44" s="17"/>
    </row>
    <row r="45" customFormat="false" ht="15" hidden="false" customHeight="false" outlineLevel="0" collapsed="false">
      <c r="A45" s="6"/>
      <c r="B45" s="25" t="str">
        <f aca="false">IF(A45="","",INT((A45-PARÁMETROS!$B$6)/7)+1)</f>
        <v/>
      </c>
      <c r="C45" s="17"/>
      <c r="D45" s="17"/>
      <c r="E45" s="8"/>
      <c r="F45" s="17"/>
      <c r="H45" s="6"/>
      <c r="I45" s="17"/>
      <c r="J45" s="5" t="str">
        <f aca="false">IF(I45="","",INDEX(PARÁMETROS!$B$70:$B$89,MATCH(I45,PARÁMETROS!$A$70:$A$89,0)))</f>
        <v/>
      </c>
      <c r="K45" s="11"/>
      <c r="L45" s="11"/>
      <c r="M45" s="17"/>
      <c r="N45" s="17"/>
    </row>
    <row r="46" customFormat="false" ht="15" hidden="false" customHeight="false" outlineLevel="0" collapsed="false">
      <c r="A46" s="6"/>
      <c r="B46" s="25" t="str">
        <f aca="false">IF(A46="","",INT((A46-PARÁMETROS!$B$6)/7)+1)</f>
        <v/>
      </c>
      <c r="C46" s="17"/>
      <c r="D46" s="17"/>
      <c r="E46" s="8"/>
      <c r="F46" s="17"/>
      <c r="H46" s="6"/>
      <c r="I46" s="17"/>
      <c r="J46" s="5" t="str">
        <f aca="false">IF(I46="","",INDEX(PARÁMETROS!$B$70:$B$89,MATCH(I46,PARÁMETROS!$A$70:$A$89,0)))</f>
        <v/>
      </c>
      <c r="K46" s="11"/>
      <c r="L46" s="11"/>
      <c r="M46" s="17"/>
      <c r="N46" s="17"/>
    </row>
    <row r="47" customFormat="false" ht="15" hidden="false" customHeight="false" outlineLevel="0" collapsed="false">
      <c r="A47" s="6"/>
      <c r="B47" s="25" t="str">
        <f aca="false">IF(A47="","",INT((A47-PARÁMETROS!$B$6)/7)+1)</f>
        <v/>
      </c>
      <c r="C47" s="17"/>
      <c r="D47" s="17"/>
      <c r="E47" s="8"/>
      <c r="F47" s="17"/>
      <c r="H47" s="6"/>
      <c r="I47" s="17"/>
      <c r="J47" s="5" t="str">
        <f aca="false">IF(I47="","",INDEX(PARÁMETROS!$B$70:$B$89,MATCH(I47,PARÁMETROS!$A$70:$A$89,0)))</f>
        <v/>
      </c>
      <c r="K47" s="11"/>
      <c r="L47" s="11"/>
      <c r="M47" s="17"/>
      <c r="N47" s="17"/>
    </row>
    <row r="48" customFormat="false" ht="15" hidden="false" customHeight="false" outlineLevel="0" collapsed="false">
      <c r="A48" s="6"/>
      <c r="B48" s="25" t="str">
        <f aca="false">IF(A48="","",INT((A48-PARÁMETROS!$B$6)/7)+1)</f>
        <v/>
      </c>
      <c r="C48" s="17"/>
      <c r="D48" s="17"/>
      <c r="E48" s="8"/>
      <c r="F48" s="17"/>
      <c r="H48" s="6"/>
      <c r="I48" s="17"/>
      <c r="J48" s="5" t="str">
        <f aca="false">IF(I48="","",INDEX(PARÁMETROS!$B$70:$B$89,MATCH(I48,PARÁMETROS!$A$70:$A$89,0)))</f>
        <v/>
      </c>
      <c r="K48" s="11"/>
      <c r="L48" s="11"/>
      <c r="M48" s="17"/>
      <c r="N48" s="17"/>
    </row>
    <row r="49" customFormat="false" ht="15" hidden="false" customHeight="false" outlineLevel="0" collapsed="false">
      <c r="A49" s="6"/>
      <c r="B49" s="25" t="str">
        <f aca="false">IF(A49="","",INT((A49-PARÁMETROS!$B$6)/7)+1)</f>
        <v/>
      </c>
      <c r="C49" s="17"/>
      <c r="D49" s="17"/>
      <c r="E49" s="8"/>
      <c r="F49" s="17"/>
      <c r="H49" s="6"/>
      <c r="I49" s="17"/>
      <c r="J49" s="5" t="str">
        <f aca="false">IF(I49="","",INDEX(PARÁMETROS!$B$70:$B$89,MATCH(I49,PARÁMETROS!$A$70:$A$89,0)))</f>
        <v/>
      </c>
      <c r="K49" s="11"/>
      <c r="L49" s="11"/>
      <c r="M49" s="17"/>
      <c r="N49" s="17"/>
    </row>
    <row r="50" customFormat="false" ht="15" hidden="false" customHeight="false" outlineLevel="0" collapsed="false">
      <c r="A50" s="6"/>
      <c r="B50" s="25" t="str">
        <f aca="false">IF(A50="","",INT((A50-PARÁMETROS!$B$6)/7)+1)</f>
        <v/>
      </c>
      <c r="C50" s="17"/>
      <c r="D50" s="17"/>
      <c r="E50" s="8"/>
      <c r="F50" s="17"/>
      <c r="H50" s="6"/>
      <c r="I50" s="17"/>
      <c r="J50" s="5" t="str">
        <f aca="false">IF(I50="","",INDEX(PARÁMETROS!$B$70:$B$89,MATCH(I50,PARÁMETROS!$A$70:$A$89,0)))</f>
        <v/>
      </c>
      <c r="K50" s="11"/>
      <c r="L50" s="11"/>
      <c r="M50" s="17"/>
      <c r="N50" s="17"/>
    </row>
    <row r="51" customFormat="false" ht="15" hidden="false" customHeight="false" outlineLevel="0" collapsed="false">
      <c r="A51" s="6"/>
      <c r="B51" s="25" t="str">
        <f aca="false">IF(A51="","",INT((A51-PARÁMETROS!$B$6)/7)+1)</f>
        <v/>
      </c>
      <c r="C51" s="17"/>
      <c r="D51" s="17"/>
      <c r="E51" s="8"/>
      <c r="F51" s="17"/>
      <c r="H51" s="6"/>
      <c r="I51" s="17"/>
      <c r="J51" s="5" t="str">
        <f aca="false">IF(I51="","",INDEX(PARÁMETROS!$B$70:$B$89,MATCH(I51,PARÁMETROS!$A$70:$A$89,0)))</f>
        <v/>
      </c>
      <c r="K51" s="11"/>
      <c r="L51" s="11"/>
      <c r="M51" s="17"/>
      <c r="N51" s="17"/>
    </row>
    <row r="52" customFormat="false" ht="15" hidden="false" customHeight="false" outlineLevel="0" collapsed="false">
      <c r="A52" s="6"/>
      <c r="B52" s="25" t="str">
        <f aca="false">IF(A52="","",INT((A52-PARÁMETROS!$B$6)/7)+1)</f>
        <v/>
      </c>
      <c r="C52" s="17"/>
      <c r="D52" s="17"/>
      <c r="E52" s="8"/>
      <c r="F52" s="17"/>
      <c r="H52" s="6"/>
      <c r="I52" s="17"/>
      <c r="J52" s="5" t="str">
        <f aca="false">IF(I52="","",INDEX(PARÁMETROS!$B$70:$B$89,MATCH(I52,PARÁMETROS!$A$70:$A$89,0)))</f>
        <v/>
      </c>
      <c r="K52" s="11"/>
      <c r="L52" s="11"/>
      <c r="M52" s="17"/>
      <c r="N52" s="17"/>
    </row>
    <row r="53" customFormat="false" ht="15" hidden="false" customHeight="false" outlineLevel="0" collapsed="false">
      <c r="A53" s="6"/>
      <c r="B53" s="25" t="str">
        <f aca="false">IF(A53="","",INT((A53-PARÁMETROS!$B$6)/7)+1)</f>
        <v/>
      </c>
      <c r="C53" s="17"/>
      <c r="D53" s="17"/>
      <c r="E53" s="8"/>
      <c r="F53" s="17"/>
      <c r="H53" s="6"/>
      <c r="I53" s="17"/>
      <c r="J53" s="5" t="str">
        <f aca="false">IF(I53="","",INDEX(PARÁMETROS!$B$70:$B$89,MATCH(I53,PARÁMETROS!$A$70:$A$89,0)))</f>
        <v/>
      </c>
      <c r="K53" s="11"/>
      <c r="L53" s="11"/>
      <c r="M53" s="17"/>
      <c r="N53" s="17"/>
    </row>
    <row r="54" customFormat="false" ht="15" hidden="false" customHeight="false" outlineLevel="0" collapsed="false">
      <c r="A54" s="6"/>
      <c r="B54" s="25" t="str">
        <f aca="false">IF(A54="","",INT((A54-PARÁMETROS!$B$6)/7)+1)</f>
        <v/>
      </c>
      <c r="C54" s="17"/>
      <c r="D54" s="17"/>
      <c r="E54" s="8"/>
      <c r="F54" s="17"/>
      <c r="H54" s="6"/>
      <c r="I54" s="17"/>
      <c r="J54" s="5" t="str">
        <f aca="false">IF(I54="","",INDEX(PARÁMETROS!$B$70:$B$89,MATCH(I54,PARÁMETROS!$A$70:$A$89,0)))</f>
        <v/>
      </c>
      <c r="K54" s="11"/>
      <c r="L54" s="11"/>
      <c r="M54" s="17"/>
      <c r="N54" s="17"/>
    </row>
    <row r="55" customFormat="false" ht="15" hidden="false" customHeight="false" outlineLevel="0" collapsed="false">
      <c r="A55" s="6"/>
      <c r="B55" s="25" t="str">
        <f aca="false">IF(A55="","",INT((A55-PARÁMETROS!$B$6)/7)+1)</f>
        <v/>
      </c>
      <c r="C55" s="17"/>
      <c r="D55" s="17"/>
      <c r="E55" s="8"/>
      <c r="F55" s="17"/>
      <c r="H55" s="6"/>
      <c r="I55" s="17"/>
      <c r="J55" s="5" t="str">
        <f aca="false">IF(I55="","",INDEX(PARÁMETROS!$B$70:$B$89,MATCH(I55,PARÁMETROS!$A$70:$A$89,0)))</f>
        <v/>
      </c>
      <c r="K55" s="11"/>
      <c r="L55" s="11"/>
      <c r="M55" s="17"/>
      <c r="N55" s="17"/>
    </row>
    <row r="56" customFormat="false" ht="15" hidden="false" customHeight="false" outlineLevel="0" collapsed="false">
      <c r="A56" s="6"/>
      <c r="B56" s="25" t="str">
        <f aca="false">IF(A56="","",INT((A56-PARÁMETROS!$B$6)/7)+1)</f>
        <v/>
      </c>
      <c r="C56" s="17"/>
      <c r="D56" s="17"/>
      <c r="E56" s="8"/>
      <c r="F56" s="17"/>
      <c r="H56" s="6"/>
      <c r="I56" s="17"/>
      <c r="J56" s="5" t="str">
        <f aca="false">IF(I56="","",INDEX(PARÁMETROS!$B$70:$B$89,MATCH(I56,PARÁMETROS!$A$70:$A$89,0)))</f>
        <v/>
      </c>
      <c r="K56" s="11"/>
      <c r="L56" s="11"/>
      <c r="M56" s="17"/>
      <c r="N56" s="17"/>
    </row>
    <row r="57" customFormat="false" ht="15" hidden="false" customHeight="false" outlineLevel="0" collapsed="false">
      <c r="A57" s="6"/>
      <c r="B57" s="25" t="str">
        <f aca="false">IF(A57="","",INT((A57-PARÁMETROS!$B$6)/7)+1)</f>
        <v/>
      </c>
      <c r="C57" s="17"/>
      <c r="D57" s="17"/>
      <c r="E57" s="8"/>
      <c r="F57" s="17"/>
      <c r="H57" s="6"/>
      <c r="I57" s="17"/>
      <c r="J57" s="5" t="str">
        <f aca="false">IF(I57="","",INDEX(PARÁMETROS!$B$70:$B$89,MATCH(I57,PARÁMETROS!$A$70:$A$89,0)))</f>
        <v/>
      </c>
      <c r="K57" s="11"/>
      <c r="L57" s="11"/>
      <c r="M57" s="17"/>
      <c r="N57" s="17"/>
    </row>
    <row r="58" customFormat="false" ht="15" hidden="false" customHeight="false" outlineLevel="0" collapsed="false">
      <c r="A58" s="6"/>
      <c r="B58" s="25" t="str">
        <f aca="false">IF(A58="","",INT((A58-PARÁMETROS!$B$6)/7)+1)</f>
        <v/>
      </c>
      <c r="C58" s="17"/>
      <c r="D58" s="17"/>
      <c r="E58" s="8"/>
      <c r="F58" s="17"/>
      <c r="H58" s="6"/>
      <c r="I58" s="17"/>
      <c r="J58" s="5" t="str">
        <f aca="false">IF(I58="","",INDEX(PARÁMETROS!$B$70:$B$89,MATCH(I58,PARÁMETROS!$A$70:$A$89,0)))</f>
        <v/>
      </c>
      <c r="K58" s="11"/>
      <c r="L58" s="11"/>
      <c r="M58" s="17"/>
      <c r="N58" s="17"/>
    </row>
    <row r="59" customFormat="false" ht="15" hidden="false" customHeight="false" outlineLevel="0" collapsed="false">
      <c r="A59" s="6"/>
      <c r="B59" s="25" t="str">
        <f aca="false">IF(A59="","",INT((A59-PARÁMETROS!$B$6)/7)+1)</f>
        <v/>
      </c>
      <c r="C59" s="17"/>
      <c r="D59" s="17"/>
      <c r="E59" s="8"/>
      <c r="F59" s="17"/>
      <c r="H59" s="6"/>
      <c r="I59" s="17"/>
      <c r="J59" s="5" t="str">
        <f aca="false">IF(I59="","",INDEX(PARÁMETROS!$B$70:$B$89,MATCH(I59,PARÁMETROS!$A$70:$A$89,0)))</f>
        <v/>
      </c>
      <c r="K59" s="11"/>
      <c r="L59" s="11"/>
      <c r="M59" s="17"/>
      <c r="N59" s="17"/>
    </row>
    <row r="60" customFormat="false" ht="15" hidden="false" customHeight="false" outlineLevel="0" collapsed="false">
      <c r="A60" s="6"/>
      <c r="B60" s="25" t="str">
        <f aca="false">IF(A60="","",INT((A60-PARÁMETROS!$B$6)/7)+1)</f>
        <v/>
      </c>
      <c r="C60" s="17"/>
      <c r="D60" s="17"/>
      <c r="E60" s="8"/>
      <c r="F60" s="17"/>
      <c r="H60" s="6"/>
      <c r="I60" s="17"/>
      <c r="J60" s="5" t="str">
        <f aca="false">IF(I60="","",INDEX(PARÁMETROS!$B$70:$B$89,MATCH(I60,PARÁMETROS!$A$70:$A$89,0)))</f>
        <v/>
      </c>
      <c r="K60" s="11"/>
      <c r="L60" s="11"/>
      <c r="M60" s="17"/>
      <c r="N60" s="17"/>
    </row>
    <row r="61" customFormat="false" ht="15" hidden="false" customHeight="false" outlineLevel="0" collapsed="false">
      <c r="A61" s="6"/>
      <c r="B61" s="25" t="str">
        <f aca="false">IF(A61="","",INT((A61-PARÁMETROS!$B$6)/7)+1)</f>
        <v/>
      </c>
      <c r="C61" s="17"/>
      <c r="D61" s="17"/>
      <c r="E61" s="8"/>
      <c r="F61" s="17"/>
      <c r="H61" s="6"/>
      <c r="I61" s="17"/>
      <c r="J61" s="5" t="str">
        <f aca="false">IF(I61="","",INDEX(PARÁMETROS!$B$70:$B$89,MATCH(I61,PARÁMETROS!$A$70:$A$89,0)))</f>
        <v/>
      </c>
      <c r="K61" s="11"/>
      <c r="L61" s="11"/>
      <c r="M61" s="17"/>
      <c r="N61" s="17"/>
    </row>
    <row r="62" customFormat="false" ht="15" hidden="false" customHeight="false" outlineLevel="0" collapsed="false">
      <c r="A62" s="6"/>
      <c r="B62" s="25" t="str">
        <f aca="false">IF(A62="","",INT((A62-PARÁMETROS!$B$6)/7)+1)</f>
        <v/>
      </c>
      <c r="C62" s="17"/>
      <c r="D62" s="17"/>
      <c r="E62" s="8"/>
      <c r="F62" s="17"/>
      <c r="H62" s="6"/>
      <c r="I62" s="17"/>
      <c r="J62" s="5" t="str">
        <f aca="false">IF(I62="","",INDEX(PARÁMETROS!$B$70:$B$89,MATCH(I62,PARÁMETROS!$A$70:$A$89,0)))</f>
        <v/>
      </c>
      <c r="K62" s="11"/>
      <c r="L62" s="11"/>
      <c r="M62" s="17"/>
      <c r="N62" s="17"/>
    </row>
    <row r="63" customFormat="false" ht="15" hidden="false" customHeight="false" outlineLevel="0" collapsed="false">
      <c r="A63" s="6"/>
      <c r="B63" s="25" t="str">
        <f aca="false">IF(A63="","",INT((A63-PARÁMETROS!$B$6)/7)+1)</f>
        <v/>
      </c>
      <c r="C63" s="17"/>
      <c r="D63" s="17"/>
      <c r="E63" s="8"/>
      <c r="F63" s="17"/>
      <c r="H63" s="6"/>
      <c r="I63" s="17"/>
      <c r="J63" s="5" t="str">
        <f aca="false">IF(I63="","",INDEX(PARÁMETROS!$B$70:$B$89,MATCH(I63,PARÁMETROS!$A$70:$A$89,0)))</f>
        <v/>
      </c>
      <c r="K63" s="11"/>
      <c r="L63" s="11"/>
      <c r="M63" s="17"/>
      <c r="N63" s="17"/>
    </row>
    <row r="64" customFormat="false" ht="15" hidden="false" customHeight="false" outlineLevel="0" collapsed="false">
      <c r="A64" s="6"/>
      <c r="B64" s="25" t="str">
        <f aca="false">IF(A64="","",INT((A64-PARÁMETROS!$B$6)/7)+1)</f>
        <v/>
      </c>
      <c r="C64" s="17"/>
      <c r="D64" s="17"/>
      <c r="E64" s="8"/>
      <c r="F64" s="17"/>
      <c r="H64" s="6"/>
      <c r="I64" s="17"/>
      <c r="J64" s="5" t="str">
        <f aca="false">IF(I64="","",INDEX(PARÁMETROS!$B$70:$B$89,MATCH(I64,PARÁMETROS!$A$70:$A$89,0)))</f>
        <v/>
      </c>
      <c r="K64" s="11"/>
      <c r="L64" s="11"/>
      <c r="M64" s="17"/>
      <c r="N64" s="17"/>
    </row>
    <row r="65" customFormat="false" ht="15" hidden="false" customHeight="false" outlineLevel="0" collapsed="false">
      <c r="A65" s="6"/>
      <c r="B65" s="25" t="str">
        <f aca="false">IF(A65="","",INT((A65-PARÁMETROS!$B$6)/7)+1)</f>
        <v/>
      </c>
      <c r="C65" s="17"/>
      <c r="D65" s="17"/>
      <c r="E65" s="8"/>
      <c r="F65" s="17"/>
      <c r="H65" s="6"/>
      <c r="I65" s="17"/>
      <c r="J65" s="5" t="str">
        <f aca="false">IF(I65="","",INDEX(PARÁMETROS!$B$70:$B$89,MATCH(I65,PARÁMETROS!$A$70:$A$89,0)))</f>
        <v/>
      </c>
      <c r="K65" s="11"/>
      <c r="L65" s="11"/>
      <c r="M65" s="17"/>
      <c r="N65" s="17"/>
    </row>
    <row r="66" customFormat="false" ht="15" hidden="false" customHeight="false" outlineLevel="0" collapsed="false">
      <c r="A66" s="6"/>
      <c r="B66" s="25" t="str">
        <f aca="false">IF(A66="","",INT((A66-PARÁMETROS!$B$6)/7)+1)</f>
        <v/>
      </c>
      <c r="C66" s="17"/>
      <c r="D66" s="17"/>
      <c r="E66" s="8"/>
      <c r="F66" s="17"/>
      <c r="H66" s="6"/>
      <c r="I66" s="17"/>
      <c r="J66" s="5" t="str">
        <f aca="false">IF(I66="","",INDEX(PARÁMETROS!$B$70:$B$89,MATCH(I66,PARÁMETROS!$A$70:$A$89,0)))</f>
        <v/>
      </c>
      <c r="K66" s="11"/>
      <c r="L66" s="11"/>
      <c r="M66" s="17"/>
      <c r="N66" s="17"/>
    </row>
    <row r="67" customFormat="false" ht="15" hidden="false" customHeight="false" outlineLevel="0" collapsed="false">
      <c r="A67" s="6"/>
      <c r="B67" s="25" t="str">
        <f aca="false">IF(A67="","",INT((A67-PARÁMETROS!$B$6)/7)+1)</f>
        <v/>
      </c>
      <c r="C67" s="17"/>
      <c r="D67" s="17"/>
      <c r="E67" s="8"/>
      <c r="F67" s="17"/>
      <c r="H67" s="6"/>
      <c r="I67" s="17"/>
      <c r="J67" s="5" t="str">
        <f aca="false">IF(I67="","",INDEX(PARÁMETROS!$B$70:$B$89,MATCH(I67,PARÁMETROS!$A$70:$A$89,0)))</f>
        <v/>
      </c>
      <c r="K67" s="11"/>
      <c r="L67" s="11"/>
      <c r="M67" s="17"/>
      <c r="N67" s="17"/>
    </row>
    <row r="68" customFormat="false" ht="15" hidden="false" customHeight="false" outlineLevel="0" collapsed="false">
      <c r="A68" s="6"/>
      <c r="B68" s="25" t="str">
        <f aca="false">IF(A68="","",INT((A68-PARÁMETROS!$B$6)/7)+1)</f>
        <v/>
      </c>
      <c r="C68" s="17"/>
      <c r="D68" s="17"/>
      <c r="E68" s="8"/>
      <c r="F68" s="17"/>
      <c r="H68" s="6"/>
      <c r="I68" s="17"/>
      <c r="J68" s="5" t="str">
        <f aca="false">IF(I68="","",INDEX(PARÁMETROS!$B$70:$B$89,MATCH(I68,PARÁMETROS!$A$70:$A$89,0)))</f>
        <v/>
      </c>
      <c r="K68" s="11"/>
      <c r="L68" s="11"/>
      <c r="M68" s="17"/>
      <c r="N68" s="17"/>
    </row>
    <row r="69" customFormat="false" ht="15" hidden="false" customHeight="false" outlineLevel="0" collapsed="false">
      <c r="A69" s="6"/>
      <c r="B69" s="25" t="str">
        <f aca="false">IF(A69="","",INT((A69-PARÁMETROS!$B$6)/7)+1)</f>
        <v/>
      </c>
      <c r="C69" s="17"/>
      <c r="D69" s="17"/>
      <c r="E69" s="8"/>
      <c r="F69" s="17"/>
      <c r="H69" s="6"/>
      <c r="I69" s="17"/>
      <c r="J69" s="5" t="str">
        <f aca="false">IF(I69="","",INDEX(PARÁMETROS!$B$70:$B$89,MATCH(I69,PARÁMETROS!$A$70:$A$89,0)))</f>
        <v/>
      </c>
      <c r="K69" s="11"/>
      <c r="L69" s="11"/>
      <c r="M69" s="17"/>
      <c r="N69" s="17"/>
    </row>
    <row r="70" customFormat="false" ht="15" hidden="false" customHeight="false" outlineLevel="0" collapsed="false">
      <c r="A70" s="6"/>
      <c r="B70" s="25" t="str">
        <f aca="false">IF(A70="","",INT((A70-PARÁMETROS!$B$6)/7)+1)</f>
        <v/>
      </c>
      <c r="C70" s="17"/>
      <c r="D70" s="17"/>
      <c r="E70" s="8"/>
      <c r="F70" s="17"/>
      <c r="H70" s="6"/>
      <c r="I70" s="17"/>
      <c r="J70" s="5" t="str">
        <f aca="false">IF(I70="","",INDEX(PARÁMETROS!$B$70:$B$89,MATCH(I70,PARÁMETROS!$A$70:$A$89,0)))</f>
        <v/>
      </c>
      <c r="K70" s="11"/>
      <c r="L70" s="11"/>
      <c r="M70" s="17"/>
      <c r="N70" s="17"/>
    </row>
    <row r="71" customFormat="false" ht="15" hidden="false" customHeight="false" outlineLevel="0" collapsed="false">
      <c r="A71" s="6"/>
      <c r="B71" s="25" t="str">
        <f aca="false">IF(A71="","",INT((A71-PARÁMETROS!$B$6)/7)+1)</f>
        <v/>
      </c>
      <c r="C71" s="17"/>
      <c r="D71" s="17"/>
      <c r="E71" s="8"/>
      <c r="F71" s="17"/>
      <c r="H71" s="6"/>
      <c r="I71" s="17"/>
      <c r="J71" s="5" t="str">
        <f aca="false">IF(I71="","",INDEX(PARÁMETROS!$B$70:$B$89,MATCH(I71,PARÁMETROS!$A$70:$A$89,0)))</f>
        <v/>
      </c>
      <c r="K71" s="11"/>
      <c r="L71" s="11"/>
      <c r="M71" s="17"/>
      <c r="N71" s="17"/>
    </row>
    <row r="72" customFormat="false" ht="15" hidden="false" customHeight="false" outlineLevel="0" collapsed="false">
      <c r="A72" s="6"/>
      <c r="B72" s="25" t="str">
        <f aca="false">IF(A72="","",INT((A72-PARÁMETROS!$B$6)/7)+1)</f>
        <v/>
      </c>
      <c r="C72" s="17"/>
      <c r="D72" s="17"/>
      <c r="E72" s="8"/>
      <c r="F72" s="17"/>
      <c r="H72" s="6"/>
      <c r="I72" s="17"/>
      <c r="J72" s="5" t="str">
        <f aca="false">IF(I72="","",INDEX(PARÁMETROS!$B$70:$B$89,MATCH(I72,PARÁMETROS!$A$70:$A$89,0)))</f>
        <v/>
      </c>
      <c r="K72" s="11"/>
      <c r="L72" s="11"/>
      <c r="M72" s="17"/>
      <c r="N72" s="17"/>
    </row>
    <row r="73" customFormat="false" ht="15" hidden="false" customHeight="false" outlineLevel="0" collapsed="false">
      <c r="A73" s="6"/>
      <c r="B73" s="25" t="str">
        <f aca="false">IF(A73="","",INT((A73-PARÁMETROS!$B$6)/7)+1)</f>
        <v/>
      </c>
      <c r="C73" s="17"/>
      <c r="D73" s="17"/>
      <c r="E73" s="8"/>
      <c r="F73" s="17"/>
      <c r="H73" s="6"/>
      <c r="I73" s="17"/>
      <c r="J73" s="5" t="str">
        <f aca="false">IF(I73="","",INDEX(PARÁMETROS!$B$70:$B$89,MATCH(I73,PARÁMETROS!$A$70:$A$89,0)))</f>
        <v/>
      </c>
      <c r="K73" s="11"/>
      <c r="L73" s="11"/>
      <c r="M73" s="17"/>
      <c r="N73" s="17"/>
    </row>
    <row r="74" customFormat="false" ht="15" hidden="false" customHeight="false" outlineLevel="0" collapsed="false">
      <c r="A74" s="6"/>
      <c r="B74" s="25" t="str">
        <f aca="false">IF(A74="","",INT((A74-PARÁMETROS!$B$6)/7)+1)</f>
        <v/>
      </c>
      <c r="C74" s="17"/>
      <c r="D74" s="17"/>
      <c r="E74" s="8"/>
      <c r="F74" s="17"/>
      <c r="H74" s="6"/>
      <c r="I74" s="17"/>
      <c r="J74" s="5" t="str">
        <f aca="false">IF(I74="","",INDEX(PARÁMETROS!$B$70:$B$89,MATCH(I74,PARÁMETROS!$A$70:$A$89,0)))</f>
        <v/>
      </c>
      <c r="K74" s="11"/>
      <c r="L74" s="11"/>
      <c r="M74" s="17"/>
      <c r="N74" s="17"/>
    </row>
    <row r="75" customFormat="false" ht="15" hidden="false" customHeight="false" outlineLevel="0" collapsed="false">
      <c r="A75" s="6"/>
      <c r="B75" s="25" t="str">
        <f aca="false">IF(A75="","",INT((A75-PARÁMETROS!$B$6)/7)+1)</f>
        <v/>
      </c>
      <c r="C75" s="17"/>
      <c r="D75" s="17"/>
      <c r="E75" s="8"/>
      <c r="F75" s="17"/>
      <c r="H75" s="6"/>
      <c r="I75" s="17"/>
      <c r="J75" s="5" t="str">
        <f aca="false">IF(I75="","",INDEX(PARÁMETROS!$B$70:$B$89,MATCH(I75,PARÁMETROS!$A$70:$A$89,0)))</f>
        <v/>
      </c>
      <c r="K75" s="11"/>
      <c r="L75" s="11"/>
      <c r="M75" s="17"/>
      <c r="N75" s="17"/>
    </row>
    <row r="76" customFormat="false" ht="15" hidden="false" customHeight="false" outlineLevel="0" collapsed="false">
      <c r="A76" s="6"/>
      <c r="B76" s="25" t="str">
        <f aca="false">IF(A76="","",INT((A76-PARÁMETROS!$B$6)/7)+1)</f>
        <v/>
      </c>
      <c r="C76" s="17"/>
      <c r="D76" s="17"/>
      <c r="E76" s="8"/>
      <c r="F76" s="17"/>
      <c r="H76" s="6"/>
      <c r="I76" s="17"/>
      <c r="J76" s="5" t="str">
        <f aca="false">IF(I76="","",INDEX(PARÁMETROS!$B$70:$B$89,MATCH(I76,PARÁMETROS!$A$70:$A$89,0)))</f>
        <v/>
      </c>
      <c r="K76" s="11"/>
      <c r="L76" s="11"/>
      <c r="M76" s="17"/>
      <c r="N76" s="17"/>
    </row>
    <row r="77" customFormat="false" ht="15" hidden="false" customHeight="false" outlineLevel="0" collapsed="false">
      <c r="A77" s="6"/>
      <c r="B77" s="25" t="str">
        <f aca="false">IF(A77="","",INT((A77-PARÁMETROS!$B$6)/7)+1)</f>
        <v/>
      </c>
      <c r="C77" s="17"/>
      <c r="D77" s="17"/>
      <c r="E77" s="8"/>
      <c r="F77" s="17"/>
      <c r="H77" s="6"/>
      <c r="I77" s="17"/>
      <c r="J77" s="5" t="str">
        <f aca="false">IF(I77="","",INDEX(PARÁMETROS!$B$70:$B$89,MATCH(I77,PARÁMETROS!$A$70:$A$89,0)))</f>
        <v/>
      </c>
      <c r="K77" s="11"/>
      <c r="L77" s="11"/>
      <c r="M77" s="17"/>
      <c r="N77" s="17"/>
    </row>
    <row r="78" customFormat="false" ht="15" hidden="false" customHeight="false" outlineLevel="0" collapsed="false">
      <c r="A78" s="6"/>
      <c r="B78" s="25" t="str">
        <f aca="false">IF(A78="","",INT((A78-PARÁMETROS!$B$6)/7)+1)</f>
        <v/>
      </c>
      <c r="C78" s="17"/>
      <c r="D78" s="17"/>
      <c r="E78" s="8"/>
      <c r="F78" s="17"/>
      <c r="H78" s="6"/>
      <c r="I78" s="17"/>
      <c r="J78" s="5" t="str">
        <f aca="false">IF(I78="","",INDEX(PARÁMETROS!$B$70:$B$89,MATCH(I78,PARÁMETROS!$A$70:$A$89,0)))</f>
        <v/>
      </c>
      <c r="K78" s="11"/>
      <c r="L78" s="11"/>
      <c r="M78" s="17"/>
      <c r="N78" s="17"/>
    </row>
    <row r="79" customFormat="false" ht="15" hidden="false" customHeight="false" outlineLevel="0" collapsed="false">
      <c r="A79" s="6"/>
      <c r="B79" s="25" t="str">
        <f aca="false">IF(A79="","",INT((A79-PARÁMETROS!$B$6)/7)+1)</f>
        <v/>
      </c>
      <c r="C79" s="17"/>
      <c r="D79" s="17"/>
      <c r="E79" s="8"/>
      <c r="F79" s="17"/>
      <c r="H79" s="6"/>
      <c r="I79" s="17"/>
      <c r="J79" s="5" t="str">
        <f aca="false">IF(I79="","",INDEX(PARÁMETROS!$B$70:$B$89,MATCH(I79,PARÁMETROS!$A$70:$A$89,0)))</f>
        <v/>
      </c>
      <c r="K79" s="11"/>
      <c r="L79" s="11"/>
      <c r="M79" s="17"/>
      <c r="N79" s="17"/>
    </row>
    <row r="80" customFormat="false" ht="15" hidden="false" customHeight="false" outlineLevel="0" collapsed="false">
      <c r="A80" s="6"/>
      <c r="B80" s="25" t="str">
        <f aca="false">IF(A80="","",INT((A80-PARÁMETROS!$B$6)/7)+1)</f>
        <v/>
      </c>
      <c r="C80" s="17"/>
      <c r="D80" s="17"/>
      <c r="E80" s="8"/>
      <c r="F80" s="17"/>
      <c r="H80" s="6"/>
      <c r="I80" s="17"/>
      <c r="J80" s="5" t="str">
        <f aca="false">IF(I80="","",INDEX(PARÁMETROS!$B$70:$B$89,MATCH(I80,PARÁMETROS!$A$70:$A$89,0)))</f>
        <v/>
      </c>
      <c r="K80" s="11"/>
      <c r="L80" s="11"/>
      <c r="M80" s="17"/>
      <c r="N80" s="17"/>
    </row>
    <row r="81" customFormat="false" ht="15" hidden="false" customHeight="false" outlineLevel="0" collapsed="false">
      <c r="A81" s="6"/>
      <c r="B81" s="25" t="str">
        <f aca="false">IF(A81="","",INT((A81-PARÁMETROS!$B$6)/7)+1)</f>
        <v/>
      </c>
      <c r="C81" s="17"/>
      <c r="D81" s="17"/>
      <c r="E81" s="8"/>
      <c r="F81" s="17"/>
      <c r="H81" s="6"/>
      <c r="I81" s="17"/>
      <c r="J81" s="5" t="str">
        <f aca="false">IF(I81="","",INDEX(PARÁMETROS!$B$70:$B$89,MATCH(I81,PARÁMETROS!$A$70:$A$89,0)))</f>
        <v/>
      </c>
      <c r="K81" s="11"/>
      <c r="L81" s="11"/>
      <c r="M81" s="17"/>
      <c r="N81" s="17"/>
    </row>
    <row r="82" customFormat="false" ht="15" hidden="false" customHeight="false" outlineLevel="0" collapsed="false">
      <c r="A82" s="6"/>
      <c r="B82" s="25" t="str">
        <f aca="false">IF(A82="","",INT((A82-PARÁMETROS!$B$6)/7)+1)</f>
        <v/>
      </c>
      <c r="C82" s="17"/>
      <c r="D82" s="17"/>
      <c r="E82" s="8"/>
      <c r="F82" s="17"/>
      <c r="H82" s="6"/>
      <c r="I82" s="17"/>
      <c r="J82" s="5" t="str">
        <f aca="false">IF(I82="","",INDEX(PARÁMETROS!$B$70:$B$89,MATCH(I82,PARÁMETROS!$A$70:$A$89,0)))</f>
        <v/>
      </c>
      <c r="K82" s="11"/>
      <c r="L82" s="11"/>
      <c r="M82" s="17"/>
      <c r="N82" s="17"/>
    </row>
    <row r="83" customFormat="false" ht="15" hidden="false" customHeight="false" outlineLevel="0" collapsed="false">
      <c r="A83" s="6"/>
      <c r="B83" s="25" t="str">
        <f aca="false">IF(A83="","",INT((A83-PARÁMETROS!$B$6)/7)+1)</f>
        <v/>
      </c>
      <c r="C83" s="17"/>
      <c r="D83" s="17"/>
      <c r="E83" s="8"/>
      <c r="F83" s="17"/>
      <c r="H83" s="6"/>
      <c r="I83" s="17"/>
      <c r="J83" s="5" t="str">
        <f aca="false">IF(I83="","",INDEX(PARÁMETROS!$B$70:$B$89,MATCH(I83,PARÁMETROS!$A$70:$A$89,0)))</f>
        <v/>
      </c>
      <c r="K83" s="11"/>
      <c r="L83" s="11"/>
      <c r="M83" s="17"/>
      <c r="N83" s="17"/>
    </row>
    <row r="84" customFormat="false" ht="15" hidden="false" customHeight="false" outlineLevel="0" collapsed="false">
      <c r="A84" s="6"/>
      <c r="B84" s="25" t="str">
        <f aca="false">IF(A84="","",INT((A84-PARÁMETROS!$B$6)/7)+1)</f>
        <v/>
      </c>
      <c r="C84" s="17"/>
      <c r="D84" s="17"/>
      <c r="E84" s="8"/>
      <c r="F84" s="17"/>
      <c r="H84" s="6"/>
      <c r="I84" s="17"/>
      <c r="J84" s="5" t="str">
        <f aca="false">IF(I84="","",INDEX(PARÁMETROS!$B$70:$B$89,MATCH(I84,PARÁMETROS!$A$70:$A$89,0)))</f>
        <v/>
      </c>
      <c r="K84" s="11"/>
      <c r="L84" s="11"/>
      <c r="M84" s="17"/>
      <c r="N84" s="17"/>
    </row>
    <row r="85" customFormat="false" ht="15" hidden="false" customHeight="false" outlineLevel="0" collapsed="false">
      <c r="A85" s="6"/>
      <c r="B85" s="25" t="str">
        <f aca="false">IF(A85="","",INT((A85-PARÁMETROS!$B$6)/7)+1)</f>
        <v/>
      </c>
      <c r="C85" s="17"/>
      <c r="D85" s="17"/>
      <c r="E85" s="8"/>
      <c r="F85" s="17"/>
      <c r="H85" s="6"/>
      <c r="I85" s="17"/>
      <c r="J85" s="5" t="str">
        <f aca="false">IF(I85="","",INDEX(PARÁMETROS!$B$70:$B$89,MATCH(I85,PARÁMETROS!$A$70:$A$89,0)))</f>
        <v/>
      </c>
      <c r="K85" s="11"/>
      <c r="L85" s="11"/>
      <c r="M85" s="17"/>
      <c r="N85" s="17"/>
    </row>
    <row r="86" customFormat="false" ht="15" hidden="false" customHeight="false" outlineLevel="0" collapsed="false">
      <c r="A86" s="6"/>
      <c r="B86" s="25" t="str">
        <f aca="false">IF(A86="","",INT((A86-PARÁMETROS!$B$6)/7)+1)</f>
        <v/>
      </c>
      <c r="C86" s="17"/>
      <c r="D86" s="17"/>
      <c r="E86" s="8"/>
      <c r="F86" s="17"/>
      <c r="H86" s="6"/>
      <c r="I86" s="17"/>
      <c r="J86" s="5" t="str">
        <f aca="false">IF(I86="","",INDEX(PARÁMETROS!$B$70:$B$89,MATCH(I86,PARÁMETROS!$A$70:$A$89,0)))</f>
        <v/>
      </c>
      <c r="K86" s="11"/>
      <c r="L86" s="11"/>
      <c r="M86" s="17"/>
      <c r="N86" s="17"/>
    </row>
    <row r="87" customFormat="false" ht="15" hidden="false" customHeight="false" outlineLevel="0" collapsed="false">
      <c r="A87" s="6"/>
      <c r="B87" s="25" t="str">
        <f aca="false">IF(A87="","",INT((A87-PARÁMETROS!$B$6)/7)+1)</f>
        <v/>
      </c>
      <c r="C87" s="17"/>
      <c r="D87" s="17"/>
      <c r="E87" s="8"/>
      <c r="F87" s="17"/>
      <c r="H87" s="6"/>
      <c r="I87" s="17"/>
      <c r="J87" s="5" t="str">
        <f aca="false">IF(I87="","",INDEX(PARÁMETROS!$B$70:$B$89,MATCH(I87,PARÁMETROS!$A$70:$A$89,0)))</f>
        <v/>
      </c>
      <c r="K87" s="11"/>
      <c r="L87" s="11"/>
      <c r="M87" s="17"/>
      <c r="N87" s="17"/>
    </row>
    <row r="88" customFormat="false" ht="15" hidden="false" customHeight="false" outlineLevel="0" collapsed="false">
      <c r="A88" s="6"/>
      <c r="B88" s="25" t="str">
        <f aca="false">IF(A88="","",INT((A88-PARÁMETROS!$B$6)/7)+1)</f>
        <v/>
      </c>
      <c r="C88" s="17"/>
      <c r="D88" s="17"/>
      <c r="E88" s="8"/>
      <c r="F88" s="17"/>
      <c r="H88" s="6"/>
      <c r="I88" s="17"/>
      <c r="J88" s="5" t="str">
        <f aca="false">IF(I88="","",INDEX(PARÁMETROS!$B$70:$B$89,MATCH(I88,PARÁMETROS!$A$70:$A$89,0)))</f>
        <v/>
      </c>
      <c r="K88" s="11"/>
      <c r="L88" s="11"/>
      <c r="M88" s="17"/>
      <c r="N88" s="17"/>
    </row>
    <row r="89" customFormat="false" ht="15" hidden="false" customHeight="false" outlineLevel="0" collapsed="false">
      <c r="A89" s="6"/>
      <c r="B89" s="25" t="str">
        <f aca="false">IF(A89="","",INT((A89-PARÁMETROS!$B$6)/7)+1)</f>
        <v/>
      </c>
      <c r="C89" s="17"/>
      <c r="D89" s="17"/>
      <c r="E89" s="8"/>
      <c r="F89" s="17"/>
      <c r="H89" s="6"/>
      <c r="I89" s="17"/>
      <c r="J89" s="5" t="str">
        <f aca="false">IF(I89="","",INDEX(PARÁMETROS!$B$70:$B$89,MATCH(I89,PARÁMETROS!$A$70:$A$89,0)))</f>
        <v/>
      </c>
      <c r="K89" s="11"/>
      <c r="L89" s="11"/>
      <c r="M89" s="17"/>
      <c r="N89" s="17"/>
    </row>
    <row r="90" customFormat="false" ht="15" hidden="false" customHeight="false" outlineLevel="0" collapsed="false">
      <c r="A90" s="6"/>
      <c r="B90" s="25" t="str">
        <f aca="false">IF(A90="","",INT((A90-PARÁMETROS!$B$6)/7)+1)</f>
        <v/>
      </c>
      <c r="C90" s="17"/>
      <c r="D90" s="17"/>
      <c r="E90" s="8"/>
      <c r="F90" s="17"/>
      <c r="H90" s="6"/>
      <c r="I90" s="17"/>
      <c r="J90" s="5" t="str">
        <f aca="false">IF(I90="","",INDEX(PARÁMETROS!$B$70:$B$89,MATCH(I90,PARÁMETROS!$A$70:$A$89,0)))</f>
        <v/>
      </c>
      <c r="K90" s="11"/>
      <c r="L90" s="11"/>
      <c r="M90" s="17"/>
      <c r="N90" s="17"/>
    </row>
    <row r="91" customFormat="false" ht="15" hidden="false" customHeight="false" outlineLevel="0" collapsed="false">
      <c r="A91" s="6"/>
      <c r="B91" s="25" t="str">
        <f aca="false">IF(A91="","",INT((A91-PARÁMETROS!$B$6)/7)+1)</f>
        <v/>
      </c>
      <c r="C91" s="17"/>
      <c r="D91" s="17"/>
      <c r="E91" s="8"/>
      <c r="F91" s="17"/>
      <c r="H91" s="6"/>
      <c r="I91" s="17"/>
      <c r="J91" s="5" t="str">
        <f aca="false">IF(I91="","",INDEX(PARÁMETROS!$B$70:$B$89,MATCH(I91,PARÁMETROS!$A$70:$A$89,0)))</f>
        <v/>
      </c>
      <c r="K91" s="11"/>
      <c r="L91" s="11"/>
      <c r="M91" s="17"/>
      <c r="N91" s="17"/>
    </row>
    <row r="92" customFormat="false" ht="15" hidden="false" customHeight="false" outlineLevel="0" collapsed="false">
      <c r="A92" s="6"/>
      <c r="B92" s="25" t="str">
        <f aca="false">IF(A92="","",INT((A92-PARÁMETROS!$B$6)/7)+1)</f>
        <v/>
      </c>
      <c r="C92" s="17"/>
      <c r="D92" s="17"/>
      <c r="E92" s="8"/>
      <c r="F92" s="17"/>
      <c r="H92" s="6"/>
      <c r="I92" s="17"/>
      <c r="J92" s="5" t="str">
        <f aca="false">IF(I92="","",INDEX(PARÁMETROS!$B$70:$B$89,MATCH(I92,PARÁMETROS!$A$70:$A$89,0)))</f>
        <v/>
      </c>
      <c r="K92" s="11"/>
      <c r="L92" s="11"/>
      <c r="M92" s="17"/>
      <c r="N92" s="17"/>
    </row>
    <row r="93" customFormat="false" ht="15" hidden="false" customHeight="false" outlineLevel="0" collapsed="false">
      <c r="A93" s="6"/>
      <c r="B93" s="25" t="str">
        <f aca="false">IF(A93="","",INT((A93-PARÁMETROS!$B$6)/7)+1)</f>
        <v/>
      </c>
      <c r="C93" s="17"/>
      <c r="D93" s="17"/>
      <c r="E93" s="8"/>
      <c r="F93" s="17"/>
      <c r="H93" s="6"/>
      <c r="I93" s="17"/>
      <c r="J93" s="5" t="str">
        <f aca="false">IF(I93="","",INDEX(PARÁMETROS!$B$70:$B$89,MATCH(I93,PARÁMETROS!$A$70:$A$89,0)))</f>
        <v/>
      </c>
      <c r="K93" s="11"/>
      <c r="L93" s="11"/>
      <c r="M93" s="17"/>
      <c r="N93" s="17"/>
    </row>
    <row r="94" customFormat="false" ht="15" hidden="false" customHeight="false" outlineLevel="0" collapsed="false">
      <c r="A94" s="6"/>
      <c r="B94" s="25" t="str">
        <f aca="false">IF(A94="","",INT((A94-PARÁMETROS!$B$6)/7)+1)</f>
        <v/>
      </c>
      <c r="C94" s="17"/>
      <c r="D94" s="17"/>
      <c r="E94" s="8"/>
      <c r="F94" s="17"/>
      <c r="H94" s="6"/>
      <c r="I94" s="17"/>
      <c r="J94" s="5" t="str">
        <f aca="false">IF(I94="","",INDEX(PARÁMETROS!$B$70:$B$89,MATCH(I94,PARÁMETROS!$A$70:$A$89,0)))</f>
        <v/>
      </c>
      <c r="K94" s="11"/>
      <c r="L94" s="11"/>
      <c r="M94" s="17"/>
      <c r="N94" s="17"/>
    </row>
    <row r="95" customFormat="false" ht="15" hidden="false" customHeight="false" outlineLevel="0" collapsed="false">
      <c r="A95" s="6"/>
      <c r="B95" s="25" t="str">
        <f aca="false">IF(A95="","",INT((A95-PARÁMETROS!$B$6)/7)+1)</f>
        <v/>
      </c>
      <c r="C95" s="17"/>
      <c r="D95" s="17"/>
      <c r="E95" s="8"/>
      <c r="F95" s="17"/>
      <c r="H95" s="6"/>
      <c r="I95" s="17"/>
      <c r="J95" s="5" t="str">
        <f aca="false">IF(I95="","",INDEX(PARÁMETROS!$B$70:$B$89,MATCH(I95,PARÁMETROS!$A$70:$A$89,0)))</f>
        <v/>
      </c>
      <c r="K95" s="11"/>
      <c r="L95" s="11"/>
      <c r="M95" s="17"/>
      <c r="N95" s="17"/>
    </row>
    <row r="96" customFormat="false" ht="15" hidden="false" customHeight="false" outlineLevel="0" collapsed="false">
      <c r="A96" s="6"/>
      <c r="B96" s="25" t="str">
        <f aca="false">IF(A96="","",INT((A96-PARÁMETROS!$B$6)/7)+1)</f>
        <v/>
      </c>
      <c r="C96" s="17"/>
      <c r="D96" s="17"/>
      <c r="E96" s="8"/>
      <c r="F96" s="17"/>
      <c r="H96" s="6"/>
      <c r="I96" s="17"/>
      <c r="J96" s="5" t="str">
        <f aca="false">IF(I96="","",INDEX(PARÁMETROS!$B$70:$B$89,MATCH(I96,PARÁMETROS!$A$70:$A$89,0)))</f>
        <v/>
      </c>
      <c r="K96" s="11"/>
      <c r="L96" s="11"/>
      <c r="M96" s="17"/>
      <c r="N96" s="17"/>
    </row>
    <row r="97" customFormat="false" ht="15" hidden="false" customHeight="false" outlineLevel="0" collapsed="false">
      <c r="A97" s="6"/>
      <c r="B97" s="25" t="str">
        <f aca="false">IF(A97="","",INT((A97-PARÁMETROS!$B$6)/7)+1)</f>
        <v/>
      </c>
      <c r="C97" s="17"/>
      <c r="D97" s="17"/>
      <c r="E97" s="8"/>
      <c r="F97" s="17"/>
      <c r="H97" s="6"/>
      <c r="I97" s="17"/>
      <c r="J97" s="5" t="str">
        <f aca="false">IF(I97="","",INDEX(PARÁMETROS!$B$70:$B$89,MATCH(I97,PARÁMETROS!$A$70:$A$89,0)))</f>
        <v/>
      </c>
      <c r="K97" s="11"/>
      <c r="L97" s="11"/>
      <c r="M97" s="17"/>
      <c r="N97" s="17"/>
    </row>
    <row r="98" customFormat="false" ht="15" hidden="false" customHeight="false" outlineLevel="0" collapsed="false">
      <c r="A98" s="6"/>
      <c r="B98" s="25" t="str">
        <f aca="false">IF(A98="","",INT((A98-PARÁMETROS!$B$6)/7)+1)</f>
        <v/>
      </c>
      <c r="C98" s="17"/>
      <c r="D98" s="17"/>
      <c r="E98" s="8"/>
      <c r="F98" s="17"/>
      <c r="H98" s="6"/>
      <c r="I98" s="17"/>
      <c r="J98" s="5" t="str">
        <f aca="false">IF(I98="","",INDEX(PARÁMETROS!$B$70:$B$89,MATCH(I98,PARÁMETROS!$A$70:$A$89,0)))</f>
        <v/>
      </c>
      <c r="K98" s="11"/>
      <c r="L98" s="11"/>
      <c r="M98" s="17"/>
      <c r="N98" s="17"/>
    </row>
    <row r="99" customFormat="false" ht="15" hidden="false" customHeight="false" outlineLevel="0" collapsed="false">
      <c r="A99" s="6"/>
      <c r="B99" s="25" t="str">
        <f aca="false">IF(A99="","",INT((A99-PARÁMETROS!$B$6)/7)+1)</f>
        <v/>
      </c>
      <c r="C99" s="17"/>
      <c r="D99" s="17"/>
      <c r="E99" s="8"/>
      <c r="F99" s="17"/>
      <c r="H99" s="6"/>
      <c r="I99" s="17"/>
      <c r="J99" s="5" t="str">
        <f aca="false">IF(I99="","",INDEX(PARÁMETROS!$B$70:$B$89,MATCH(I99,PARÁMETROS!$A$70:$A$89,0)))</f>
        <v/>
      </c>
      <c r="K99" s="11"/>
      <c r="L99" s="11"/>
      <c r="M99" s="17"/>
      <c r="N99" s="17"/>
    </row>
    <row r="100" customFormat="false" ht="15" hidden="false" customHeight="false" outlineLevel="0" collapsed="false">
      <c r="A100" s="6"/>
      <c r="B100" s="25" t="str">
        <f aca="false">IF(A100="","",INT((A100-PARÁMETROS!$B$6)/7)+1)</f>
        <v/>
      </c>
      <c r="C100" s="17"/>
      <c r="D100" s="17"/>
      <c r="E100" s="8"/>
      <c r="F100" s="17"/>
      <c r="H100" s="6"/>
      <c r="I100" s="17"/>
      <c r="J100" s="5" t="str">
        <f aca="false">IF(I100="","",INDEX(PARÁMETROS!$B$70:$B$89,MATCH(I100,PARÁMETROS!$A$70:$A$89,0)))</f>
        <v/>
      </c>
      <c r="K100" s="11"/>
      <c r="L100" s="11"/>
      <c r="M100" s="17"/>
      <c r="N100" s="17"/>
    </row>
    <row r="101" customFormat="false" ht="15" hidden="false" customHeight="false" outlineLevel="0" collapsed="false">
      <c r="A101" s="6"/>
      <c r="B101" s="25" t="str">
        <f aca="false">IF(A101="","",INT((A101-PARÁMETROS!$B$6)/7)+1)</f>
        <v/>
      </c>
      <c r="C101" s="17"/>
      <c r="D101" s="17"/>
      <c r="E101" s="8"/>
      <c r="F101" s="17"/>
      <c r="H101" s="6"/>
      <c r="I101" s="17"/>
      <c r="J101" s="5" t="str">
        <f aca="false">IF(I101="","",INDEX(PARÁMETROS!$B$70:$B$89,MATCH(I101,PARÁMETROS!$A$70:$A$89,0)))</f>
        <v/>
      </c>
      <c r="K101" s="11"/>
      <c r="L101" s="11"/>
      <c r="M101" s="17"/>
      <c r="N101" s="17"/>
    </row>
    <row r="102" customFormat="false" ht="15" hidden="false" customHeight="false" outlineLevel="0" collapsed="false">
      <c r="A102" s="6"/>
      <c r="B102" s="25" t="str">
        <f aca="false">IF(A102="","",INT((A102-PARÁMETROS!$B$6)/7)+1)</f>
        <v/>
      </c>
      <c r="C102" s="17"/>
      <c r="D102" s="17"/>
      <c r="E102" s="8"/>
      <c r="F102" s="17"/>
      <c r="H102" s="6"/>
      <c r="I102" s="17"/>
      <c r="J102" s="5" t="str">
        <f aca="false">IF(I102="","",INDEX(PARÁMETROS!$B$70:$B$89,MATCH(I102,PARÁMETROS!$A$70:$A$89,0)))</f>
        <v/>
      </c>
      <c r="K102" s="11"/>
      <c r="L102" s="11"/>
      <c r="M102" s="17"/>
      <c r="N102" s="17"/>
    </row>
    <row r="103" customFormat="false" ht="15" hidden="false" customHeight="false" outlineLevel="0" collapsed="false">
      <c r="A103" s="6"/>
      <c r="B103" s="25" t="str">
        <f aca="false">IF(A103="","",INT((A103-PARÁMETROS!$B$6)/7)+1)</f>
        <v/>
      </c>
      <c r="C103" s="17"/>
      <c r="D103" s="17"/>
      <c r="E103" s="8"/>
      <c r="F103" s="17"/>
      <c r="H103" s="6"/>
      <c r="I103" s="17"/>
      <c r="J103" s="5" t="str">
        <f aca="false">IF(I103="","",INDEX(PARÁMETROS!$B$70:$B$89,MATCH(I103,PARÁMETROS!$A$70:$A$89,0)))</f>
        <v/>
      </c>
      <c r="K103" s="11"/>
      <c r="L103" s="11"/>
      <c r="M103" s="17"/>
      <c r="N103" s="17"/>
    </row>
    <row r="104" customFormat="false" ht="15" hidden="false" customHeight="false" outlineLevel="0" collapsed="false">
      <c r="A104" s="6"/>
      <c r="B104" s="25" t="str">
        <f aca="false">IF(A104="","",INT((A104-PARÁMETROS!$B$6)/7)+1)</f>
        <v/>
      </c>
      <c r="C104" s="17"/>
      <c r="D104" s="17"/>
      <c r="E104" s="8"/>
      <c r="F104" s="17"/>
      <c r="H104" s="6"/>
      <c r="I104" s="17"/>
      <c r="J104" s="5" t="str">
        <f aca="false">IF(I104="","",INDEX(PARÁMETROS!$B$70:$B$89,MATCH(I104,PARÁMETROS!$A$70:$A$89,0)))</f>
        <v/>
      </c>
      <c r="K104" s="11"/>
      <c r="L104" s="11"/>
      <c r="M104" s="17"/>
      <c r="N104" s="17"/>
    </row>
    <row r="105" customFormat="false" ht="15" hidden="false" customHeight="false" outlineLevel="0" collapsed="false">
      <c r="A105" s="6"/>
      <c r="B105" s="25" t="str">
        <f aca="false">IF(A105="","",INT((A105-PARÁMETROS!$B$6)/7)+1)</f>
        <v/>
      </c>
      <c r="C105" s="17"/>
      <c r="D105" s="17"/>
      <c r="E105" s="8"/>
      <c r="F105" s="17"/>
      <c r="H105" s="6"/>
      <c r="I105" s="17"/>
      <c r="J105" s="5" t="str">
        <f aca="false">IF(I105="","",INDEX(PARÁMETROS!$B$70:$B$89,MATCH(I105,PARÁMETROS!$A$70:$A$89,0)))</f>
        <v/>
      </c>
      <c r="K105" s="11"/>
      <c r="L105" s="11"/>
      <c r="M105" s="17"/>
      <c r="N105" s="17"/>
    </row>
    <row r="106" customFormat="false" ht="15" hidden="false" customHeight="false" outlineLevel="0" collapsed="false">
      <c r="A106" s="6"/>
      <c r="B106" s="25" t="str">
        <f aca="false">IF(A106="","",INT((A106-PARÁMETROS!$B$6)/7)+1)</f>
        <v/>
      </c>
      <c r="C106" s="17"/>
      <c r="D106" s="17"/>
      <c r="E106" s="8"/>
      <c r="F106" s="17"/>
      <c r="H106" s="6"/>
      <c r="I106" s="17"/>
      <c r="J106" s="5" t="str">
        <f aca="false">IF(I106="","",INDEX(PARÁMETROS!$B$70:$B$89,MATCH(I106,PARÁMETROS!$A$70:$A$89,0)))</f>
        <v/>
      </c>
      <c r="K106" s="11"/>
      <c r="L106" s="11"/>
      <c r="M106" s="17"/>
      <c r="N106" s="17"/>
    </row>
    <row r="107" customFormat="false" ht="15" hidden="false" customHeight="false" outlineLevel="0" collapsed="false">
      <c r="A107" s="6"/>
      <c r="B107" s="25" t="str">
        <f aca="false">IF(A107="","",INT((A107-PARÁMETROS!$B$6)/7)+1)</f>
        <v/>
      </c>
      <c r="C107" s="17"/>
      <c r="D107" s="17"/>
      <c r="E107" s="8"/>
      <c r="F107" s="17"/>
      <c r="H107" s="6"/>
      <c r="I107" s="17"/>
      <c r="J107" s="5" t="str">
        <f aca="false">IF(I107="","",INDEX(PARÁMETROS!$B$70:$B$89,MATCH(I107,PARÁMETROS!$A$70:$A$89,0)))</f>
        <v/>
      </c>
      <c r="K107" s="11"/>
      <c r="L107" s="11"/>
      <c r="M107" s="17"/>
      <c r="N107" s="17"/>
    </row>
    <row r="108" customFormat="false" ht="15" hidden="false" customHeight="false" outlineLevel="0" collapsed="false">
      <c r="A108" s="6"/>
      <c r="B108" s="25" t="str">
        <f aca="false">IF(A108="","",INT((A108-PARÁMETROS!$B$6)/7)+1)</f>
        <v/>
      </c>
      <c r="C108" s="17"/>
      <c r="D108" s="17"/>
      <c r="E108" s="8"/>
      <c r="F108" s="17"/>
      <c r="H108" s="6"/>
      <c r="I108" s="17"/>
      <c r="J108" s="5" t="str">
        <f aca="false">IF(I108="","",INDEX(PARÁMETROS!$B$70:$B$89,MATCH(I108,PARÁMETROS!$A$70:$A$89,0)))</f>
        <v/>
      </c>
      <c r="K108" s="11"/>
      <c r="L108" s="11"/>
      <c r="M108" s="17"/>
      <c r="N108" s="17"/>
    </row>
    <row r="109" customFormat="false" ht="15" hidden="false" customHeight="false" outlineLevel="0" collapsed="false">
      <c r="A109" s="6"/>
      <c r="B109" s="25" t="str">
        <f aca="false">IF(A109="","",INT((A109-PARÁMETROS!$B$6)/7)+1)</f>
        <v/>
      </c>
      <c r="C109" s="17"/>
      <c r="D109" s="17"/>
      <c r="E109" s="8"/>
      <c r="F109" s="17"/>
      <c r="H109" s="6"/>
      <c r="I109" s="17"/>
      <c r="J109" s="5" t="str">
        <f aca="false">IF(I109="","",INDEX(PARÁMETROS!$B$70:$B$89,MATCH(I109,PARÁMETROS!$A$70:$A$89,0)))</f>
        <v/>
      </c>
      <c r="K109" s="11"/>
      <c r="L109" s="11"/>
      <c r="M109" s="17"/>
      <c r="N109" s="17"/>
    </row>
    <row r="110" customFormat="false" ht="15" hidden="false" customHeight="false" outlineLevel="0" collapsed="false">
      <c r="A110" s="6"/>
      <c r="B110" s="25" t="str">
        <f aca="false">IF(A110="","",INT((A110-PARÁMETROS!$B$6)/7)+1)</f>
        <v/>
      </c>
      <c r="C110" s="17"/>
      <c r="D110" s="17"/>
      <c r="E110" s="8"/>
      <c r="F110" s="17"/>
      <c r="H110" s="6"/>
      <c r="I110" s="17"/>
      <c r="J110" s="5" t="str">
        <f aca="false">IF(I110="","",INDEX(PARÁMETROS!$B$70:$B$89,MATCH(I110,PARÁMETROS!$A$70:$A$89,0)))</f>
        <v/>
      </c>
      <c r="K110" s="11"/>
      <c r="L110" s="11"/>
      <c r="M110" s="17"/>
      <c r="N110" s="17"/>
    </row>
    <row r="111" customFormat="false" ht="15" hidden="false" customHeight="false" outlineLevel="0" collapsed="false">
      <c r="A111" s="6"/>
      <c r="B111" s="25" t="str">
        <f aca="false">IF(A111="","",INT((A111-PARÁMETROS!$B$6)/7)+1)</f>
        <v/>
      </c>
      <c r="C111" s="17"/>
      <c r="D111" s="17"/>
      <c r="E111" s="8"/>
      <c r="F111" s="17"/>
      <c r="H111" s="6"/>
      <c r="I111" s="17"/>
      <c r="J111" s="5" t="str">
        <f aca="false">IF(I111="","",INDEX(PARÁMETROS!$B$70:$B$89,MATCH(I111,PARÁMETROS!$A$70:$A$89,0)))</f>
        <v/>
      </c>
      <c r="K111" s="11"/>
      <c r="L111" s="11"/>
      <c r="M111" s="17"/>
      <c r="N111" s="17"/>
    </row>
    <row r="112" customFormat="false" ht="15" hidden="false" customHeight="false" outlineLevel="0" collapsed="false">
      <c r="A112" s="6"/>
      <c r="B112" s="25" t="str">
        <f aca="false">IF(A112="","",INT((A112-PARÁMETROS!$B$6)/7)+1)</f>
        <v/>
      </c>
      <c r="C112" s="17"/>
      <c r="D112" s="17"/>
      <c r="E112" s="8"/>
      <c r="F112" s="17"/>
      <c r="H112" s="6"/>
      <c r="I112" s="17"/>
      <c r="J112" s="5" t="str">
        <f aca="false">IF(I112="","",INDEX(PARÁMETROS!$B$70:$B$89,MATCH(I112,PARÁMETROS!$A$70:$A$89,0)))</f>
        <v/>
      </c>
      <c r="K112" s="11"/>
      <c r="L112" s="11"/>
      <c r="M112" s="17"/>
      <c r="N112" s="17"/>
    </row>
    <row r="113" customFormat="false" ht="15" hidden="false" customHeight="false" outlineLevel="0" collapsed="false">
      <c r="A113" s="6"/>
      <c r="B113" s="25" t="str">
        <f aca="false">IF(A113="","",INT((A113-PARÁMETROS!$B$6)/7)+1)</f>
        <v/>
      </c>
      <c r="C113" s="17"/>
      <c r="D113" s="17"/>
      <c r="E113" s="8"/>
      <c r="F113" s="17"/>
      <c r="H113" s="6"/>
      <c r="I113" s="17"/>
      <c r="J113" s="5" t="str">
        <f aca="false">IF(I113="","",INDEX(PARÁMETROS!$B$70:$B$89,MATCH(I113,PARÁMETROS!$A$70:$A$89,0)))</f>
        <v/>
      </c>
      <c r="K113" s="11"/>
      <c r="L113" s="11"/>
      <c r="M113" s="17"/>
      <c r="N113" s="17"/>
    </row>
    <row r="114" customFormat="false" ht="15" hidden="false" customHeight="false" outlineLevel="0" collapsed="false">
      <c r="A114" s="6"/>
      <c r="B114" s="25" t="str">
        <f aca="false">IF(A114="","",INT((A114-PARÁMETROS!$B$6)/7)+1)</f>
        <v/>
      </c>
      <c r="C114" s="17"/>
      <c r="D114" s="17"/>
      <c r="E114" s="8"/>
      <c r="F114" s="17"/>
      <c r="H114" s="6"/>
      <c r="I114" s="17"/>
      <c r="J114" s="5" t="str">
        <f aca="false">IF(I114="","",INDEX(PARÁMETROS!$B$70:$B$89,MATCH(I114,PARÁMETROS!$A$70:$A$89,0)))</f>
        <v/>
      </c>
      <c r="K114" s="11"/>
      <c r="L114" s="11"/>
      <c r="M114" s="17"/>
      <c r="N114" s="17"/>
    </row>
    <row r="115" customFormat="false" ht="15" hidden="false" customHeight="false" outlineLevel="0" collapsed="false">
      <c r="A115" s="6"/>
      <c r="B115" s="25" t="str">
        <f aca="false">IF(A115="","",INT((A115-PARÁMETROS!$B$6)/7)+1)</f>
        <v/>
      </c>
      <c r="C115" s="17"/>
      <c r="D115" s="17"/>
      <c r="E115" s="8"/>
      <c r="F115" s="17"/>
      <c r="H115" s="6"/>
      <c r="I115" s="17"/>
      <c r="J115" s="5" t="str">
        <f aca="false">IF(I115="","",INDEX(PARÁMETROS!$B$70:$B$89,MATCH(I115,PARÁMETROS!$A$70:$A$89,0)))</f>
        <v/>
      </c>
      <c r="K115" s="11"/>
      <c r="L115" s="11"/>
      <c r="M115" s="17"/>
      <c r="N115" s="17"/>
    </row>
    <row r="116" customFormat="false" ht="15" hidden="false" customHeight="false" outlineLevel="0" collapsed="false">
      <c r="A116" s="6"/>
      <c r="B116" s="25" t="str">
        <f aca="false">IF(A116="","",INT((A116-PARÁMETROS!$B$6)/7)+1)</f>
        <v/>
      </c>
      <c r="C116" s="17"/>
      <c r="D116" s="17"/>
      <c r="E116" s="8"/>
      <c r="F116" s="17"/>
      <c r="H116" s="6"/>
      <c r="I116" s="17"/>
      <c r="J116" s="5" t="str">
        <f aca="false">IF(I116="","",INDEX(PARÁMETROS!$B$70:$B$89,MATCH(I116,PARÁMETROS!$A$70:$A$89,0)))</f>
        <v/>
      </c>
      <c r="K116" s="11"/>
      <c r="L116" s="11"/>
      <c r="M116" s="17"/>
      <c r="N116" s="17"/>
    </row>
    <row r="117" customFormat="false" ht="15" hidden="false" customHeight="false" outlineLevel="0" collapsed="false">
      <c r="A117" s="6"/>
      <c r="B117" s="25" t="str">
        <f aca="false">IF(A117="","",INT((A117-PARÁMETROS!$B$6)/7)+1)</f>
        <v/>
      </c>
      <c r="C117" s="17"/>
      <c r="D117" s="17"/>
      <c r="E117" s="8"/>
      <c r="F117" s="17"/>
      <c r="H117" s="6"/>
      <c r="I117" s="17"/>
      <c r="J117" s="5" t="str">
        <f aca="false">IF(I117="","",INDEX(PARÁMETROS!$B$70:$B$89,MATCH(I117,PARÁMETROS!$A$70:$A$89,0)))</f>
        <v/>
      </c>
      <c r="K117" s="11"/>
      <c r="L117" s="11"/>
      <c r="M117" s="17"/>
      <c r="N117" s="17"/>
    </row>
    <row r="118" customFormat="false" ht="15" hidden="false" customHeight="false" outlineLevel="0" collapsed="false">
      <c r="A118" s="6"/>
      <c r="B118" s="25" t="str">
        <f aca="false">IF(A118="","",INT((A118-PARÁMETROS!$B$6)/7)+1)</f>
        <v/>
      </c>
      <c r="C118" s="17"/>
      <c r="D118" s="17"/>
      <c r="E118" s="8"/>
      <c r="F118" s="17"/>
      <c r="H118" s="6"/>
      <c r="I118" s="17"/>
      <c r="J118" s="5" t="str">
        <f aca="false">IF(I118="","",INDEX(PARÁMETROS!$B$70:$B$89,MATCH(I118,PARÁMETROS!$A$70:$A$89,0)))</f>
        <v/>
      </c>
      <c r="K118" s="11"/>
      <c r="L118" s="11"/>
      <c r="M118" s="17"/>
      <c r="N118" s="17"/>
    </row>
    <row r="119" customFormat="false" ht="15" hidden="false" customHeight="false" outlineLevel="0" collapsed="false">
      <c r="A119" s="6"/>
      <c r="B119" s="25" t="str">
        <f aca="false">IF(A119="","",INT((A119-PARÁMETROS!$B$6)/7)+1)</f>
        <v/>
      </c>
      <c r="C119" s="17"/>
      <c r="D119" s="17"/>
      <c r="E119" s="8"/>
      <c r="F119" s="17"/>
      <c r="H119" s="6"/>
      <c r="I119" s="17"/>
      <c r="J119" s="5" t="str">
        <f aca="false">IF(I119="","",INDEX(PARÁMETROS!$B$70:$B$89,MATCH(I119,PARÁMETROS!$A$70:$A$89,0)))</f>
        <v/>
      </c>
      <c r="K119" s="11"/>
      <c r="L119" s="11"/>
      <c r="M119" s="17"/>
      <c r="N119" s="17"/>
    </row>
    <row r="120" customFormat="false" ht="15" hidden="false" customHeight="false" outlineLevel="0" collapsed="false">
      <c r="A120" s="6"/>
      <c r="B120" s="25" t="str">
        <f aca="false">IF(A120="","",INT((A120-PARÁMETROS!$B$6)/7)+1)</f>
        <v/>
      </c>
      <c r="C120" s="17"/>
      <c r="D120" s="17"/>
      <c r="E120" s="8"/>
      <c r="F120" s="17"/>
      <c r="H120" s="6"/>
      <c r="I120" s="17"/>
      <c r="J120" s="5" t="str">
        <f aca="false">IF(I120="","",INDEX(PARÁMETROS!$B$70:$B$89,MATCH(I120,PARÁMETROS!$A$70:$A$89,0)))</f>
        <v/>
      </c>
      <c r="K120" s="11"/>
      <c r="L120" s="11"/>
      <c r="M120" s="17"/>
      <c r="N120" s="17"/>
    </row>
    <row r="121" customFormat="false" ht="15" hidden="false" customHeight="false" outlineLevel="0" collapsed="false">
      <c r="A121" s="6"/>
      <c r="B121" s="25" t="str">
        <f aca="false">IF(A121="","",INT((A121-PARÁMETROS!$B$6)/7)+1)</f>
        <v/>
      </c>
      <c r="C121" s="17"/>
      <c r="D121" s="17"/>
      <c r="E121" s="8"/>
      <c r="F121" s="17"/>
      <c r="H121" s="6"/>
      <c r="I121" s="17"/>
      <c r="J121" s="5" t="str">
        <f aca="false">IF(I121="","",INDEX(PARÁMETROS!$B$70:$B$89,MATCH(I121,PARÁMETROS!$A$70:$A$89,0)))</f>
        <v/>
      </c>
      <c r="K121" s="11"/>
      <c r="L121" s="11"/>
      <c r="M121" s="17"/>
      <c r="N121" s="17"/>
    </row>
    <row r="122" customFormat="false" ht="15" hidden="false" customHeight="false" outlineLevel="0" collapsed="false">
      <c r="A122" s="6"/>
      <c r="B122" s="25" t="str">
        <f aca="false">IF(A122="","",INT((A122-PARÁMETROS!$B$6)/7)+1)</f>
        <v/>
      </c>
      <c r="C122" s="17"/>
      <c r="D122" s="17"/>
      <c r="E122" s="8"/>
      <c r="F122" s="17"/>
      <c r="H122" s="6"/>
      <c r="I122" s="17"/>
      <c r="J122" s="5" t="str">
        <f aca="false">IF(I122="","",INDEX(PARÁMETROS!$B$70:$B$89,MATCH(I122,PARÁMETROS!$A$70:$A$89,0)))</f>
        <v/>
      </c>
      <c r="K122" s="11"/>
      <c r="L122" s="11"/>
      <c r="M122" s="17"/>
      <c r="N122" s="17"/>
    </row>
    <row r="123" customFormat="false" ht="15" hidden="false" customHeight="false" outlineLevel="0" collapsed="false">
      <c r="A123" s="6"/>
      <c r="B123" s="25" t="str">
        <f aca="false">IF(A123="","",INT((A123-PARÁMETROS!$B$6)/7)+1)</f>
        <v/>
      </c>
      <c r="C123" s="17"/>
      <c r="D123" s="17"/>
      <c r="E123" s="8"/>
      <c r="F123" s="17"/>
      <c r="H123" s="6"/>
      <c r="I123" s="17"/>
      <c r="J123" s="5" t="str">
        <f aca="false">IF(I123="","",INDEX(PARÁMETROS!$B$70:$B$89,MATCH(I123,PARÁMETROS!$A$70:$A$89,0)))</f>
        <v/>
      </c>
      <c r="K123" s="11"/>
      <c r="L123" s="11"/>
      <c r="M123" s="17"/>
      <c r="N123" s="17"/>
    </row>
    <row r="124" customFormat="false" ht="15" hidden="false" customHeight="false" outlineLevel="0" collapsed="false">
      <c r="A124" s="6"/>
      <c r="B124" s="25" t="str">
        <f aca="false">IF(A124="","",INT((A124-PARÁMETROS!$B$6)/7)+1)</f>
        <v/>
      </c>
      <c r="C124" s="17"/>
      <c r="D124" s="17"/>
      <c r="E124" s="8"/>
      <c r="F124" s="17"/>
      <c r="H124" s="6"/>
      <c r="I124" s="17"/>
      <c r="J124" s="5" t="str">
        <f aca="false">IF(I124="","",INDEX(PARÁMETROS!$B$70:$B$89,MATCH(I124,PARÁMETROS!$A$70:$A$89,0)))</f>
        <v/>
      </c>
      <c r="K124" s="11"/>
      <c r="L124" s="11"/>
      <c r="M124" s="17"/>
      <c r="N124" s="17"/>
    </row>
    <row r="125" customFormat="false" ht="15" hidden="false" customHeight="false" outlineLevel="0" collapsed="false">
      <c r="A125" s="6"/>
      <c r="B125" s="25" t="str">
        <f aca="false">IF(A125="","",INT((A125-PARÁMETROS!$B$6)/7)+1)</f>
        <v/>
      </c>
      <c r="C125" s="17"/>
      <c r="D125" s="17"/>
      <c r="E125" s="8"/>
      <c r="F125" s="17"/>
      <c r="H125" s="6"/>
      <c r="I125" s="17"/>
      <c r="J125" s="5" t="str">
        <f aca="false">IF(I125="","",INDEX(PARÁMETROS!$B$70:$B$89,MATCH(I125,PARÁMETROS!$A$70:$A$89,0)))</f>
        <v/>
      </c>
      <c r="K125" s="11"/>
      <c r="L125" s="11"/>
      <c r="M125" s="17"/>
      <c r="N125" s="17"/>
    </row>
    <row r="126" customFormat="false" ht="15" hidden="false" customHeight="false" outlineLevel="0" collapsed="false">
      <c r="A126" s="6"/>
      <c r="B126" s="25" t="str">
        <f aca="false">IF(A126="","",INT((A126-PARÁMETROS!$B$6)/7)+1)</f>
        <v/>
      </c>
      <c r="C126" s="17"/>
      <c r="D126" s="17"/>
      <c r="E126" s="8"/>
      <c r="F126" s="17"/>
      <c r="H126" s="6"/>
      <c r="I126" s="17"/>
      <c r="J126" s="5" t="str">
        <f aca="false">IF(I126="","",INDEX(PARÁMETROS!$B$70:$B$89,MATCH(I126,PARÁMETROS!$A$70:$A$89,0)))</f>
        <v/>
      </c>
      <c r="K126" s="11"/>
      <c r="L126" s="11"/>
      <c r="M126" s="17"/>
      <c r="N126" s="17"/>
    </row>
    <row r="127" customFormat="false" ht="15" hidden="false" customHeight="false" outlineLevel="0" collapsed="false">
      <c r="A127" s="6"/>
      <c r="B127" s="25" t="str">
        <f aca="false">IF(A127="","",INT((A127-PARÁMETROS!$B$6)/7)+1)</f>
        <v/>
      </c>
      <c r="C127" s="17"/>
      <c r="D127" s="17"/>
      <c r="E127" s="8"/>
      <c r="F127" s="17"/>
      <c r="H127" s="6"/>
      <c r="I127" s="17"/>
      <c r="J127" s="5" t="str">
        <f aca="false">IF(I127="","",INDEX(PARÁMETROS!$B$70:$B$89,MATCH(I127,PARÁMETROS!$A$70:$A$89,0)))</f>
        <v/>
      </c>
      <c r="K127" s="11"/>
      <c r="L127" s="11"/>
      <c r="M127" s="17"/>
      <c r="N127" s="17"/>
    </row>
    <row r="128" customFormat="false" ht="15" hidden="false" customHeight="false" outlineLevel="0" collapsed="false">
      <c r="A128" s="6"/>
      <c r="B128" s="25" t="str">
        <f aca="false">IF(A128="","",INT((A128-PARÁMETROS!$B$6)/7)+1)</f>
        <v/>
      </c>
      <c r="C128" s="17"/>
      <c r="D128" s="17"/>
      <c r="E128" s="8"/>
      <c r="F128" s="17"/>
      <c r="H128" s="6"/>
      <c r="I128" s="17"/>
      <c r="J128" s="5" t="str">
        <f aca="false">IF(I128="","",INDEX(PARÁMETROS!$B$70:$B$89,MATCH(I128,PARÁMETROS!$A$70:$A$89,0)))</f>
        <v/>
      </c>
      <c r="K128" s="11"/>
      <c r="L128" s="11"/>
      <c r="M128" s="17"/>
      <c r="N128" s="17"/>
    </row>
    <row r="129" customFormat="false" ht="15" hidden="false" customHeight="false" outlineLevel="0" collapsed="false">
      <c r="A129" s="6"/>
      <c r="B129" s="25" t="str">
        <f aca="false">IF(A129="","",INT((A129-PARÁMETROS!$B$6)/7)+1)</f>
        <v/>
      </c>
      <c r="C129" s="17"/>
      <c r="D129" s="17"/>
      <c r="E129" s="8"/>
      <c r="F129" s="17"/>
      <c r="H129" s="6"/>
      <c r="I129" s="17"/>
      <c r="J129" s="5" t="str">
        <f aca="false">IF(I129="","",INDEX(PARÁMETROS!$B$70:$B$89,MATCH(I129,PARÁMETROS!$A$70:$A$89,0)))</f>
        <v/>
      </c>
      <c r="K129" s="11"/>
      <c r="L129" s="11"/>
      <c r="M129" s="17"/>
      <c r="N129" s="17"/>
    </row>
    <row r="130" customFormat="false" ht="15" hidden="false" customHeight="false" outlineLevel="0" collapsed="false">
      <c r="A130" s="6"/>
      <c r="B130" s="25" t="str">
        <f aca="false">IF(A130="","",INT((A130-PARÁMETROS!$B$6)/7)+1)</f>
        <v/>
      </c>
      <c r="C130" s="17"/>
      <c r="D130" s="17"/>
      <c r="E130" s="8"/>
      <c r="F130" s="17"/>
      <c r="H130" s="6"/>
      <c r="I130" s="17"/>
      <c r="J130" s="5" t="str">
        <f aca="false">IF(I130="","",INDEX(PARÁMETROS!$B$70:$B$89,MATCH(I130,PARÁMETROS!$A$70:$A$89,0)))</f>
        <v/>
      </c>
      <c r="K130" s="11"/>
      <c r="L130" s="11"/>
      <c r="M130" s="17"/>
      <c r="N130" s="17"/>
    </row>
    <row r="131" customFormat="false" ht="15" hidden="false" customHeight="false" outlineLevel="0" collapsed="false">
      <c r="A131" s="6"/>
      <c r="B131" s="25" t="str">
        <f aca="false">IF(A131="","",INT((A131-PARÁMETROS!$B$6)/7)+1)</f>
        <v/>
      </c>
      <c r="C131" s="17"/>
      <c r="D131" s="17"/>
      <c r="E131" s="8"/>
      <c r="F131" s="17"/>
      <c r="H131" s="6"/>
      <c r="I131" s="17"/>
      <c r="J131" s="5" t="str">
        <f aca="false">IF(I131="","",INDEX(PARÁMETROS!$B$70:$B$89,MATCH(I131,PARÁMETROS!$A$70:$A$89,0)))</f>
        <v/>
      </c>
      <c r="K131" s="11"/>
      <c r="L131" s="11"/>
      <c r="M131" s="17"/>
      <c r="N131" s="17"/>
    </row>
    <row r="132" customFormat="false" ht="15" hidden="false" customHeight="false" outlineLevel="0" collapsed="false">
      <c r="A132" s="6"/>
      <c r="B132" s="25" t="str">
        <f aca="false">IF(A132="","",INT((A132-PARÁMETROS!$B$6)/7)+1)</f>
        <v/>
      </c>
      <c r="C132" s="17"/>
      <c r="D132" s="17"/>
      <c r="E132" s="8"/>
      <c r="F132" s="17"/>
      <c r="H132" s="6"/>
      <c r="I132" s="17"/>
      <c r="J132" s="5" t="str">
        <f aca="false">IF(I132="","",INDEX(PARÁMETROS!$B$70:$B$89,MATCH(I132,PARÁMETROS!$A$70:$A$89,0)))</f>
        <v/>
      </c>
      <c r="K132" s="11"/>
      <c r="L132" s="11"/>
      <c r="M132" s="17"/>
      <c r="N132" s="17"/>
    </row>
    <row r="133" customFormat="false" ht="15" hidden="false" customHeight="false" outlineLevel="0" collapsed="false">
      <c r="A133" s="6"/>
      <c r="B133" s="25" t="str">
        <f aca="false">IF(A133="","",INT((A133-PARÁMETROS!$B$6)/7)+1)</f>
        <v/>
      </c>
      <c r="C133" s="17"/>
      <c r="D133" s="17"/>
      <c r="E133" s="8"/>
      <c r="F133" s="17"/>
      <c r="H133" s="6"/>
      <c r="I133" s="17"/>
      <c r="J133" s="5" t="str">
        <f aca="false">IF(I133="","",INDEX(PARÁMETROS!$B$70:$B$89,MATCH(I133,PARÁMETROS!$A$70:$A$89,0)))</f>
        <v/>
      </c>
      <c r="K133" s="11"/>
      <c r="L133" s="11"/>
      <c r="M133" s="17"/>
      <c r="N133" s="17"/>
    </row>
    <row r="134" customFormat="false" ht="15" hidden="false" customHeight="false" outlineLevel="0" collapsed="false">
      <c r="A134" s="6"/>
      <c r="B134" s="25" t="str">
        <f aca="false">IF(A134="","",INT((A134-PARÁMETROS!$B$6)/7)+1)</f>
        <v/>
      </c>
      <c r="C134" s="17"/>
      <c r="D134" s="17"/>
      <c r="E134" s="8"/>
      <c r="F134" s="17"/>
      <c r="H134" s="6"/>
      <c r="I134" s="17"/>
      <c r="J134" s="5" t="str">
        <f aca="false">IF(I134="","",INDEX(PARÁMETROS!$B$70:$B$89,MATCH(I134,PARÁMETROS!$A$70:$A$89,0)))</f>
        <v/>
      </c>
      <c r="K134" s="11"/>
      <c r="L134" s="11"/>
      <c r="M134" s="17"/>
      <c r="N134" s="17"/>
    </row>
    <row r="135" customFormat="false" ht="15" hidden="false" customHeight="false" outlineLevel="0" collapsed="false">
      <c r="A135" s="6"/>
      <c r="B135" s="25" t="str">
        <f aca="false">IF(A135="","",INT((A135-PARÁMETROS!$B$6)/7)+1)</f>
        <v/>
      </c>
      <c r="C135" s="17"/>
      <c r="D135" s="17"/>
      <c r="E135" s="8"/>
      <c r="F135" s="17"/>
      <c r="H135" s="6"/>
      <c r="I135" s="17"/>
      <c r="J135" s="5" t="str">
        <f aca="false">IF(I135="","",INDEX(PARÁMETROS!$B$70:$B$89,MATCH(I135,PARÁMETROS!$A$70:$A$89,0)))</f>
        <v/>
      </c>
      <c r="K135" s="11"/>
      <c r="L135" s="11"/>
      <c r="M135" s="17"/>
      <c r="N135" s="17"/>
    </row>
    <row r="136" customFormat="false" ht="15" hidden="false" customHeight="false" outlineLevel="0" collapsed="false">
      <c r="A136" s="6"/>
      <c r="B136" s="25" t="str">
        <f aca="false">IF(A136="","",INT((A136-PARÁMETROS!$B$6)/7)+1)</f>
        <v/>
      </c>
      <c r="C136" s="17"/>
      <c r="D136" s="17"/>
      <c r="E136" s="8"/>
      <c r="F136" s="17"/>
      <c r="H136" s="6"/>
      <c r="I136" s="17"/>
      <c r="J136" s="5" t="str">
        <f aca="false">IF(I136="","",INDEX(PARÁMETROS!$B$70:$B$89,MATCH(I136,PARÁMETROS!$A$70:$A$89,0)))</f>
        <v/>
      </c>
      <c r="K136" s="11"/>
      <c r="L136" s="11"/>
      <c r="M136" s="17"/>
      <c r="N136" s="17"/>
    </row>
    <row r="137" customFormat="false" ht="15" hidden="false" customHeight="false" outlineLevel="0" collapsed="false">
      <c r="A137" s="6"/>
      <c r="B137" s="25" t="str">
        <f aca="false">IF(A137="","",INT((A137-PARÁMETROS!$B$6)/7)+1)</f>
        <v/>
      </c>
      <c r="C137" s="17"/>
      <c r="D137" s="17"/>
      <c r="E137" s="8"/>
      <c r="F137" s="17"/>
      <c r="H137" s="6"/>
      <c r="I137" s="17"/>
      <c r="J137" s="5" t="str">
        <f aca="false">IF(I137="","",INDEX(PARÁMETROS!$B$70:$B$89,MATCH(I137,PARÁMETROS!$A$70:$A$89,0)))</f>
        <v/>
      </c>
      <c r="K137" s="11"/>
      <c r="L137" s="11"/>
      <c r="M137" s="17"/>
      <c r="N137" s="17"/>
    </row>
    <row r="138" customFormat="false" ht="15" hidden="false" customHeight="false" outlineLevel="0" collapsed="false">
      <c r="A138" s="6"/>
      <c r="B138" s="25" t="str">
        <f aca="false">IF(A138="","",INT((A138-PARÁMETROS!$B$6)/7)+1)</f>
        <v/>
      </c>
      <c r="C138" s="17"/>
      <c r="D138" s="17"/>
      <c r="E138" s="8"/>
      <c r="F138" s="17"/>
      <c r="H138" s="6"/>
      <c r="I138" s="17"/>
      <c r="J138" s="5" t="str">
        <f aca="false">IF(I138="","",INDEX(PARÁMETROS!$B$70:$B$89,MATCH(I138,PARÁMETROS!$A$70:$A$89,0)))</f>
        <v/>
      </c>
      <c r="K138" s="11"/>
      <c r="L138" s="11"/>
      <c r="M138" s="17"/>
      <c r="N138" s="17"/>
    </row>
    <row r="139" customFormat="false" ht="15" hidden="false" customHeight="false" outlineLevel="0" collapsed="false">
      <c r="A139" s="6"/>
      <c r="B139" s="25" t="str">
        <f aca="false">IF(A139="","",INT((A139-PARÁMETROS!$B$6)/7)+1)</f>
        <v/>
      </c>
      <c r="C139" s="17"/>
      <c r="D139" s="17"/>
      <c r="E139" s="8"/>
      <c r="F139" s="17"/>
      <c r="H139" s="6"/>
      <c r="I139" s="17"/>
      <c r="J139" s="5" t="str">
        <f aca="false">IF(I139="","",INDEX(PARÁMETROS!$B$70:$B$89,MATCH(I139,PARÁMETROS!$A$70:$A$89,0)))</f>
        <v/>
      </c>
      <c r="K139" s="11"/>
      <c r="L139" s="11"/>
      <c r="M139" s="17"/>
      <c r="N139" s="17"/>
    </row>
    <row r="140" customFormat="false" ht="15" hidden="false" customHeight="false" outlineLevel="0" collapsed="false">
      <c r="A140" s="6"/>
      <c r="B140" s="25" t="str">
        <f aca="false">IF(A140="","",INT((A140-PARÁMETROS!$B$6)/7)+1)</f>
        <v/>
      </c>
      <c r="C140" s="17"/>
      <c r="D140" s="17"/>
      <c r="E140" s="8"/>
      <c r="F140" s="17"/>
      <c r="H140" s="6"/>
      <c r="I140" s="17"/>
      <c r="J140" s="5" t="str">
        <f aca="false">IF(I140="","",INDEX(PARÁMETROS!$B$70:$B$89,MATCH(I140,PARÁMETROS!$A$70:$A$89,0)))</f>
        <v/>
      </c>
      <c r="K140" s="11"/>
      <c r="L140" s="11"/>
      <c r="M140" s="17"/>
      <c r="N140" s="17"/>
    </row>
    <row r="141" customFormat="false" ht="15" hidden="false" customHeight="false" outlineLevel="0" collapsed="false">
      <c r="A141" s="6"/>
      <c r="B141" s="25" t="str">
        <f aca="false">IF(A141="","",INT((A141-PARÁMETROS!$B$6)/7)+1)</f>
        <v/>
      </c>
      <c r="C141" s="17"/>
      <c r="D141" s="17"/>
      <c r="E141" s="8"/>
      <c r="F141" s="17"/>
      <c r="H141" s="6"/>
      <c r="I141" s="17"/>
      <c r="J141" s="5" t="str">
        <f aca="false">IF(I141="","",INDEX(PARÁMETROS!$B$70:$B$89,MATCH(I141,PARÁMETROS!$A$70:$A$89,0)))</f>
        <v/>
      </c>
      <c r="K141" s="11"/>
      <c r="L141" s="11"/>
      <c r="M141" s="17"/>
      <c r="N141" s="17"/>
    </row>
    <row r="142" customFormat="false" ht="15" hidden="false" customHeight="false" outlineLevel="0" collapsed="false">
      <c r="A142" s="6"/>
      <c r="B142" s="25" t="str">
        <f aca="false">IF(A142="","",INT((A142-PARÁMETROS!$B$6)/7)+1)</f>
        <v/>
      </c>
      <c r="C142" s="17"/>
      <c r="D142" s="17"/>
      <c r="E142" s="8"/>
      <c r="F142" s="17"/>
      <c r="H142" s="6"/>
      <c r="I142" s="17"/>
      <c r="J142" s="5" t="str">
        <f aca="false">IF(I142="","",INDEX(PARÁMETROS!$B$70:$B$89,MATCH(I142,PARÁMETROS!$A$70:$A$89,0)))</f>
        <v/>
      </c>
      <c r="K142" s="11"/>
      <c r="L142" s="11"/>
      <c r="M142" s="17"/>
      <c r="N142" s="17"/>
    </row>
    <row r="143" customFormat="false" ht="15" hidden="false" customHeight="false" outlineLevel="0" collapsed="false">
      <c r="A143" s="6"/>
      <c r="B143" s="25" t="str">
        <f aca="false">IF(A143="","",INT((A143-PARÁMETROS!$B$6)/7)+1)</f>
        <v/>
      </c>
      <c r="C143" s="17"/>
      <c r="D143" s="17"/>
      <c r="E143" s="8"/>
      <c r="F143" s="17"/>
      <c r="H143" s="6"/>
      <c r="I143" s="17"/>
      <c r="J143" s="5" t="str">
        <f aca="false">IF(I143="","",INDEX(PARÁMETROS!$B$70:$B$89,MATCH(I143,PARÁMETROS!$A$70:$A$89,0)))</f>
        <v/>
      </c>
      <c r="K143" s="11"/>
      <c r="L143" s="11"/>
      <c r="M143" s="17"/>
      <c r="N143" s="17"/>
    </row>
    <row r="144" customFormat="false" ht="15" hidden="false" customHeight="false" outlineLevel="0" collapsed="false">
      <c r="A144" s="6"/>
      <c r="B144" s="25" t="str">
        <f aca="false">IF(A144="","",INT((A144-PARÁMETROS!$B$6)/7)+1)</f>
        <v/>
      </c>
      <c r="C144" s="17"/>
      <c r="D144" s="17"/>
      <c r="E144" s="8"/>
      <c r="F144" s="17"/>
      <c r="H144" s="6"/>
      <c r="I144" s="17"/>
      <c r="J144" s="5" t="str">
        <f aca="false">IF(I144="","",INDEX(PARÁMETROS!$B$70:$B$89,MATCH(I144,PARÁMETROS!$A$70:$A$89,0)))</f>
        <v/>
      </c>
      <c r="K144" s="11"/>
      <c r="L144" s="11"/>
      <c r="M144" s="17"/>
      <c r="N144" s="17"/>
    </row>
    <row r="145" customFormat="false" ht="15" hidden="false" customHeight="false" outlineLevel="0" collapsed="false">
      <c r="A145" s="6"/>
      <c r="B145" s="25" t="str">
        <f aca="false">IF(A145="","",INT((A145-PARÁMETROS!$B$6)/7)+1)</f>
        <v/>
      </c>
      <c r="C145" s="17"/>
      <c r="D145" s="17"/>
      <c r="E145" s="8"/>
      <c r="F145" s="17"/>
      <c r="H145" s="6"/>
      <c r="I145" s="17"/>
      <c r="J145" s="5" t="str">
        <f aca="false">IF(I145="","",INDEX(PARÁMETROS!$B$70:$B$89,MATCH(I145,PARÁMETROS!$A$70:$A$89,0)))</f>
        <v/>
      </c>
      <c r="K145" s="11"/>
      <c r="L145" s="11"/>
      <c r="M145" s="17"/>
      <c r="N145" s="17"/>
    </row>
    <row r="146" customFormat="false" ht="15" hidden="false" customHeight="false" outlineLevel="0" collapsed="false">
      <c r="A146" s="6"/>
      <c r="B146" s="25" t="str">
        <f aca="false">IF(A146="","",INT((A146-PARÁMETROS!$B$6)/7)+1)</f>
        <v/>
      </c>
      <c r="C146" s="17"/>
      <c r="D146" s="17"/>
      <c r="E146" s="8"/>
      <c r="F146" s="17"/>
      <c r="H146" s="6"/>
      <c r="I146" s="17"/>
      <c r="J146" s="5" t="str">
        <f aca="false">IF(I146="","",INDEX(PARÁMETROS!$B$70:$B$89,MATCH(I146,PARÁMETROS!$A$70:$A$89,0)))</f>
        <v/>
      </c>
      <c r="K146" s="11"/>
      <c r="L146" s="11"/>
      <c r="M146" s="17"/>
      <c r="N146" s="17"/>
    </row>
    <row r="147" customFormat="false" ht="15" hidden="false" customHeight="false" outlineLevel="0" collapsed="false">
      <c r="A147" s="6"/>
      <c r="B147" s="25" t="str">
        <f aca="false">IF(A147="","",INT((A147-PARÁMETROS!$B$6)/7)+1)</f>
        <v/>
      </c>
      <c r="C147" s="17"/>
      <c r="D147" s="17"/>
      <c r="E147" s="8"/>
      <c r="F147" s="17"/>
      <c r="H147" s="6"/>
      <c r="I147" s="17"/>
      <c r="J147" s="5" t="str">
        <f aca="false">IF(I147="","",INDEX(PARÁMETROS!$B$70:$B$89,MATCH(I147,PARÁMETROS!$A$70:$A$89,0)))</f>
        <v/>
      </c>
      <c r="K147" s="11"/>
      <c r="L147" s="11"/>
      <c r="M147" s="17"/>
      <c r="N147" s="17"/>
    </row>
    <row r="148" customFormat="false" ht="15" hidden="false" customHeight="false" outlineLevel="0" collapsed="false">
      <c r="A148" s="6"/>
      <c r="B148" s="25" t="str">
        <f aca="false">IF(A148="","",INT((A148-PARÁMETROS!$B$6)/7)+1)</f>
        <v/>
      </c>
      <c r="C148" s="17"/>
      <c r="D148" s="17"/>
      <c r="E148" s="8"/>
      <c r="F148" s="17"/>
      <c r="H148" s="6"/>
      <c r="I148" s="17"/>
      <c r="J148" s="5" t="str">
        <f aca="false">IF(I148="","",INDEX(PARÁMETROS!$B$70:$B$89,MATCH(I148,PARÁMETROS!$A$70:$A$89,0)))</f>
        <v/>
      </c>
      <c r="K148" s="11"/>
      <c r="L148" s="11"/>
      <c r="M148" s="17"/>
      <c r="N148" s="17"/>
    </row>
    <row r="149" customFormat="false" ht="15" hidden="false" customHeight="false" outlineLevel="0" collapsed="false">
      <c r="A149" s="6"/>
      <c r="B149" s="25" t="str">
        <f aca="false">IF(A149="","",INT((A149-PARÁMETROS!$B$6)/7)+1)</f>
        <v/>
      </c>
      <c r="C149" s="17"/>
      <c r="D149" s="17"/>
      <c r="E149" s="8"/>
      <c r="F149" s="17"/>
      <c r="H149" s="6"/>
      <c r="I149" s="17"/>
      <c r="J149" s="5" t="str">
        <f aca="false">IF(I149="","",INDEX(PARÁMETROS!$B$70:$B$89,MATCH(I149,PARÁMETROS!$A$70:$A$89,0)))</f>
        <v/>
      </c>
      <c r="K149" s="11"/>
      <c r="L149" s="11"/>
      <c r="M149" s="17"/>
      <c r="N149" s="17"/>
    </row>
    <row r="150" customFormat="false" ht="15" hidden="false" customHeight="false" outlineLevel="0" collapsed="false">
      <c r="A150" s="6"/>
      <c r="B150" s="25" t="str">
        <f aca="false">IF(A150="","",INT((A150-PARÁMETROS!$B$6)/7)+1)</f>
        <v/>
      </c>
      <c r="C150" s="17"/>
      <c r="D150" s="17"/>
      <c r="E150" s="8"/>
      <c r="F150" s="17"/>
      <c r="H150" s="6"/>
      <c r="I150" s="17"/>
      <c r="J150" s="5" t="str">
        <f aca="false">IF(I150="","",INDEX(PARÁMETROS!$B$70:$B$89,MATCH(I150,PARÁMETROS!$A$70:$A$89,0)))</f>
        <v/>
      </c>
      <c r="K150" s="11"/>
      <c r="L150" s="11"/>
      <c r="M150" s="17"/>
      <c r="N150" s="17"/>
    </row>
    <row r="151" customFormat="false" ht="15" hidden="false" customHeight="false" outlineLevel="0" collapsed="false">
      <c r="A151" s="6"/>
      <c r="B151" s="25" t="str">
        <f aca="false">IF(A151="","",INT((A151-PARÁMETROS!$B$6)/7)+1)</f>
        <v/>
      </c>
      <c r="C151" s="17"/>
      <c r="D151" s="17"/>
      <c r="E151" s="8"/>
      <c r="F151" s="17"/>
      <c r="H151" s="6"/>
      <c r="I151" s="17"/>
      <c r="J151" s="5" t="str">
        <f aca="false">IF(I151="","",INDEX(PARÁMETROS!$B$70:$B$89,MATCH(I151,PARÁMETROS!$A$70:$A$89,0)))</f>
        <v/>
      </c>
      <c r="K151" s="11"/>
      <c r="L151" s="11"/>
      <c r="M151" s="17"/>
      <c r="N151" s="17"/>
    </row>
    <row r="152" customFormat="false" ht="15" hidden="false" customHeight="false" outlineLevel="0" collapsed="false">
      <c r="A152" s="6"/>
      <c r="B152" s="25" t="str">
        <f aca="false">IF(A152="","",INT((A152-PARÁMETROS!$B$6)/7)+1)</f>
        <v/>
      </c>
      <c r="C152" s="17"/>
      <c r="D152" s="17"/>
      <c r="E152" s="8"/>
      <c r="F152" s="17"/>
      <c r="H152" s="6"/>
      <c r="I152" s="17"/>
      <c r="J152" s="5" t="str">
        <f aca="false">IF(I152="","",INDEX(PARÁMETROS!$B$70:$B$89,MATCH(I152,PARÁMETROS!$A$70:$A$89,0)))</f>
        <v/>
      </c>
      <c r="K152" s="11"/>
      <c r="L152" s="11"/>
      <c r="M152" s="17"/>
      <c r="N152" s="17"/>
    </row>
    <row r="153" customFormat="false" ht="15" hidden="false" customHeight="false" outlineLevel="0" collapsed="false">
      <c r="A153" s="6"/>
      <c r="B153" s="25" t="str">
        <f aca="false">IF(A153="","",INT((A153-PARÁMETROS!$B$6)/7)+1)</f>
        <v/>
      </c>
      <c r="C153" s="17"/>
      <c r="D153" s="17"/>
      <c r="E153" s="8"/>
      <c r="F153" s="17"/>
      <c r="H153" s="6"/>
      <c r="I153" s="17"/>
      <c r="J153" s="5" t="str">
        <f aca="false">IF(I153="","",INDEX(PARÁMETROS!$B$70:$B$89,MATCH(I153,PARÁMETROS!$A$70:$A$89,0)))</f>
        <v/>
      </c>
      <c r="K153" s="11"/>
      <c r="L153" s="11"/>
      <c r="M153" s="17"/>
      <c r="N153" s="17"/>
    </row>
    <row r="154" customFormat="false" ht="15" hidden="false" customHeight="false" outlineLevel="0" collapsed="false">
      <c r="A154" s="6"/>
      <c r="B154" s="25" t="str">
        <f aca="false">IF(A154="","",INT((A154-PARÁMETROS!$B$6)/7)+1)</f>
        <v/>
      </c>
      <c r="C154" s="17"/>
      <c r="D154" s="17"/>
      <c r="E154" s="8"/>
      <c r="F154" s="17"/>
      <c r="H154" s="6"/>
      <c r="I154" s="17"/>
      <c r="J154" s="5" t="str">
        <f aca="false">IF(I154="","",INDEX(PARÁMETROS!$B$70:$B$89,MATCH(I154,PARÁMETROS!$A$70:$A$89,0)))</f>
        <v/>
      </c>
      <c r="K154" s="11"/>
      <c r="L154" s="11"/>
      <c r="M154" s="17"/>
      <c r="N154" s="17"/>
    </row>
    <row r="155" customFormat="false" ht="15" hidden="false" customHeight="false" outlineLevel="0" collapsed="false">
      <c r="A155" s="6"/>
      <c r="B155" s="25" t="str">
        <f aca="false">IF(A155="","",INT((A155-PARÁMETROS!$B$6)/7)+1)</f>
        <v/>
      </c>
      <c r="C155" s="17"/>
      <c r="D155" s="17"/>
      <c r="E155" s="8"/>
      <c r="F155" s="17"/>
      <c r="H155" s="6"/>
      <c r="I155" s="17"/>
      <c r="J155" s="5" t="str">
        <f aca="false">IF(I155="","",INDEX(PARÁMETROS!$B$70:$B$89,MATCH(I155,PARÁMETROS!$A$70:$A$89,0)))</f>
        <v/>
      </c>
      <c r="K155" s="11"/>
      <c r="L155" s="11"/>
      <c r="M155" s="17"/>
      <c r="N155" s="17"/>
    </row>
    <row r="156" customFormat="false" ht="15" hidden="false" customHeight="false" outlineLevel="0" collapsed="false">
      <c r="A156" s="6"/>
      <c r="B156" s="25" t="str">
        <f aca="false">IF(A156="","",INT((A156-PARÁMETROS!$B$6)/7)+1)</f>
        <v/>
      </c>
      <c r="C156" s="17"/>
      <c r="D156" s="17"/>
      <c r="E156" s="8"/>
      <c r="F156" s="17"/>
      <c r="H156" s="6"/>
      <c r="I156" s="17"/>
      <c r="J156" s="5" t="str">
        <f aca="false">IF(I156="","",INDEX(PARÁMETROS!$B$70:$B$89,MATCH(I156,PARÁMETROS!$A$70:$A$89,0)))</f>
        <v/>
      </c>
      <c r="K156" s="11"/>
      <c r="L156" s="11"/>
      <c r="M156" s="17"/>
      <c r="N156" s="17"/>
    </row>
    <row r="157" customFormat="false" ht="15" hidden="false" customHeight="false" outlineLevel="0" collapsed="false">
      <c r="A157" s="6"/>
      <c r="B157" s="25" t="str">
        <f aca="false">IF(A157="","",INT((A157-PARÁMETROS!$B$6)/7)+1)</f>
        <v/>
      </c>
      <c r="C157" s="17"/>
      <c r="D157" s="17"/>
      <c r="E157" s="8"/>
      <c r="F157" s="17"/>
      <c r="H157" s="6"/>
      <c r="I157" s="17"/>
      <c r="J157" s="5" t="str">
        <f aca="false">IF(I157="","",INDEX(PARÁMETROS!$B$70:$B$89,MATCH(I157,PARÁMETROS!$A$70:$A$89,0)))</f>
        <v/>
      </c>
      <c r="K157" s="11"/>
      <c r="L157" s="11"/>
      <c r="M157" s="17"/>
      <c r="N157" s="17"/>
    </row>
    <row r="158" customFormat="false" ht="15" hidden="false" customHeight="false" outlineLevel="0" collapsed="false">
      <c r="A158" s="6"/>
      <c r="B158" s="25" t="str">
        <f aca="false">IF(A158="","",INT((A158-PARÁMETROS!$B$6)/7)+1)</f>
        <v/>
      </c>
      <c r="C158" s="17"/>
      <c r="D158" s="17"/>
      <c r="E158" s="8"/>
      <c r="F158" s="17"/>
      <c r="H158" s="6"/>
      <c r="I158" s="17"/>
      <c r="J158" s="5" t="str">
        <f aca="false">IF(I158="","",INDEX(PARÁMETROS!$B$70:$B$89,MATCH(I158,PARÁMETROS!$A$70:$A$89,0)))</f>
        <v/>
      </c>
      <c r="K158" s="11"/>
      <c r="L158" s="11"/>
      <c r="M158" s="17"/>
      <c r="N158" s="17"/>
    </row>
    <row r="159" customFormat="false" ht="15" hidden="false" customHeight="false" outlineLevel="0" collapsed="false">
      <c r="A159" s="6"/>
      <c r="B159" s="25" t="str">
        <f aca="false">IF(A159="","",INT((A159-PARÁMETROS!$B$6)/7)+1)</f>
        <v/>
      </c>
      <c r="C159" s="17"/>
      <c r="D159" s="17"/>
      <c r="E159" s="8"/>
      <c r="F159" s="17"/>
      <c r="H159" s="6"/>
      <c r="I159" s="17"/>
      <c r="J159" s="5" t="str">
        <f aca="false">IF(I159="","",INDEX(PARÁMETROS!$B$70:$B$89,MATCH(I159,PARÁMETROS!$A$70:$A$89,0)))</f>
        <v/>
      </c>
      <c r="K159" s="11"/>
      <c r="L159" s="11"/>
      <c r="M159" s="17"/>
      <c r="N159" s="17"/>
    </row>
    <row r="160" customFormat="false" ht="15" hidden="false" customHeight="false" outlineLevel="0" collapsed="false">
      <c r="A160" s="6"/>
      <c r="B160" s="25" t="str">
        <f aca="false">IF(A160="","",INT((A160-PARÁMETROS!$B$6)/7)+1)</f>
        <v/>
      </c>
      <c r="C160" s="17"/>
      <c r="D160" s="17"/>
      <c r="E160" s="8"/>
      <c r="F160" s="17"/>
      <c r="H160" s="6"/>
      <c r="I160" s="17"/>
      <c r="J160" s="5" t="str">
        <f aca="false">IF(I160="","",INDEX(PARÁMETROS!$B$70:$B$89,MATCH(I160,PARÁMETROS!$A$70:$A$89,0)))</f>
        <v/>
      </c>
      <c r="K160" s="11"/>
      <c r="L160" s="11"/>
      <c r="M160" s="17"/>
      <c r="N160" s="17"/>
    </row>
    <row r="161" customFormat="false" ht="15" hidden="false" customHeight="false" outlineLevel="0" collapsed="false">
      <c r="A161" s="6"/>
      <c r="B161" s="25" t="str">
        <f aca="false">IF(A161="","",INT((A161-PARÁMETROS!$B$6)/7)+1)</f>
        <v/>
      </c>
      <c r="C161" s="17"/>
      <c r="D161" s="17"/>
      <c r="E161" s="8"/>
      <c r="F161" s="17"/>
      <c r="H161" s="6"/>
      <c r="I161" s="17"/>
      <c r="J161" s="5" t="str">
        <f aca="false">IF(I161="","",INDEX(PARÁMETROS!$B$70:$B$89,MATCH(I161,PARÁMETROS!$A$70:$A$89,0)))</f>
        <v/>
      </c>
      <c r="K161" s="11"/>
      <c r="L161" s="11"/>
      <c r="M161" s="17"/>
      <c r="N161" s="17"/>
    </row>
    <row r="162" customFormat="false" ht="15" hidden="false" customHeight="false" outlineLevel="0" collapsed="false">
      <c r="A162" s="6"/>
      <c r="B162" s="25" t="str">
        <f aca="false">IF(A162="","",INT((A162-PARÁMETROS!$B$6)/7)+1)</f>
        <v/>
      </c>
      <c r="C162" s="17"/>
      <c r="D162" s="17"/>
      <c r="E162" s="8"/>
      <c r="F162" s="17"/>
      <c r="H162" s="6"/>
      <c r="I162" s="17"/>
      <c r="J162" s="5" t="str">
        <f aca="false">IF(I162="","",INDEX(PARÁMETROS!$B$70:$B$89,MATCH(I162,PARÁMETROS!$A$70:$A$89,0)))</f>
        <v/>
      </c>
      <c r="K162" s="11"/>
      <c r="L162" s="11"/>
      <c r="M162" s="17"/>
      <c r="N162" s="17"/>
    </row>
    <row r="163" customFormat="false" ht="15" hidden="false" customHeight="false" outlineLevel="0" collapsed="false">
      <c r="A163" s="6"/>
      <c r="B163" s="25" t="str">
        <f aca="false">IF(A163="","",INT((A163-PARÁMETROS!$B$6)/7)+1)</f>
        <v/>
      </c>
      <c r="C163" s="17"/>
      <c r="D163" s="17"/>
      <c r="E163" s="8"/>
      <c r="F163" s="17"/>
      <c r="H163" s="6"/>
      <c r="I163" s="17"/>
      <c r="J163" s="5" t="str">
        <f aca="false">IF(I163="","",INDEX(PARÁMETROS!$B$70:$B$89,MATCH(I163,PARÁMETROS!$A$70:$A$89,0)))</f>
        <v/>
      </c>
      <c r="K163" s="11"/>
      <c r="L163" s="11"/>
      <c r="M163" s="17"/>
      <c r="N163" s="17"/>
    </row>
    <row r="164" customFormat="false" ht="15" hidden="false" customHeight="false" outlineLevel="0" collapsed="false">
      <c r="A164" s="6"/>
      <c r="B164" s="25" t="str">
        <f aca="false">IF(A164="","",INT((A164-PARÁMETROS!$B$6)/7)+1)</f>
        <v/>
      </c>
      <c r="C164" s="17"/>
      <c r="D164" s="17"/>
      <c r="E164" s="8"/>
      <c r="F164" s="17"/>
      <c r="H164" s="6"/>
      <c r="I164" s="17"/>
      <c r="J164" s="5" t="str">
        <f aca="false">IF(I164="","",INDEX(PARÁMETROS!$B$70:$B$89,MATCH(I164,PARÁMETROS!$A$70:$A$89,0)))</f>
        <v/>
      </c>
      <c r="K164" s="11"/>
      <c r="L164" s="11"/>
      <c r="M164" s="17"/>
      <c r="N164" s="17"/>
    </row>
    <row r="165" customFormat="false" ht="15" hidden="false" customHeight="false" outlineLevel="0" collapsed="false">
      <c r="A165" s="6"/>
      <c r="B165" s="25" t="str">
        <f aca="false">IF(A165="","",INT((A165-PARÁMETROS!$B$6)/7)+1)</f>
        <v/>
      </c>
      <c r="C165" s="17"/>
      <c r="D165" s="17"/>
      <c r="E165" s="8"/>
      <c r="F165" s="17"/>
      <c r="H165" s="6"/>
      <c r="I165" s="17"/>
      <c r="J165" s="5" t="str">
        <f aca="false">IF(I165="","",INDEX(PARÁMETROS!$B$70:$B$89,MATCH(I165,PARÁMETROS!$A$70:$A$89,0)))</f>
        <v/>
      </c>
      <c r="K165" s="11"/>
      <c r="L165" s="11"/>
      <c r="M165" s="17"/>
      <c r="N165" s="17"/>
    </row>
    <row r="166" customFormat="false" ht="15" hidden="false" customHeight="false" outlineLevel="0" collapsed="false">
      <c r="A166" s="6"/>
      <c r="B166" s="25" t="str">
        <f aca="false">IF(A166="","",INT((A166-PARÁMETROS!$B$6)/7)+1)</f>
        <v/>
      </c>
      <c r="C166" s="17"/>
      <c r="D166" s="17"/>
      <c r="E166" s="8"/>
      <c r="F166" s="17"/>
      <c r="H166" s="6"/>
      <c r="I166" s="17"/>
      <c r="J166" s="5" t="str">
        <f aca="false">IF(I166="","",INDEX(PARÁMETROS!$B$70:$B$89,MATCH(I166,PARÁMETROS!$A$70:$A$89,0)))</f>
        <v/>
      </c>
      <c r="K166" s="11"/>
      <c r="L166" s="11"/>
      <c r="M166" s="17"/>
      <c r="N166" s="17"/>
    </row>
    <row r="167" customFormat="false" ht="15" hidden="false" customHeight="false" outlineLevel="0" collapsed="false">
      <c r="A167" s="6"/>
      <c r="B167" s="25" t="str">
        <f aca="false">IF(A167="","",INT((A167-PARÁMETROS!$B$6)/7)+1)</f>
        <v/>
      </c>
      <c r="C167" s="17"/>
      <c r="D167" s="17"/>
      <c r="E167" s="8"/>
      <c r="F167" s="17"/>
      <c r="H167" s="6"/>
      <c r="I167" s="17"/>
      <c r="J167" s="5" t="str">
        <f aca="false">IF(I167="","",INDEX(PARÁMETROS!$B$70:$B$89,MATCH(I167,PARÁMETROS!$A$70:$A$89,0)))</f>
        <v/>
      </c>
      <c r="K167" s="11"/>
      <c r="L167" s="11"/>
      <c r="M167" s="17"/>
      <c r="N167" s="17"/>
    </row>
    <row r="168" customFormat="false" ht="15" hidden="false" customHeight="false" outlineLevel="0" collapsed="false">
      <c r="A168" s="6"/>
      <c r="B168" s="25" t="str">
        <f aca="false">IF(A168="","",INT((A168-PARÁMETROS!$B$6)/7)+1)</f>
        <v/>
      </c>
      <c r="C168" s="17"/>
      <c r="D168" s="17"/>
      <c r="E168" s="8"/>
      <c r="F168" s="17"/>
      <c r="H168" s="6"/>
      <c r="I168" s="17"/>
      <c r="J168" s="5" t="str">
        <f aca="false">IF(I168="","",INDEX(PARÁMETROS!$B$70:$B$89,MATCH(I168,PARÁMETROS!$A$70:$A$89,0)))</f>
        <v/>
      </c>
      <c r="K168" s="11"/>
      <c r="L168" s="11"/>
      <c r="M168" s="17"/>
      <c r="N168" s="17"/>
    </row>
    <row r="169" customFormat="false" ht="15" hidden="false" customHeight="false" outlineLevel="0" collapsed="false">
      <c r="A169" s="6"/>
      <c r="B169" s="25" t="str">
        <f aca="false">IF(A169="","",INT((A169-PARÁMETROS!$B$6)/7)+1)</f>
        <v/>
      </c>
      <c r="C169" s="17"/>
      <c r="D169" s="17"/>
      <c r="E169" s="8"/>
      <c r="F169" s="17"/>
      <c r="H169" s="6"/>
      <c r="I169" s="17"/>
      <c r="J169" s="5" t="str">
        <f aca="false">IF(I169="","",INDEX(PARÁMETROS!$B$70:$B$89,MATCH(I169,PARÁMETROS!$A$70:$A$89,0)))</f>
        <v/>
      </c>
      <c r="K169" s="11"/>
      <c r="L169" s="11"/>
      <c r="M169" s="17"/>
      <c r="N169" s="17"/>
    </row>
    <row r="170" customFormat="false" ht="15" hidden="false" customHeight="false" outlineLevel="0" collapsed="false">
      <c r="A170" s="6"/>
      <c r="B170" s="25" t="str">
        <f aca="false">IF(A170="","",INT((A170-PARÁMETROS!$B$6)/7)+1)</f>
        <v/>
      </c>
      <c r="C170" s="17"/>
      <c r="D170" s="17"/>
      <c r="E170" s="8"/>
      <c r="F170" s="17"/>
      <c r="H170" s="6"/>
      <c r="I170" s="17"/>
      <c r="J170" s="5" t="str">
        <f aca="false">IF(I170="","",INDEX(PARÁMETROS!$B$70:$B$89,MATCH(I170,PARÁMETROS!$A$70:$A$89,0)))</f>
        <v/>
      </c>
      <c r="K170" s="11"/>
      <c r="L170" s="11"/>
      <c r="M170" s="17"/>
      <c r="N170" s="17"/>
    </row>
    <row r="171" customFormat="false" ht="15" hidden="false" customHeight="false" outlineLevel="0" collapsed="false">
      <c r="A171" s="6"/>
      <c r="B171" s="25" t="str">
        <f aca="false">IF(A171="","",INT((A171-PARÁMETROS!$B$6)/7)+1)</f>
        <v/>
      </c>
      <c r="C171" s="17"/>
      <c r="D171" s="17"/>
      <c r="E171" s="8"/>
      <c r="F171" s="17"/>
      <c r="H171" s="6"/>
      <c r="I171" s="17"/>
      <c r="J171" s="5" t="str">
        <f aca="false">IF(I171="","",INDEX(PARÁMETROS!$B$70:$B$89,MATCH(I171,PARÁMETROS!$A$70:$A$89,0)))</f>
        <v/>
      </c>
      <c r="K171" s="11"/>
      <c r="L171" s="11"/>
      <c r="M171" s="17"/>
      <c r="N171" s="17"/>
    </row>
    <row r="172" customFormat="false" ht="15" hidden="false" customHeight="false" outlineLevel="0" collapsed="false">
      <c r="A172" s="6"/>
      <c r="B172" s="25" t="str">
        <f aca="false">IF(A172="","",INT((A172-PARÁMETROS!$B$6)/7)+1)</f>
        <v/>
      </c>
      <c r="C172" s="17"/>
      <c r="D172" s="17"/>
      <c r="E172" s="8"/>
      <c r="F172" s="17"/>
      <c r="H172" s="6"/>
      <c r="I172" s="17"/>
      <c r="J172" s="5" t="str">
        <f aca="false">IF(I172="","",INDEX(PARÁMETROS!$B$70:$B$89,MATCH(I172,PARÁMETROS!$A$70:$A$89,0)))</f>
        <v/>
      </c>
      <c r="K172" s="11"/>
      <c r="L172" s="11"/>
      <c r="M172" s="17"/>
      <c r="N172" s="17"/>
    </row>
    <row r="173" customFormat="false" ht="15" hidden="false" customHeight="false" outlineLevel="0" collapsed="false">
      <c r="A173" s="6"/>
      <c r="B173" s="25" t="str">
        <f aca="false">IF(A173="","",INT((A173-PARÁMETROS!$B$6)/7)+1)</f>
        <v/>
      </c>
      <c r="C173" s="17"/>
      <c r="D173" s="17"/>
      <c r="E173" s="8"/>
      <c r="F173" s="17"/>
      <c r="H173" s="6"/>
      <c r="I173" s="17"/>
      <c r="J173" s="5" t="str">
        <f aca="false">IF(I173="","",INDEX(PARÁMETROS!$B$70:$B$89,MATCH(I173,PARÁMETROS!$A$70:$A$89,0)))</f>
        <v/>
      </c>
      <c r="K173" s="11"/>
      <c r="L173" s="11"/>
      <c r="M173" s="17"/>
      <c r="N173" s="17"/>
    </row>
    <row r="174" customFormat="false" ht="15" hidden="false" customHeight="false" outlineLevel="0" collapsed="false">
      <c r="A174" s="6"/>
      <c r="B174" s="25" t="str">
        <f aca="false">IF(A174="","",INT((A174-PARÁMETROS!$B$6)/7)+1)</f>
        <v/>
      </c>
      <c r="C174" s="17"/>
      <c r="D174" s="17"/>
      <c r="E174" s="8"/>
      <c r="F174" s="17"/>
      <c r="H174" s="6"/>
      <c r="I174" s="17"/>
      <c r="J174" s="5" t="str">
        <f aca="false">IF(I174="","",INDEX(PARÁMETROS!$B$70:$B$89,MATCH(I174,PARÁMETROS!$A$70:$A$89,0)))</f>
        <v/>
      </c>
      <c r="K174" s="11"/>
      <c r="L174" s="11"/>
      <c r="M174" s="17"/>
      <c r="N174" s="17"/>
    </row>
    <row r="175" customFormat="false" ht="15" hidden="false" customHeight="false" outlineLevel="0" collapsed="false">
      <c r="A175" s="6"/>
      <c r="B175" s="25" t="str">
        <f aca="false">IF(A175="","",INT((A175-PARÁMETROS!$B$6)/7)+1)</f>
        <v/>
      </c>
      <c r="C175" s="17"/>
      <c r="D175" s="17"/>
      <c r="E175" s="8"/>
      <c r="F175" s="17"/>
      <c r="H175" s="6"/>
      <c r="I175" s="17"/>
      <c r="J175" s="5" t="str">
        <f aca="false">IF(I175="","",INDEX(PARÁMETROS!$B$70:$B$89,MATCH(I175,PARÁMETROS!$A$70:$A$89,0)))</f>
        <v/>
      </c>
      <c r="K175" s="11"/>
      <c r="L175" s="11"/>
      <c r="M175" s="17"/>
      <c r="N175" s="17"/>
    </row>
    <row r="176" customFormat="false" ht="15" hidden="false" customHeight="false" outlineLevel="0" collapsed="false">
      <c r="A176" s="6"/>
      <c r="B176" s="25" t="str">
        <f aca="false">IF(A176="","",INT((A176-PARÁMETROS!$B$6)/7)+1)</f>
        <v/>
      </c>
      <c r="C176" s="17"/>
      <c r="D176" s="17"/>
      <c r="E176" s="8"/>
      <c r="F176" s="17"/>
      <c r="H176" s="6"/>
      <c r="I176" s="17"/>
      <c r="J176" s="5" t="str">
        <f aca="false">IF(I176="","",INDEX(PARÁMETROS!$B$70:$B$89,MATCH(I176,PARÁMETROS!$A$70:$A$89,0)))</f>
        <v/>
      </c>
      <c r="K176" s="11"/>
      <c r="L176" s="11"/>
      <c r="M176" s="17"/>
      <c r="N176" s="17"/>
    </row>
    <row r="177" customFormat="false" ht="15" hidden="false" customHeight="false" outlineLevel="0" collapsed="false">
      <c r="A177" s="6"/>
      <c r="B177" s="25" t="str">
        <f aca="false">IF(A177="","",INT((A177-PARÁMETROS!$B$6)/7)+1)</f>
        <v/>
      </c>
      <c r="C177" s="17"/>
      <c r="D177" s="17"/>
      <c r="E177" s="8"/>
      <c r="F177" s="17"/>
      <c r="H177" s="6"/>
      <c r="I177" s="17"/>
      <c r="J177" s="5" t="str">
        <f aca="false">IF(I177="","",INDEX(PARÁMETROS!$B$70:$B$89,MATCH(I177,PARÁMETROS!$A$70:$A$89,0)))</f>
        <v/>
      </c>
      <c r="K177" s="11"/>
      <c r="L177" s="11"/>
      <c r="M177" s="17"/>
      <c r="N177" s="17"/>
    </row>
    <row r="178" customFormat="false" ht="15" hidden="false" customHeight="false" outlineLevel="0" collapsed="false">
      <c r="A178" s="6"/>
      <c r="B178" s="25" t="str">
        <f aca="false">IF(A178="","",INT((A178-PARÁMETROS!$B$6)/7)+1)</f>
        <v/>
      </c>
      <c r="C178" s="17"/>
      <c r="D178" s="17"/>
      <c r="E178" s="8"/>
      <c r="F178" s="17"/>
      <c r="H178" s="6"/>
      <c r="I178" s="17"/>
      <c r="J178" s="5" t="str">
        <f aca="false">IF(I178="","",INDEX(PARÁMETROS!$B$70:$B$89,MATCH(I178,PARÁMETROS!$A$70:$A$89,0)))</f>
        <v/>
      </c>
      <c r="K178" s="11"/>
      <c r="L178" s="11"/>
      <c r="M178" s="17"/>
      <c r="N178" s="17"/>
    </row>
    <row r="179" customFormat="false" ht="15" hidden="false" customHeight="false" outlineLevel="0" collapsed="false">
      <c r="A179" s="6"/>
      <c r="B179" s="25" t="str">
        <f aca="false">IF(A179="","",INT((A179-PARÁMETROS!$B$6)/7)+1)</f>
        <v/>
      </c>
      <c r="C179" s="17"/>
      <c r="D179" s="17"/>
      <c r="E179" s="8"/>
      <c r="F179" s="17"/>
      <c r="H179" s="6"/>
      <c r="I179" s="17"/>
      <c r="J179" s="5" t="str">
        <f aca="false">IF(I179="","",INDEX(PARÁMETROS!$B$70:$B$89,MATCH(I179,PARÁMETROS!$A$70:$A$89,0)))</f>
        <v/>
      </c>
      <c r="K179" s="11"/>
      <c r="L179" s="11"/>
      <c r="M179" s="17"/>
      <c r="N179" s="17"/>
    </row>
    <row r="180" customFormat="false" ht="15" hidden="false" customHeight="false" outlineLevel="0" collapsed="false">
      <c r="A180" s="6"/>
      <c r="B180" s="25" t="str">
        <f aca="false">IF(A180="","",INT((A180-PARÁMETROS!$B$6)/7)+1)</f>
        <v/>
      </c>
      <c r="C180" s="17"/>
      <c r="D180" s="17"/>
      <c r="E180" s="8"/>
      <c r="F180" s="17"/>
      <c r="H180" s="6"/>
      <c r="I180" s="17"/>
      <c r="J180" s="5" t="str">
        <f aca="false">IF(I180="","",INDEX(PARÁMETROS!$B$70:$B$89,MATCH(I180,PARÁMETROS!$A$70:$A$89,0)))</f>
        <v/>
      </c>
      <c r="K180" s="11"/>
      <c r="L180" s="11"/>
      <c r="M180" s="17"/>
      <c r="N180" s="17"/>
    </row>
    <row r="181" customFormat="false" ht="15" hidden="false" customHeight="false" outlineLevel="0" collapsed="false">
      <c r="A181" s="6"/>
      <c r="B181" s="25" t="str">
        <f aca="false">IF(A181="","",INT((A181-PARÁMETROS!$B$6)/7)+1)</f>
        <v/>
      </c>
      <c r="C181" s="17"/>
      <c r="D181" s="17"/>
      <c r="E181" s="8"/>
      <c r="F181" s="17"/>
      <c r="H181" s="6"/>
      <c r="I181" s="17"/>
      <c r="J181" s="5" t="str">
        <f aca="false">IF(I181="","",INDEX(PARÁMETROS!$B$70:$B$89,MATCH(I181,PARÁMETROS!$A$70:$A$89,0)))</f>
        <v/>
      </c>
      <c r="K181" s="11"/>
      <c r="L181" s="11"/>
      <c r="M181" s="17"/>
      <c r="N181" s="17"/>
    </row>
    <row r="182" customFormat="false" ht="15" hidden="false" customHeight="false" outlineLevel="0" collapsed="false">
      <c r="A182" s="6"/>
      <c r="B182" s="25" t="str">
        <f aca="false">IF(A182="","",INT((A182-PARÁMETROS!$B$6)/7)+1)</f>
        <v/>
      </c>
      <c r="C182" s="17"/>
      <c r="D182" s="17"/>
      <c r="E182" s="8"/>
      <c r="F182" s="17"/>
      <c r="H182" s="6"/>
      <c r="I182" s="17"/>
      <c r="J182" s="5" t="str">
        <f aca="false">IF(I182="","",INDEX(PARÁMETROS!$B$70:$B$89,MATCH(I182,PARÁMETROS!$A$70:$A$89,0)))</f>
        <v/>
      </c>
      <c r="K182" s="11"/>
      <c r="L182" s="11"/>
      <c r="M182" s="17"/>
      <c r="N182" s="17"/>
    </row>
    <row r="183" customFormat="false" ht="15" hidden="false" customHeight="false" outlineLevel="0" collapsed="false">
      <c r="A183" s="6"/>
      <c r="B183" s="25" t="str">
        <f aca="false">IF(A183="","",INT((A183-PARÁMETROS!$B$6)/7)+1)</f>
        <v/>
      </c>
      <c r="C183" s="17"/>
      <c r="D183" s="17"/>
      <c r="E183" s="8"/>
      <c r="F183" s="17"/>
      <c r="H183" s="6"/>
      <c r="I183" s="17"/>
      <c r="J183" s="5" t="str">
        <f aca="false">IF(I183="","",INDEX(PARÁMETROS!$B$70:$B$89,MATCH(I183,PARÁMETROS!$A$70:$A$89,0)))</f>
        <v/>
      </c>
      <c r="K183" s="11"/>
      <c r="L183" s="11"/>
      <c r="M183" s="17"/>
      <c r="N183" s="17"/>
    </row>
    <row r="184" customFormat="false" ht="15" hidden="false" customHeight="false" outlineLevel="0" collapsed="false">
      <c r="A184" s="6"/>
      <c r="B184" s="25" t="str">
        <f aca="false">IF(A184="","",INT((A184-PARÁMETROS!$B$6)/7)+1)</f>
        <v/>
      </c>
      <c r="C184" s="17"/>
      <c r="D184" s="17"/>
      <c r="E184" s="8"/>
      <c r="F184" s="17"/>
      <c r="H184" s="6"/>
      <c r="I184" s="17"/>
      <c r="J184" s="5" t="str">
        <f aca="false">IF(I184="","",INDEX(PARÁMETROS!$B$70:$B$89,MATCH(I184,PARÁMETROS!$A$70:$A$89,0)))</f>
        <v/>
      </c>
      <c r="K184" s="11"/>
      <c r="L184" s="11"/>
      <c r="M184" s="17"/>
      <c r="N184" s="17"/>
    </row>
    <row r="185" customFormat="false" ht="15" hidden="false" customHeight="false" outlineLevel="0" collapsed="false">
      <c r="A185" s="6"/>
      <c r="B185" s="25" t="str">
        <f aca="false">IF(A185="","",INT((A185-PARÁMETROS!$B$6)/7)+1)</f>
        <v/>
      </c>
      <c r="C185" s="17"/>
      <c r="D185" s="17"/>
      <c r="E185" s="8"/>
      <c r="F185" s="17"/>
      <c r="H185" s="6"/>
      <c r="I185" s="17"/>
      <c r="J185" s="5" t="str">
        <f aca="false">IF(I185="","",INDEX(PARÁMETROS!$B$70:$B$89,MATCH(I185,PARÁMETROS!$A$70:$A$89,0)))</f>
        <v/>
      </c>
      <c r="K185" s="11"/>
      <c r="L185" s="11"/>
      <c r="M185" s="17"/>
      <c r="N185" s="17"/>
    </row>
    <row r="186" customFormat="false" ht="15" hidden="false" customHeight="false" outlineLevel="0" collapsed="false">
      <c r="A186" s="6"/>
      <c r="B186" s="25" t="str">
        <f aca="false">IF(A186="","",INT((A186-PARÁMETROS!$B$6)/7)+1)</f>
        <v/>
      </c>
      <c r="C186" s="17"/>
      <c r="D186" s="17"/>
      <c r="E186" s="8"/>
      <c r="F186" s="17"/>
      <c r="H186" s="6"/>
      <c r="I186" s="17"/>
      <c r="J186" s="5" t="str">
        <f aca="false">IF(I186="","",INDEX(PARÁMETROS!$B$70:$B$89,MATCH(I186,PARÁMETROS!$A$70:$A$89,0)))</f>
        <v/>
      </c>
      <c r="K186" s="11"/>
      <c r="L186" s="11"/>
      <c r="M186" s="17"/>
      <c r="N186" s="17"/>
    </row>
    <row r="187" customFormat="false" ht="15" hidden="false" customHeight="false" outlineLevel="0" collapsed="false">
      <c r="A187" s="6"/>
      <c r="B187" s="25" t="str">
        <f aca="false">IF(A187="","",INT((A187-PARÁMETROS!$B$6)/7)+1)</f>
        <v/>
      </c>
      <c r="C187" s="17"/>
      <c r="D187" s="17"/>
      <c r="E187" s="8"/>
      <c r="F187" s="17"/>
      <c r="H187" s="6"/>
      <c r="I187" s="17"/>
      <c r="J187" s="5" t="str">
        <f aca="false">IF(I187="","",INDEX(PARÁMETROS!$B$70:$B$89,MATCH(I187,PARÁMETROS!$A$70:$A$89,0)))</f>
        <v/>
      </c>
      <c r="K187" s="11"/>
      <c r="L187" s="11"/>
      <c r="M187" s="17"/>
      <c r="N187" s="17"/>
    </row>
    <row r="188" customFormat="false" ht="15" hidden="false" customHeight="false" outlineLevel="0" collapsed="false">
      <c r="A188" s="6"/>
      <c r="B188" s="25" t="str">
        <f aca="false">IF(A188="","",INT((A188-PARÁMETROS!$B$6)/7)+1)</f>
        <v/>
      </c>
      <c r="C188" s="17"/>
      <c r="D188" s="17"/>
      <c r="E188" s="8"/>
      <c r="F188" s="17"/>
      <c r="H188" s="6"/>
      <c r="I188" s="17"/>
      <c r="J188" s="5" t="str">
        <f aca="false">IF(I188="","",INDEX(PARÁMETROS!$B$70:$B$89,MATCH(I188,PARÁMETROS!$A$70:$A$89,0)))</f>
        <v/>
      </c>
      <c r="K188" s="11"/>
      <c r="L188" s="11"/>
      <c r="M188" s="17"/>
      <c r="N188" s="17"/>
    </row>
    <row r="189" customFormat="false" ht="15" hidden="false" customHeight="false" outlineLevel="0" collapsed="false">
      <c r="A189" s="6"/>
      <c r="B189" s="25" t="str">
        <f aca="false">IF(A189="","",INT((A189-PARÁMETROS!$B$6)/7)+1)</f>
        <v/>
      </c>
      <c r="C189" s="17"/>
      <c r="D189" s="17"/>
      <c r="E189" s="8"/>
      <c r="F189" s="17"/>
      <c r="H189" s="6"/>
      <c r="I189" s="17"/>
      <c r="J189" s="5" t="str">
        <f aca="false">IF(I189="","",INDEX(PARÁMETROS!$B$70:$B$89,MATCH(I189,PARÁMETROS!$A$70:$A$89,0)))</f>
        <v/>
      </c>
      <c r="K189" s="11"/>
      <c r="L189" s="11"/>
      <c r="M189" s="17"/>
      <c r="N189" s="17"/>
    </row>
    <row r="190" customFormat="false" ht="15" hidden="false" customHeight="false" outlineLevel="0" collapsed="false">
      <c r="A190" s="6"/>
      <c r="B190" s="25" t="str">
        <f aca="false">IF(A190="","",INT((A190-PARÁMETROS!$B$6)/7)+1)</f>
        <v/>
      </c>
      <c r="C190" s="17"/>
      <c r="D190" s="17"/>
      <c r="E190" s="8"/>
      <c r="F190" s="17"/>
      <c r="H190" s="6"/>
      <c r="I190" s="17"/>
      <c r="J190" s="5" t="str">
        <f aca="false">IF(I190="","",INDEX(PARÁMETROS!$B$70:$B$89,MATCH(I190,PARÁMETROS!$A$70:$A$89,0)))</f>
        <v/>
      </c>
      <c r="K190" s="11"/>
      <c r="L190" s="11"/>
      <c r="M190" s="17"/>
      <c r="N190" s="17"/>
    </row>
    <row r="191" customFormat="false" ht="15" hidden="false" customHeight="false" outlineLevel="0" collapsed="false">
      <c r="A191" s="6"/>
      <c r="B191" s="25" t="str">
        <f aca="false">IF(A191="","",INT((A191-PARÁMETROS!$B$6)/7)+1)</f>
        <v/>
      </c>
      <c r="C191" s="17"/>
      <c r="D191" s="17"/>
      <c r="E191" s="8"/>
      <c r="F191" s="17"/>
      <c r="H191" s="6"/>
      <c r="I191" s="17"/>
      <c r="J191" s="5" t="str">
        <f aca="false">IF(I191="","",INDEX(PARÁMETROS!$B$70:$B$89,MATCH(I191,PARÁMETROS!$A$70:$A$89,0)))</f>
        <v/>
      </c>
      <c r="K191" s="11"/>
      <c r="L191" s="11"/>
      <c r="M191" s="17"/>
      <c r="N191" s="17"/>
    </row>
    <row r="192" customFormat="false" ht="15" hidden="false" customHeight="false" outlineLevel="0" collapsed="false">
      <c r="A192" s="6"/>
      <c r="B192" s="25" t="str">
        <f aca="false">IF(A192="","",INT((A192-PARÁMETROS!$B$6)/7)+1)</f>
        <v/>
      </c>
      <c r="C192" s="17"/>
      <c r="D192" s="17"/>
      <c r="E192" s="8"/>
      <c r="F192" s="17"/>
      <c r="H192" s="6"/>
      <c r="I192" s="17"/>
      <c r="J192" s="5" t="str">
        <f aca="false">IF(I192="","",INDEX(PARÁMETROS!$B$70:$B$89,MATCH(I192,PARÁMETROS!$A$70:$A$89,0)))</f>
        <v/>
      </c>
      <c r="K192" s="11"/>
      <c r="L192" s="11"/>
      <c r="M192" s="17"/>
      <c r="N192" s="17"/>
    </row>
    <row r="193" customFormat="false" ht="15" hidden="false" customHeight="false" outlineLevel="0" collapsed="false">
      <c r="A193" s="6"/>
      <c r="B193" s="25" t="str">
        <f aca="false">IF(A193="","",INT((A193-PARÁMETROS!$B$6)/7)+1)</f>
        <v/>
      </c>
      <c r="C193" s="17"/>
      <c r="D193" s="17"/>
      <c r="E193" s="8"/>
      <c r="F193" s="17"/>
      <c r="H193" s="6"/>
      <c r="I193" s="17"/>
      <c r="J193" s="5" t="str">
        <f aca="false">IF(I193="","",INDEX(PARÁMETROS!$B$70:$B$89,MATCH(I193,PARÁMETROS!$A$70:$A$89,0)))</f>
        <v/>
      </c>
      <c r="K193" s="11"/>
      <c r="L193" s="11"/>
      <c r="M193" s="17"/>
      <c r="N193" s="17"/>
    </row>
    <row r="194" customFormat="false" ht="15" hidden="false" customHeight="false" outlineLevel="0" collapsed="false">
      <c r="A194" s="6"/>
      <c r="B194" s="25" t="str">
        <f aca="false">IF(A194="","",INT((A194-PARÁMETROS!$B$6)/7)+1)</f>
        <v/>
      </c>
      <c r="C194" s="17"/>
      <c r="D194" s="17"/>
      <c r="E194" s="8"/>
      <c r="F194" s="17"/>
      <c r="H194" s="6"/>
      <c r="I194" s="17"/>
      <c r="J194" s="5" t="str">
        <f aca="false">IF(I194="","",INDEX(PARÁMETROS!$B$70:$B$89,MATCH(I194,PARÁMETROS!$A$70:$A$89,0)))</f>
        <v/>
      </c>
      <c r="K194" s="11"/>
      <c r="L194" s="11"/>
      <c r="M194" s="17"/>
      <c r="N194" s="17"/>
    </row>
    <row r="195" customFormat="false" ht="15" hidden="false" customHeight="false" outlineLevel="0" collapsed="false">
      <c r="A195" s="6"/>
      <c r="B195" s="25" t="str">
        <f aca="false">IF(A195="","",INT((A195-PARÁMETROS!$B$6)/7)+1)</f>
        <v/>
      </c>
      <c r="C195" s="17"/>
      <c r="D195" s="17"/>
      <c r="E195" s="8"/>
      <c r="F195" s="17"/>
      <c r="H195" s="6"/>
      <c r="I195" s="17"/>
      <c r="J195" s="5" t="str">
        <f aca="false">IF(I195="","",INDEX(PARÁMETROS!$B$70:$B$89,MATCH(I195,PARÁMETROS!$A$70:$A$89,0)))</f>
        <v/>
      </c>
      <c r="K195" s="11"/>
      <c r="L195" s="11"/>
      <c r="M195" s="17"/>
      <c r="N195" s="17"/>
    </row>
    <row r="196" customFormat="false" ht="15" hidden="false" customHeight="false" outlineLevel="0" collapsed="false">
      <c r="A196" s="6"/>
      <c r="B196" s="25" t="str">
        <f aca="false">IF(A196="","",INT((A196-PARÁMETROS!$B$6)/7)+1)</f>
        <v/>
      </c>
      <c r="C196" s="17"/>
      <c r="D196" s="17"/>
      <c r="E196" s="8"/>
      <c r="F196" s="17"/>
      <c r="H196" s="6"/>
      <c r="I196" s="17"/>
      <c r="J196" s="5" t="str">
        <f aca="false">IF(I196="","",INDEX(PARÁMETROS!$B$70:$B$89,MATCH(I196,PARÁMETROS!$A$70:$A$89,0)))</f>
        <v/>
      </c>
      <c r="K196" s="11"/>
      <c r="L196" s="11"/>
      <c r="M196" s="17"/>
      <c r="N196" s="17"/>
    </row>
    <row r="197" customFormat="false" ht="15" hidden="false" customHeight="false" outlineLevel="0" collapsed="false">
      <c r="A197" s="6"/>
      <c r="B197" s="25" t="str">
        <f aca="false">IF(A197="","",INT((A197-PARÁMETROS!$B$6)/7)+1)</f>
        <v/>
      </c>
      <c r="C197" s="17"/>
      <c r="D197" s="17"/>
      <c r="E197" s="8"/>
      <c r="F197" s="17"/>
      <c r="H197" s="6"/>
      <c r="I197" s="17"/>
      <c r="J197" s="5" t="str">
        <f aca="false">IF(I197="","",INDEX(PARÁMETROS!$B$70:$B$89,MATCH(I197,PARÁMETROS!$A$70:$A$89,0)))</f>
        <v/>
      </c>
      <c r="K197" s="11"/>
      <c r="L197" s="11"/>
      <c r="M197" s="17"/>
      <c r="N197" s="17"/>
    </row>
    <row r="198" customFormat="false" ht="15" hidden="false" customHeight="false" outlineLevel="0" collapsed="false">
      <c r="A198" s="6"/>
      <c r="B198" s="25" t="str">
        <f aca="false">IF(A198="","",INT((A198-PARÁMETROS!$B$6)/7)+1)</f>
        <v/>
      </c>
      <c r="C198" s="17"/>
      <c r="D198" s="17"/>
      <c r="E198" s="8"/>
      <c r="F198" s="17"/>
      <c r="H198" s="6"/>
      <c r="I198" s="17"/>
      <c r="J198" s="5" t="str">
        <f aca="false">IF(I198="","",INDEX(PARÁMETROS!$B$70:$B$89,MATCH(I198,PARÁMETROS!$A$70:$A$89,0)))</f>
        <v/>
      </c>
      <c r="K198" s="11"/>
      <c r="L198" s="11"/>
      <c r="M198" s="17"/>
      <c r="N198" s="17"/>
    </row>
    <row r="199" customFormat="false" ht="15" hidden="false" customHeight="false" outlineLevel="0" collapsed="false">
      <c r="A199" s="6"/>
      <c r="B199" s="25" t="str">
        <f aca="false">IF(A199="","",INT((A199-PARÁMETROS!$B$6)/7)+1)</f>
        <v/>
      </c>
      <c r="C199" s="17"/>
      <c r="D199" s="17"/>
      <c r="E199" s="8"/>
      <c r="F199" s="17"/>
      <c r="H199" s="6"/>
      <c r="I199" s="17"/>
      <c r="J199" s="5" t="str">
        <f aca="false">IF(I199="","",INDEX(PARÁMETROS!$B$70:$B$89,MATCH(I199,PARÁMETROS!$A$70:$A$89,0)))</f>
        <v/>
      </c>
      <c r="K199" s="11"/>
      <c r="L199" s="11"/>
      <c r="M199" s="17"/>
      <c r="N199" s="17"/>
    </row>
    <row r="200" customFormat="false" ht="15" hidden="false" customHeight="false" outlineLevel="0" collapsed="false">
      <c r="A200" s="6"/>
      <c r="B200" s="25" t="str">
        <f aca="false">IF(A200="","",INT((A200-PARÁMETROS!$B$6)/7)+1)</f>
        <v/>
      </c>
      <c r="C200" s="17"/>
      <c r="D200" s="17"/>
      <c r="E200" s="8"/>
      <c r="F200" s="17"/>
      <c r="H200" s="6"/>
      <c r="I200" s="17"/>
      <c r="J200" s="5" t="str">
        <f aca="false">IF(I200="","",INDEX(PARÁMETROS!$B$70:$B$89,MATCH(I200,PARÁMETROS!$A$70:$A$89,0)))</f>
        <v/>
      </c>
      <c r="K200" s="11"/>
      <c r="L200" s="11"/>
      <c r="M200" s="17"/>
      <c r="N200" s="17"/>
    </row>
    <row r="201" customFormat="false" ht="15" hidden="false" customHeight="false" outlineLevel="0" collapsed="false">
      <c r="A201" s="6"/>
      <c r="B201" s="25" t="str">
        <f aca="false">IF(A201="","",INT((A201-PARÁMETROS!$B$6)/7)+1)</f>
        <v/>
      </c>
      <c r="C201" s="17"/>
      <c r="D201" s="17"/>
      <c r="E201" s="8"/>
      <c r="F201" s="17"/>
      <c r="H201" s="6"/>
      <c r="I201" s="17"/>
      <c r="J201" s="5" t="str">
        <f aca="false">IF(I201="","",INDEX(PARÁMETROS!$B$70:$B$89,MATCH(I201,PARÁMETROS!$A$70:$A$89,0)))</f>
        <v/>
      </c>
      <c r="K201" s="11"/>
      <c r="L201" s="11"/>
      <c r="M201" s="17"/>
      <c r="N201" s="17"/>
    </row>
    <row r="202" customFormat="false" ht="15" hidden="false" customHeight="false" outlineLevel="0" collapsed="false">
      <c r="A202" s="6"/>
      <c r="B202" s="25" t="str">
        <f aca="false">IF(A202="","",INT((A202-PARÁMETROS!$B$6)/7)+1)</f>
        <v/>
      </c>
      <c r="C202" s="17"/>
      <c r="D202" s="17"/>
      <c r="E202" s="8"/>
      <c r="F202" s="17"/>
      <c r="H202" s="6"/>
      <c r="I202" s="17"/>
      <c r="J202" s="5" t="str">
        <f aca="false">IF(I202="","",INDEX(PARÁMETROS!$B$70:$B$89,MATCH(I202,PARÁMETROS!$A$70:$A$89,0)))</f>
        <v/>
      </c>
      <c r="K202" s="11"/>
      <c r="L202" s="11"/>
      <c r="M202" s="17"/>
      <c r="N202" s="17"/>
    </row>
    <row r="203" customFormat="false" ht="15" hidden="false" customHeight="false" outlineLevel="0" collapsed="false">
      <c r="A203" s="6"/>
      <c r="B203" s="25" t="str">
        <f aca="false">IF(A203="","",INT((A203-PARÁMETROS!$B$6)/7)+1)</f>
        <v/>
      </c>
      <c r="C203" s="17"/>
      <c r="D203" s="17"/>
      <c r="E203" s="8"/>
      <c r="F203" s="17"/>
      <c r="H203" s="6"/>
      <c r="I203" s="17"/>
      <c r="J203" s="5" t="str">
        <f aca="false">IF(I203="","",INDEX(PARÁMETROS!$B$70:$B$89,MATCH(I203,PARÁMETROS!$A$70:$A$89,0)))</f>
        <v/>
      </c>
      <c r="K203" s="11"/>
      <c r="L203" s="11"/>
      <c r="M203" s="17"/>
      <c r="N203" s="17"/>
    </row>
    <row r="204" customFormat="false" ht="15" hidden="false" customHeight="false" outlineLevel="0" collapsed="false">
      <c r="A204" s="6"/>
      <c r="B204" s="25" t="str">
        <f aca="false">IF(A204="","",INT((A204-PARÁMETROS!$B$6)/7)+1)</f>
        <v/>
      </c>
      <c r="C204" s="17"/>
      <c r="D204" s="17"/>
      <c r="E204" s="8"/>
      <c r="F204" s="17"/>
      <c r="H204" s="6"/>
      <c r="I204" s="17"/>
      <c r="J204" s="5" t="str">
        <f aca="false">IF(I204="","",INDEX(PARÁMETROS!$B$70:$B$89,MATCH(I204,PARÁMETROS!$A$70:$A$89,0)))</f>
        <v/>
      </c>
      <c r="K204" s="11"/>
      <c r="L204" s="11"/>
      <c r="M204" s="17"/>
      <c r="N204" s="17"/>
    </row>
    <row r="205" customFormat="false" ht="15" hidden="false" customHeight="false" outlineLevel="0" collapsed="false">
      <c r="A205" s="6"/>
      <c r="B205" s="25" t="str">
        <f aca="false">IF(A205="","",INT((A205-PARÁMETROS!$B$6)/7)+1)</f>
        <v/>
      </c>
      <c r="C205" s="17"/>
      <c r="D205" s="17"/>
      <c r="E205" s="8"/>
      <c r="F205" s="17"/>
      <c r="H205" s="6"/>
      <c r="I205" s="17"/>
      <c r="J205" s="5" t="str">
        <f aca="false">IF(I205="","",INDEX(PARÁMETROS!$B$70:$B$89,MATCH(I205,PARÁMETROS!$A$70:$A$89,0)))</f>
        <v/>
      </c>
      <c r="K205" s="11"/>
      <c r="L205" s="11"/>
      <c r="M205" s="17"/>
      <c r="N205" s="17"/>
    </row>
    <row r="206" customFormat="false" ht="15" hidden="false" customHeight="false" outlineLevel="0" collapsed="false">
      <c r="A206" s="6"/>
      <c r="B206" s="25" t="str">
        <f aca="false">IF(A206="","",INT((A206-PARÁMETROS!$B$6)/7)+1)</f>
        <v/>
      </c>
      <c r="C206" s="17"/>
      <c r="D206" s="17"/>
      <c r="E206" s="8"/>
      <c r="F206" s="17"/>
      <c r="H206" s="6"/>
      <c r="I206" s="17"/>
      <c r="J206" s="5" t="str">
        <f aca="false">IF(I206="","",INDEX(PARÁMETROS!$B$70:$B$89,MATCH(I206,PARÁMETROS!$A$70:$A$89,0)))</f>
        <v/>
      </c>
      <c r="K206" s="11"/>
      <c r="L206" s="11"/>
      <c r="M206" s="17"/>
      <c r="N206" s="17"/>
    </row>
    <row r="207" customFormat="false" ht="15" hidden="false" customHeight="false" outlineLevel="0" collapsed="false">
      <c r="A207" s="6"/>
      <c r="B207" s="25" t="str">
        <f aca="false">IF(A207="","",INT((A207-PARÁMETROS!$B$6)/7)+1)</f>
        <v/>
      </c>
      <c r="C207" s="17"/>
      <c r="D207" s="17"/>
      <c r="E207" s="8"/>
      <c r="F207" s="17"/>
      <c r="H207" s="6"/>
      <c r="I207" s="17"/>
      <c r="J207" s="5" t="str">
        <f aca="false">IF(I207="","",INDEX(PARÁMETROS!$B$70:$B$89,MATCH(I207,PARÁMETROS!$A$70:$A$89,0)))</f>
        <v/>
      </c>
      <c r="K207" s="11"/>
      <c r="L207" s="11"/>
      <c r="M207" s="17"/>
      <c r="N207" s="17"/>
    </row>
    <row r="208" customFormat="false" ht="15" hidden="false" customHeight="false" outlineLevel="0" collapsed="false">
      <c r="A208" s="6"/>
      <c r="B208" s="25" t="str">
        <f aca="false">IF(A208="","",INT((A208-PARÁMETROS!$B$6)/7)+1)</f>
        <v/>
      </c>
      <c r="C208" s="17"/>
      <c r="D208" s="17"/>
      <c r="E208" s="8"/>
      <c r="F208" s="17"/>
      <c r="H208" s="6"/>
      <c r="I208" s="17"/>
      <c r="J208" s="5" t="str">
        <f aca="false">IF(I208="","",INDEX(PARÁMETROS!$B$70:$B$89,MATCH(I208,PARÁMETROS!$A$70:$A$89,0)))</f>
        <v/>
      </c>
      <c r="K208" s="11"/>
      <c r="L208" s="11"/>
      <c r="M208" s="17"/>
      <c r="N208" s="17"/>
    </row>
    <row r="209" customFormat="false" ht="15" hidden="false" customHeight="false" outlineLevel="0" collapsed="false">
      <c r="A209" s="6"/>
      <c r="B209" s="25" t="str">
        <f aca="false">IF(A209="","",INT((A209-PARÁMETROS!$B$6)/7)+1)</f>
        <v/>
      </c>
      <c r="C209" s="17"/>
      <c r="D209" s="17"/>
      <c r="E209" s="8"/>
      <c r="F209" s="17"/>
      <c r="H209" s="6"/>
      <c r="I209" s="17"/>
      <c r="J209" s="5" t="str">
        <f aca="false">IF(I209="","",INDEX(PARÁMETROS!$B$70:$B$89,MATCH(I209,PARÁMETROS!$A$70:$A$89,0)))</f>
        <v/>
      </c>
      <c r="K209" s="11"/>
      <c r="L209" s="11"/>
      <c r="M209" s="17"/>
      <c r="N209" s="17"/>
    </row>
    <row r="210" customFormat="false" ht="15" hidden="false" customHeight="false" outlineLevel="0" collapsed="false">
      <c r="A210" s="6"/>
      <c r="B210" s="25" t="str">
        <f aca="false">IF(A210="","",INT((A210-PARÁMETROS!$B$6)/7)+1)</f>
        <v/>
      </c>
      <c r="C210" s="17"/>
      <c r="D210" s="17"/>
      <c r="E210" s="8"/>
      <c r="F210" s="17"/>
      <c r="H210" s="6"/>
      <c r="I210" s="17"/>
      <c r="J210" s="5" t="str">
        <f aca="false">IF(I210="","",INDEX(PARÁMETROS!$B$70:$B$89,MATCH(I210,PARÁMETROS!$A$70:$A$89,0)))</f>
        <v/>
      </c>
      <c r="K210" s="11"/>
      <c r="L210" s="11"/>
      <c r="M210" s="17"/>
      <c r="N210" s="17"/>
    </row>
    <row r="211" customFormat="false" ht="15" hidden="false" customHeight="false" outlineLevel="0" collapsed="false">
      <c r="A211" s="6"/>
      <c r="B211" s="25" t="str">
        <f aca="false">IF(A211="","",INT((A211-PARÁMETROS!$B$6)/7)+1)</f>
        <v/>
      </c>
      <c r="C211" s="17"/>
      <c r="D211" s="17"/>
      <c r="E211" s="8"/>
      <c r="F211" s="17"/>
      <c r="H211" s="6"/>
      <c r="I211" s="17"/>
      <c r="J211" s="5" t="str">
        <f aca="false">IF(I211="","",INDEX(PARÁMETROS!$B$70:$B$89,MATCH(I211,PARÁMETROS!$A$70:$A$89,0)))</f>
        <v/>
      </c>
      <c r="K211" s="11"/>
      <c r="L211" s="11"/>
      <c r="M211" s="17"/>
      <c r="N211" s="17"/>
    </row>
    <row r="212" customFormat="false" ht="15" hidden="false" customHeight="false" outlineLevel="0" collapsed="false">
      <c r="A212" s="6"/>
      <c r="B212" s="25" t="str">
        <f aca="false">IF(A212="","",INT((A212-PARÁMETROS!$B$6)/7)+1)</f>
        <v/>
      </c>
      <c r="C212" s="17"/>
      <c r="D212" s="17"/>
      <c r="E212" s="8"/>
      <c r="F212" s="17"/>
      <c r="H212" s="6"/>
      <c r="I212" s="17"/>
      <c r="J212" s="5" t="str">
        <f aca="false">IF(I212="","",INDEX(PARÁMETROS!$B$70:$B$89,MATCH(I212,PARÁMETROS!$A$70:$A$89,0)))</f>
        <v/>
      </c>
      <c r="K212" s="11"/>
      <c r="L212" s="11"/>
      <c r="M212" s="17"/>
      <c r="N212" s="17"/>
    </row>
    <row r="213" customFormat="false" ht="15" hidden="false" customHeight="false" outlineLevel="0" collapsed="false">
      <c r="A213" s="6"/>
      <c r="B213" s="25" t="str">
        <f aca="false">IF(A213="","",INT((A213-PARÁMETROS!$B$6)/7)+1)</f>
        <v/>
      </c>
      <c r="C213" s="17"/>
      <c r="D213" s="17"/>
      <c r="E213" s="8"/>
      <c r="F213" s="17"/>
      <c r="H213" s="6"/>
      <c r="I213" s="17"/>
      <c r="J213" s="5" t="str">
        <f aca="false">IF(I213="","",INDEX(PARÁMETROS!$B$70:$B$89,MATCH(I213,PARÁMETROS!$A$70:$A$89,0)))</f>
        <v/>
      </c>
      <c r="K213" s="11"/>
      <c r="L213" s="11"/>
      <c r="M213" s="17"/>
      <c r="N213" s="17"/>
    </row>
    <row r="214" customFormat="false" ht="15" hidden="false" customHeight="false" outlineLevel="0" collapsed="false">
      <c r="A214" s="6"/>
      <c r="B214" s="25" t="str">
        <f aca="false">IF(A214="","",INT((A214-PARÁMETROS!$B$6)/7)+1)</f>
        <v/>
      </c>
      <c r="C214" s="17"/>
      <c r="D214" s="17"/>
      <c r="E214" s="8"/>
      <c r="F214" s="17"/>
      <c r="H214" s="6"/>
      <c r="I214" s="17"/>
      <c r="J214" s="5" t="str">
        <f aca="false">IF(I214="","",INDEX(PARÁMETROS!$B$70:$B$89,MATCH(I214,PARÁMETROS!$A$70:$A$89,0)))</f>
        <v/>
      </c>
      <c r="K214" s="11"/>
      <c r="L214" s="11"/>
      <c r="M214" s="17"/>
      <c r="N214" s="17"/>
    </row>
    <row r="215" customFormat="false" ht="15" hidden="false" customHeight="false" outlineLevel="0" collapsed="false">
      <c r="A215" s="6"/>
      <c r="B215" s="25" t="str">
        <f aca="false">IF(A215="","",INT((A215-PARÁMETROS!$B$6)/7)+1)</f>
        <v/>
      </c>
      <c r="C215" s="17"/>
      <c r="D215" s="17"/>
      <c r="E215" s="8"/>
      <c r="F215" s="17"/>
      <c r="H215" s="6"/>
      <c r="I215" s="17"/>
      <c r="J215" s="5" t="str">
        <f aca="false">IF(I215="","",INDEX(PARÁMETROS!$B$70:$B$89,MATCH(I215,PARÁMETROS!$A$70:$A$89,0)))</f>
        <v/>
      </c>
      <c r="K215" s="11"/>
      <c r="L215" s="11"/>
      <c r="M215" s="17"/>
      <c r="N215" s="17"/>
    </row>
    <row r="216" customFormat="false" ht="15" hidden="false" customHeight="false" outlineLevel="0" collapsed="false">
      <c r="A216" s="6"/>
      <c r="B216" s="25" t="str">
        <f aca="false">IF(A216="","",INT((A216-PARÁMETROS!$B$6)/7)+1)</f>
        <v/>
      </c>
      <c r="C216" s="17"/>
      <c r="D216" s="17"/>
      <c r="E216" s="8"/>
      <c r="F216" s="17"/>
      <c r="H216" s="6"/>
      <c r="I216" s="17"/>
      <c r="J216" s="5" t="str">
        <f aca="false">IF(I216="","",INDEX(PARÁMETROS!$B$70:$B$89,MATCH(I216,PARÁMETROS!$A$70:$A$89,0)))</f>
        <v/>
      </c>
      <c r="K216" s="11"/>
      <c r="L216" s="11"/>
      <c r="M216" s="17"/>
      <c r="N216" s="17"/>
    </row>
    <row r="217" customFormat="false" ht="15" hidden="false" customHeight="false" outlineLevel="0" collapsed="false">
      <c r="A217" s="6"/>
      <c r="B217" s="25" t="str">
        <f aca="false">IF(A217="","",INT((A217-PARÁMETROS!$B$6)/7)+1)</f>
        <v/>
      </c>
      <c r="C217" s="17"/>
      <c r="D217" s="17"/>
      <c r="E217" s="8"/>
      <c r="F217" s="17"/>
      <c r="H217" s="6"/>
      <c r="I217" s="17"/>
      <c r="J217" s="5" t="str">
        <f aca="false">IF(I217="","",INDEX(PARÁMETROS!$B$70:$B$89,MATCH(I217,PARÁMETROS!$A$70:$A$89,0)))</f>
        <v/>
      </c>
      <c r="K217" s="11"/>
      <c r="L217" s="11"/>
      <c r="M217" s="17"/>
      <c r="N217" s="17"/>
    </row>
    <row r="218" customFormat="false" ht="15" hidden="false" customHeight="false" outlineLevel="0" collapsed="false">
      <c r="A218" s="6"/>
      <c r="B218" s="25" t="str">
        <f aca="false">IF(A218="","",INT((A218-PARÁMETROS!$B$6)/7)+1)</f>
        <v/>
      </c>
      <c r="C218" s="17"/>
      <c r="D218" s="17"/>
      <c r="E218" s="8"/>
      <c r="F218" s="17"/>
      <c r="H218" s="6"/>
      <c r="I218" s="17"/>
      <c r="J218" s="5" t="str">
        <f aca="false">IF(I218="","",INDEX(PARÁMETROS!$B$70:$B$89,MATCH(I218,PARÁMETROS!$A$70:$A$89,0)))</f>
        <v/>
      </c>
      <c r="K218" s="11"/>
      <c r="L218" s="11"/>
      <c r="M218" s="17"/>
      <c r="N218" s="17"/>
    </row>
    <row r="219" customFormat="false" ht="15" hidden="false" customHeight="false" outlineLevel="0" collapsed="false">
      <c r="A219" s="6"/>
      <c r="B219" s="25" t="str">
        <f aca="false">IF(A219="","",INT((A219-PARÁMETROS!$B$6)/7)+1)</f>
        <v/>
      </c>
      <c r="C219" s="17"/>
      <c r="D219" s="17"/>
      <c r="E219" s="8"/>
      <c r="F219" s="17"/>
      <c r="H219" s="6"/>
      <c r="I219" s="17"/>
      <c r="J219" s="5" t="str">
        <f aca="false">IF(I219="","",INDEX(PARÁMETROS!$B$70:$B$89,MATCH(I219,PARÁMETROS!$A$70:$A$89,0)))</f>
        <v/>
      </c>
      <c r="K219" s="11"/>
      <c r="L219" s="11"/>
      <c r="M219" s="17"/>
      <c r="N219" s="17"/>
    </row>
    <row r="220" customFormat="false" ht="15" hidden="false" customHeight="false" outlineLevel="0" collapsed="false">
      <c r="A220" s="6"/>
      <c r="B220" s="25" t="str">
        <f aca="false">IF(A220="","",INT((A220-PARÁMETROS!$B$6)/7)+1)</f>
        <v/>
      </c>
      <c r="C220" s="17"/>
      <c r="D220" s="17"/>
      <c r="E220" s="8"/>
      <c r="F220" s="17"/>
      <c r="H220" s="6"/>
      <c r="I220" s="17"/>
      <c r="J220" s="5" t="str">
        <f aca="false">IF(I220="","",INDEX(PARÁMETROS!$B$70:$B$89,MATCH(I220,PARÁMETROS!$A$70:$A$89,0)))</f>
        <v/>
      </c>
      <c r="K220" s="11"/>
      <c r="L220" s="11"/>
      <c r="M220" s="17"/>
      <c r="N220" s="17"/>
    </row>
    <row r="221" customFormat="false" ht="15" hidden="false" customHeight="false" outlineLevel="0" collapsed="false">
      <c r="A221" s="6"/>
      <c r="B221" s="25" t="str">
        <f aca="false">IF(A221="","",INT((A221-PARÁMETROS!$B$6)/7)+1)</f>
        <v/>
      </c>
      <c r="C221" s="17"/>
      <c r="D221" s="17"/>
      <c r="E221" s="8"/>
      <c r="F221" s="17"/>
      <c r="H221" s="6"/>
      <c r="I221" s="17"/>
      <c r="J221" s="5" t="str">
        <f aca="false">IF(I221="","",INDEX(PARÁMETROS!$B$70:$B$89,MATCH(I221,PARÁMETROS!$A$70:$A$89,0)))</f>
        <v/>
      </c>
      <c r="K221" s="11"/>
      <c r="L221" s="11"/>
      <c r="M221" s="17"/>
      <c r="N221" s="17"/>
    </row>
    <row r="222" customFormat="false" ht="15" hidden="false" customHeight="false" outlineLevel="0" collapsed="false">
      <c r="A222" s="6"/>
      <c r="B222" s="25" t="str">
        <f aca="false">IF(A222="","",INT((A222-PARÁMETROS!$B$6)/7)+1)</f>
        <v/>
      </c>
      <c r="C222" s="17"/>
      <c r="D222" s="17"/>
      <c r="E222" s="8"/>
      <c r="F222" s="17"/>
      <c r="H222" s="6"/>
      <c r="I222" s="17"/>
      <c r="J222" s="5" t="str">
        <f aca="false">IF(I222="","",INDEX(PARÁMETROS!$B$70:$B$89,MATCH(I222,PARÁMETROS!$A$70:$A$89,0)))</f>
        <v/>
      </c>
      <c r="K222" s="11"/>
      <c r="L222" s="11"/>
      <c r="M222" s="17"/>
      <c r="N222" s="17"/>
    </row>
    <row r="223" customFormat="false" ht="15" hidden="false" customHeight="false" outlineLevel="0" collapsed="false">
      <c r="A223" s="6"/>
      <c r="B223" s="25" t="str">
        <f aca="false">IF(A223="","",INT((A223-PARÁMETROS!$B$6)/7)+1)</f>
        <v/>
      </c>
      <c r="C223" s="17"/>
      <c r="D223" s="17"/>
      <c r="E223" s="8"/>
      <c r="F223" s="17"/>
      <c r="H223" s="6"/>
      <c r="I223" s="17"/>
      <c r="J223" s="5" t="str">
        <f aca="false">IF(I223="","",INDEX(PARÁMETROS!$B$70:$B$89,MATCH(I223,PARÁMETROS!$A$70:$A$89,0)))</f>
        <v/>
      </c>
      <c r="K223" s="11"/>
      <c r="L223" s="11"/>
      <c r="M223" s="17"/>
      <c r="N223" s="17"/>
    </row>
    <row r="224" customFormat="false" ht="15" hidden="false" customHeight="false" outlineLevel="0" collapsed="false">
      <c r="A224" s="6"/>
      <c r="B224" s="25" t="str">
        <f aca="false">IF(A224="","",INT((A224-PARÁMETROS!$B$6)/7)+1)</f>
        <v/>
      </c>
      <c r="C224" s="17"/>
      <c r="D224" s="17"/>
      <c r="E224" s="8"/>
      <c r="F224" s="17"/>
      <c r="H224" s="6"/>
      <c r="I224" s="17"/>
      <c r="J224" s="5" t="str">
        <f aca="false">IF(I224="","",INDEX(PARÁMETROS!$B$70:$B$89,MATCH(I224,PARÁMETROS!$A$70:$A$89,0)))</f>
        <v/>
      </c>
      <c r="K224" s="11"/>
      <c r="L224" s="11"/>
      <c r="M224" s="17"/>
      <c r="N224" s="17"/>
    </row>
    <row r="225" customFormat="false" ht="15" hidden="false" customHeight="false" outlineLevel="0" collapsed="false">
      <c r="A225" s="6"/>
      <c r="B225" s="25" t="str">
        <f aca="false">IF(A225="","",INT((A225-PARÁMETROS!$B$6)/7)+1)</f>
        <v/>
      </c>
      <c r="C225" s="17"/>
      <c r="D225" s="17"/>
      <c r="E225" s="8"/>
      <c r="F225" s="17"/>
      <c r="H225" s="6"/>
      <c r="I225" s="17"/>
      <c r="J225" s="5" t="str">
        <f aca="false">IF(I225="","",INDEX(PARÁMETROS!$B$70:$B$89,MATCH(I225,PARÁMETROS!$A$70:$A$89,0)))</f>
        <v/>
      </c>
      <c r="K225" s="11"/>
      <c r="L225" s="11"/>
      <c r="M225" s="17"/>
      <c r="N225" s="17"/>
    </row>
    <row r="226" customFormat="false" ht="15" hidden="false" customHeight="false" outlineLevel="0" collapsed="false">
      <c r="A226" s="6"/>
      <c r="B226" s="25" t="str">
        <f aca="false">IF(A226="","",INT((A226-PARÁMETROS!$B$6)/7)+1)</f>
        <v/>
      </c>
      <c r="C226" s="17"/>
      <c r="D226" s="17"/>
      <c r="E226" s="8"/>
      <c r="F226" s="17"/>
      <c r="H226" s="6"/>
      <c r="I226" s="17"/>
      <c r="J226" s="5" t="str">
        <f aca="false">IF(I226="","",INDEX(PARÁMETROS!$B$70:$B$89,MATCH(I226,PARÁMETROS!$A$70:$A$89,0)))</f>
        <v/>
      </c>
      <c r="K226" s="11"/>
      <c r="L226" s="11"/>
      <c r="M226" s="17"/>
      <c r="N226" s="17"/>
    </row>
    <row r="227" customFormat="false" ht="15" hidden="false" customHeight="false" outlineLevel="0" collapsed="false">
      <c r="A227" s="6"/>
      <c r="B227" s="25" t="str">
        <f aca="false">IF(A227="","",INT((A227-PARÁMETROS!$B$6)/7)+1)</f>
        <v/>
      </c>
      <c r="C227" s="17"/>
      <c r="D227" s="17"/>
      <c r="E227" s="8"/>
      <c r="F227" s="17"/>
      <c r="H227" s="6"/>
      <c r="I227" s="17"/>
      <c r="J227" s="5" t="str">
        <f aca="false">IF(I227="","",INDEX(PARÁMETROS!$B$70:$B$89,MATCH(I227,PARÁMETROS!$A$70:$A$89,0)))</f>
        <v/>
      </c>
      <c r="K227" s="11"/>
      <c r="L227" s="11"/>
      <c r="M227" s="17"/>
      <c r="N227" s="17"/>
    </row>
    <row r="228" customFormat="false" ht="15" hidden="false" customHeight="false" outlineLevel="0" collapsed="false">
      <c r="A228" s="6"/>
      <c r="B228" s="25" t="str">
        <f aca="false">IF(A228="","",INT((A228-PARÁMETROS!$B$6)/7)+1)</f>
        <v/>
      </c>
      <c r="C228" s="17"/>
      <c r="D228" s="17"/>
      <c r="E228" s="8"/>
      <c r="F228" s="17"/>
      <c r="H228" s="6"/>
      <c r="I228" s="17"/>
      <c r="J228" s="5" t="str">
        <f aca="false">IF(I228="","",INDEX(PARÁMETROS!$B$70:$B$89,MATCH(I228,PARÁMETROS!$A$70:$A$89,0)))</f>
        <v/>
      </c>
      <c r="K228" s="11"/>
      <c r="L228" s="11"/>
      <c r="M228" s="17"/>
      <c r="N228" s="17"/>
    </row>
    <row r="229" customFormat="false" ht="15" hidden="false" customHeight="false" outlineLevel="0" collapsed="false">
      <c r="A229" s="6"/>
      <c r="B229" s="25" t="str">
        <f aca="false">IF(A229="","",INT((A229-PARÁMETROS!$B$6)/7)+1)</f>
        <v/>
      </c>
      <c r="C229" s="17"/>
      <c r="D229" s="17"/>
      <c r="E229" s="8"/>
      <c r="F229" s="17"/>
      <c r="H229" s="6"/>
      <c r="I229" s="17"/>
      <c r="J229" s="5" t="str">
        <f aca="false">IF(I229="","",INDEX(PARÁMETROS!$B$70:$B$89,MATCH(I229,PARÁMETROS!$A$70:$A$89,0)))</f>
        <v/>
      </c>
      <c r="K229" s="11"/>
      <c r="L229" s="11"/>
      <c r="M229" s="17"/>
      <c r="N229" s="17"/>
    </row>
    <row r="230" customFormat="false" ht="15" hidden="false" customHeight="false" outlineLevel="0" collapsed="false">
      <c r="A230" s="6"/>
      <c r="B230" s="25" t="str">
        <f aca="false">IF(A230="","",INT((A230-PARÁMETROS!$B$6)/7)+1)</f>
        <v/>
      </c>
      <c r="C230" s="17"/>
      <c r="D230" s="17"/>
      <c r="E230" s="8"/>
      <c r="F230" s="17"/>
      <c r="H230" s="6"/>
      <c r="I230" s="17"/>
      <c r="J230" s="5" t="str">
        <f aca="false">IF(I230="","",INDEX(PARÁMETROS!$B$70:$B$89,MATCH(I230,PARÁMETROS!$A$70:$A$89,0)))</f>
        <v/>
      </c>
      <c r="K230" s="11"/>
      <c r="L230" s="11"/>
      <c r="M230" s="17"/>
      <c r="N230" s="17"/>
    </row>
    <row r="231" customFormat="false" ht="15" hidden="false" customHeight="false" outlineLevel="0" collapsed="false">
      <c r="A231" s="6"/>
      <c r="B231" s="25" t="str">
        <f aca="false">IF(A231="","",INT((A231-PARÁMETROS!$B$6)/7)+1)</f>
        <v/>
      </c>
      <c r="C231" s="17"/>
      <c r="D231" s="17"/>
      <c r="E231" s="8"/>
      <c r="F231" s="17"/>
      <c r="H231" s="6"/>
      <c r="I231" s="17"/>
      <c r="J231" s="5" t="str">
        <f aca="false">IF(I231="","",INDEX(PARÁMETROS!$B$70:$B$89,MATCH(I231,PARÁMETROS!$A$70:$A$89,0)))</f>
        <v/>
      </c>
      <c r="K231" s="11"/>
      <c r="L231" s="11"/>
      <c r="M231" s="17"/>
      <c r="N231" s="17"/>
    </row>
    <row r="232" customFormat="false" ht="15" hidden="false" customHeight="false" outlineLevel="0" collapsed="false">
      <c r="A232" s="6"/>
      <c r="B232" s="25" t="str">
        <f aca="false">IF(A232="","",INT((A232-PARÁMETROS!$B$6)/7)+1)</f>
        <v/>
      </c>
      <c r="C232" s="17"/>
      <c r="D232" s="17"/>
      <c r="E232" s="8"/>
      <c r="F232" s="17"/>
      <c r="H232" s="6"/>
      <c r="I232" s="17"/>
      <c r="J232" s="5" t="str">
        <f aca="false">IF(I232="","",INDEX(PARÁMETROS!$B$70:$B$89,MATCH(I232,PARÁMETROS!$A$70:$A$89,0)))</f>
        <v/>
      </c>
      <c r="K232" s="11"/>
      <c r="L232" s="11"/>
      <c r="M232" s="17"/>
      <c r="N232" s="17"/>
    </row>
    <row r="233" customFormat="false" ht="15" hidden="false" customHeight="false" outlineLevel="0" collapsed="false">
      <c r="A233" s="6"/>
      <c r="B233" s="25" t="str">
        <f aca="false">IF(A233="","",INT((A233-PARÁMETROS!$B$6)/7)+1)</f>
        <v/>
      </c>
      <c r="C233" s="17"/>
      <c r="D233" s="17"/>
      <c r="E233" s="8"/>
      <c r="F233" s="17"/>
      <c r="H233" s="6"/>
      <c r="I233" s="17"/>
      <c r="J233" s="5" t="str">
        <f aca="false">IF(I233="","",INDEX(PARÁMETROS!$B$70:$B$89,MATCH(I233,PARÁMETROS!$A$70:$A$89,0)))</f>
        <v/>
      </c>
      <c r="K233" s="11"/>
      <c r="L233" s="11"/>
      <c r="M233" s="17"/>
      <c r="N233" s="17"/>
    </row>
    <row r="234" customFormat="false" ht="15" hidden="false" customHeight="false" outlineLevel="0" collapsed="false">
      <c r="A234" s="6"/>
      <c r="B234" s="25" t="str">
        <f aca="false">IF(A234="","",INT((A234-PARÁMETROS!$B$6)/7)+1)</f>
        <v/>
      </c>
      <c r="C234" s="17"/>
      <c r="D234" s="17"/>
      <c r="E234" s="8"/>
      <c r="F234" s="17"/>
      <c r="H234" s="6"/>
      <c r="I234" s="17"/>
      <c r="J234" s="5" t="str">
        <f aca="false">IF(I234="","",INDEX(PARÁMETROS!$B$70:$B$89,MATCH(I234,PARÁMETROS!$A$70:$A$89,0)))</f>
        <v/>
      </c>
      <c r="K234" s="11"/>
      <c r="L234" s="11"/>
      <c r="M234" s="17"/>
      <c r="N234" s="17"/>
    </row>
    <row r="235" customFormat="false" ht="15" hidden="false" customHeight="false" outlineLevel="0" collapsed="false">
      <c r="A235" s="6"/>
      <c r="B235" s="25" t="str">
        <f aca="false">IF(A235="","",INT((A235-PARÁMETROS!$B$6)/7)+1)</f>
        <v/>
      </c>
      <c r="C235" s="17"/>
      <c r="D235" s="17"/>
      <c r="E235" s="8"/>
      <c r="F235" s="17"/>
      <c r="H235" s="6"/>
      <c r="I235" s="17"/>
      <c r="J235" s="5" t="str">
        <f aca="false">IF(I235="","",INDEX(PARÁMETROS!$B$70:$B$89,MATCH(I235,PARÁMETROS!$A$70:$A$89,0)))</f>
        <v/>
      </c>
      <c r="K235" s="11"/>
      <c r="L235" s="11"/>
      <c r="M235" s="17"/>
      <c r="N235" s="17"/>
    </row>
    <row r="236" customFormat="false" ht="15" hidden="false" customHeight="false" outlineLevel="0" collapsed="false">
      <c r="A236" s="6"/>
      <c r="B236" s="25" t="str">
        <f aca="false">IF(A236="","",INT((A236-PARÁMETROS!$B$6)/7)+1)</f>
        <v/>
      </c>
      <c r="C236" s="17"/>
      <c r="D236" s="17"/>
      <c r="E236" s="8"/>
      <c r="F236" s="17"/>
      <c r="H236" s="6"/>
      <c r="I236" s="17"/>
      <c r="J236" s="5" t="str">
        <f aca="false">IF(I236="","",INDEX(PARÁMETROS!$B$70:$B$89,MATCH(I236,PARÁMETROS!$A$70:$A$89,0)))</f>
        <v/>
      </c>
      <c r="K236" s="11"/>
      <c r="L236" s="11"/>
      <c r="M236" s="17"/>
      <c r="N236" s="17"/>
    </row>
    <row r="237" customFormat="false" ht="15" hidden="false" customHeight="false" outlineLevel="0" collapsed="false">
      <c r="A237" s="6"/>
      <c r="B237" s="25" t="str">
        <f aca="false">IF(A237="","",INT((A237-PARÁMETROS!$B$6)/7)+1)</f>
        <v/>
      </c>
      <c r="C237" s="17"/>
      <c r="D237" s="17"/>
      <c r="E237" s="8"/>
      <c r="F237" s="17"/>
      <c r="H237" s="6"/>
      <c r="I237" s="17"/>
      <c r="J237" s="5" t="str">
        <f aca="false">IF(I237="","",INDEX(PARÁMETROS!$B$70:$B$89,MATCH(I237,PARÁMETROS!$A$70:$A$89,0)))</f>
        <v/>
      </c>
      <c r="K237" s="11"/>
      <c r="L237" s="11"/>
      <c r="M237" s="17"/>
      <c r="N237" s="17"/>
    </row>
    <row r="238" customFormat="false" ht="15" hidden="false" customHeight="false" outlineLevel="0" collapsed="false">
      <c r="A238" s="6"/>
      <c r="B238" s="25" t="str">
        <f aca="false">IF(A238="","",INT((A238-PARÁMETROS!$B$6)/7)+1)</f>
        <v/>
      </c>
      <c r="C238" s="17"/>
      <c r="D238" s="17"/>
      <c r="E238" s="8"/>
      <c r="F238" s="17"/>
      <c r="H238" s="6"/>
      <c r="I238" s="17"/>
      <c r="J238" s="5" t="str">
        <f aca="false">IF(I238="","",INDEX(PARÁMETROS!$B$70:$B$89,MATCH(I238,PARÁMETROS!$A$70:$A$89,0)))</f>
        <v/>
      </c>
      <c r="K238" s="11"/>
      <c r="L238" s="11"/>
      <c r="M238" s="17"/>
      <c r="N238" s="17"/>
    </row>
    <row r="239" customFormat="false" ht="15" hidden="false" customHeight="false" outlineLevel="0" collapsed="false">
      <c r="A239" s="6"/>
      <c r="B239" s="25" t="str">
        <f aca="false">IF(A239="","",INT((A239-PARÁMETROS!$B$6)/7)+1)</f>
        <v/>
      </c>
      <c r="C239" s="17"/>
      <c r="D239" s="17"/>
      <c r="E239" s="8"/>
      <c r="F239" s="17"/>
      <c r="H239" s="6"/>
      <c r="I239" s="17"/>
      <c r="J239" s="5" t="str">
        <f aca="false">IF(I239="","",INDEX(PARÁMETROS!$B$70:$B$89,MATCH(I239,PARÁMETROS!$A$70:$A$89,0)))</f>
        <v/>
      </c>
      <c r="K239" s="11"/>
      <c r="L239" s="11"/>
      <c r="M239" s="17"/>
      <c r="N239" s="17"/>
    </row>
    <row r="240" customFormat="false" ht="15" hidden="false" customHeight="false" outlineLevel="0" collapsed="false">
      <c r="A240" s="6"/>
      <c r="B240" s="25" t="str">
        <f aca="false">IF(A240="","",INT((A240-PARÁMETROS!$B$6)/7)+1)</f>
        <v/>
      </c>
      <c r="C240" s="17"/>
      <c r="D240" s="17"/>
      <c r="E240" s="8"/>
      <c r="F240" s="17"/>
      <c r="H240" s="6"/>
      <c r="I240" s="17"/>
      <c r="J240" s="5" t="str">
        <f aca="false">IF(I240="","",INDEX(PARÁMETROS!$B$70:$B$89,MATCH(I240,PARÁMETROS!$A$70:$A$89,0)))</f>
        <v/>
      </c>
      <c r="K240" s="11"/>
      <c r="L240" s="11"/>
      <c r="M240" s="17"/>
      <c r="N240" s="17"/>
    </row>
    <row r="241" customFormat="false" ht="15" hidden="false" customHeight="false" outlineLevel="0" collapsed="false">
      <c r="A241" s="6"/>
      <c r="B241" s="25" t="str">
        <f aca="false">IF(A241="","",INT((A241-PARÁMETROS!$B$6)/7)+1)</f>
        <v/>
      </c>
      <c r="C241" s="17"/>
      <c r="D241" s="17"/>
      <c r="E241" s="8"/>
      <c r="F241" s="17"/>
      <c r="H241" s="6"/>
      <c r="I241" s="17"/>
      <c r="J241" s="5" t="str">
        <f aca="false">IF(I241="","",INDEX(PARÁMETROS!$B$70:$B$89,MATCH(I241,PARÁMETROS!$A$70:$A$89,0)))</f>
        <v/>
      </c>
      <c r="K241" s="11"/>
      <c r="L241" s="11"/>
      <c r="M241" s="17"/>
      <c r="N241" s="17"/>
    </row>
    <row r="242" customFormat="false" ht="15" hidden="false" customHeight="false" outlineLevel="0" collapsed="false">
      <c r="A242" s="6"/>
      <c r="B242" s="25" t="str">
        <f aca="false">IF(A242="","",INT((A242-PARÁMETROS!$B$6)/7)+1)</f>
        <v/>
      </c>
      <c r="C242" s="17"/>
      <c r="D242" s="17"/>
      <c r="E242" s="8"/>
      <c r="F242" s="17"/>
      <c r="H242" s="6"/>
      <c r="I242" s="17"/>
      <c r="J242" s="5" t="str">
        <f aca="false">IF(I242="","",INDEX(PARÁMETROS!$B$70:$B$89,MATCH(I242,PARÁMETROS!$A$70:$A$89,0)))</f>
        <v/>
      </c>
      <c r="K242" s="11"/>
      <c r="L242" s="11"/>
      <c r="M242" s="17"/>
      <c r="N242" s="17"/>
    </row>
    <row r="243" customFormat="false" ht="15" hidden="false" customHeight="false" outlineLevel="0" collapsed="false">
      <c r="A243" s="6"/>
      <c r="B243" s="25" t="str">
        <f aca="false">IF(A243="","",INT((A243-PARÁMETROS!$B$6)/7)+1)</f>
        <v/>
      </c>
      <c r="C243" s="17"/>
      <c r="D243" s="17"/>
      <c r="E243" s="8"/>
      <c r="F243" s="17"/>
      <c r="H243" s="6"/>
      <c r="I243" s="17"/>
      <c r="J243" s="5" t="str">
        <f aca="false">IF(I243="","",INDEX(PARÁMETROS!$B$70:$B$89,MATCH(I243,PARÁMETROS!$A$70:$A$89,0)))</f>
        <v/>
      </c>
      <c r="K243" s="11"/>
      <c r="L243" s="11"/>
      <c r="M243" s="17"/>
      <c r="N243" s="17"/>
    </row>
    <row r="244" customFormat="false" ht="15" hidden="false" customHeight="false" outlineLevel="0" collapsed="false">
      <c r="A244" s="6"/>
      <c r="B244" s="25" t="str">
        <f aca="false">IF(A244="","",INT((A244-PARÁMETROS!$B$6)/7)+1)</f>
        <v/>
      </c>
      <c r="C244" s="17"/>
      <c r="D244" s="17"/>
      <c r="E244" s="8"/>
      <c r="F244" s="17"/>
      <c r="H244" s="6"/>
      <c r="I244" s="17"/>
      <c r="J244" s="5" t="str">
        <f aca="false">IF(I244="","",INDEX(PARÁMETROS!$B$70:$B$89,MATCH(I244,PARÁMETROS!$A$70:$A$89,0)))</f>
        <v/>
      </c>
      <c r="K244" s="11"/>
      <c r="L244" s="11"/>
      <c r="M244" s="17"/>
      <c r="N244" s="17"/>
    </row>
    <row r="245" customFormat="false" ht="15" hidden="false" customHeight="false" outlineLevel="0" collapsed="false">
      <c r="A245" s="6"/>
      <c r="B245" s="25" t="str">
        <f aca="false">IF(A245="","",INT((A245-PARÁMETROS!$B$6)/7)+1)</f>
        <v/>
      </c>
      <c r="C245" s="17"/>
      <c r="D245" s="17"/>
      <c r="E245" s="8"/>
      <c r="F245" s="17"/>
      <c r="H245" s="6"/>
      <c r="I245" s="17"/>
      <c r="J245" s="5" t="str">
        <f aca="false">IF(I245="","",INDEX(PARÁMETROS!$B$70:$B$89,MATCH(I245,PARÁMETROS!$A$70:$A$89,0)))</f>
        <v/>
      </c>
      <c r="K245" s="11"/>
      <c r="L245" s="11"/>
      <c r="M245" s="17"/>
      <c r="N245" s="17"/>
    </row>
    <row r="246" customFormat="false" ht="15" hidden="false" customHeight="false" outlineLevel="0" collapsed="false">
      <c r="A246" s="6"/>
      <c r="B246" s="25" t="str">
        <f aca="false">IF(A246="","",INT((A246-PARÁMETROS!$B$6)/7)+1)</f>
        <v/>
      </c>
      <c r="C246" s="17"/>
      <c r="D246" s="17"/>
      <c r="E246" s="8"/>
      <c r="F246" s="17"/>
      <c r="H246" s="6"/>
      <c r="I246" s="17"/>
      <c r="J246" s="5" t="str">
        <f aca="false">IF(I246="","",INDEX(PARÁMETROS!$B$70:$B$89,MATCH(I246,PARÁMETROS!$A$70:$A$89,0)))</f>
        <v/>
      </c>
      <c r="K246" s="11"/>
      <c r="L246" s="11"/>
      <c r="M246" s="17"/>
      <c r="N246" s="17"/>
    </row>
    <row r="247" customFormat="false" ht="15" hidden="false" customHeight="false" outlineLevel="0" collapsed="false">
      <c r="A247" s="6"/>
      <c r="B247" s="25" t="str">
        <f aca="false">IF(A247="","",INT((A247-PARÁMETROS!$B$6)/7)+1)</f>
        <v/>
      </c>
      <c r="C247" s="17"/>
      <c r="D247" s="17"/>
      <c r="E247" s="8"/>
      <c r="F247" s="17"/>
      <c r="H247" s="6"/>
      <c r="I247" s="17"/>
      <c r="J247" s="5" t="str">
        <f aca="false">IF(I247="","",INDEX(PARÁMETROS!$B$70:$B$89,MATCH(I247,PARÁMETROS!$A$70:$A$89,0)))</f>
        <v/>
      </c>
      <c r="K247" s="11"/>
      <c r="L247" s="11"/>
      <c r="M247" s="17"/>
      <c r="N247" s="17"/>
    </row>
    <row r="248" customFormat="false" ht="15" hidden="false" customHeight="false" outlineLevel="0" collapsed="false">
      <c r="A248" s="6"/>
      <c r="B248" s="25" t="str">
        <f aca="false">IF(A248="","",INT((A248-PARÁMETROS!$B$6)/7)+1)</f>
        <v/>
      </c>
      <c r="C248" s="17"/>
      <c r="D248" s="17"/>
      <c r="E248" s="8"/>
      <c r="F248" s="17"/>
      <c r="H248" s="6"/>
      <c r="I248" s="17"/>
      <c r="J248" s="5" t="str">
        <f aca="false">IF(I248="","",INDEX(PARÁMETROS!$B$70:$B$89,MATCH(I248,PARÁMETROS!$A$70:$A$89,0)))</f>
        <v/>
      </c>
      <c r="K248" s="11"/>
      <c r="L248" s="11"/>
      <c r="M248" s="17"/>
      <c r="N248" s="17"/>
    </row>
    <row r="249" customFormat="false" ht="15" hidden="false" customHeight="false" outlineLevel="0" collapsed="false">
      <c r="A249" s="6"/>
      <c r="B249" s="25" t="str">
        <f aca="false">IF(A249="","",INT((A249-PARÁMETROS!$B$6)/7)+1)</f>
        <v/>
      </c>
      <c r="C249" s="17"/>
      <c r="D249" s="17"/>
      <c r="E249" s="8"/>
      <c r="F249" s="17"/>
      <c r="H249" s="6"/>
      <c r="I249" s="17"/>
      <c r="J249" s="5" t="str">
        <f aca="false">IF(I249="","",INDEX(PARÁMETROS!$B$70:$B$89,MATCH(I249,PARÁMETROS!$A$70:$A$89,0)))</f>
        <v/>
      </c>
      <c r="K249" s="11"/>
      <c r="L249" s="11"/>
      <c r="M249" s="17"/>
      <c r="N249" s="17"/>
    </row>
    <row r="250" customFormat="false" ht="15" hidden="false" customHeight="false" outlineLevel="0" collapsed="false">
      <c r="A250" s="6"/>
      <c r="B250" s="25" t="str">
        <f aca="false">IF(A250="","",INT((A250-PARÁMETROS!$B$6)/7)+1)</f>
        <v/>
      </c>
      <c r="C250" s="17"/>
      <c r="D250" s="17"/>
      <c r="E250" s="8"/>
      <c r="F250" s="17"/>
      <c r="H250" s="6"/>
      <c r="I250" s="17"/>
      <c r="J250" s="5" t="str">
        <f aca="false">IF(I250="","",INDEX(PARÁMETROS!$B$70:$B$89,MATCH(I250,PARÁMETROS!$A$70:$A$89,0)))</f>
        <v/>
      </c>
      <c r="K250" s="11"/>
      <c r="L250" s="11"/>
      <c r="M250" s="17"/>
      <c r="N250" s="17"/>
    </row>
    <row r="251" customFormat="false" ht="15" hidden="false" customHeight="false" outlineLevel="0" collapsed="false">
      <c r="A251" s="6"/>
      <c r="B251" s="25" t="str">
        <f aca="false">IF(A251="","",INT((A251-PARÁMETROS!$B$6)/7)+1)</f>
        <v/>
      </c>
      <c r="C251" s="17"/>
      <c r="D251" s="17"/>
      <c r="E251" s="8"/>
      <c r="F251" s="17"/>
      <c r="H251" s="6"/>
      <c r="I251" s="17"/>
      <c r="J251" s="5" t="str">
        <f aca="false">IF(I251="","",INDEX(PARÁMETROS!$B$70:$B$89,MATCH(I251,PARÁMETROS!$A$70:$A$89,0)))</f>
        <v/>
      </c>
      <c r="K251" s="11"/>
      <c r="L251" s="11"/>
      <c r="M251" s="17"/>
      <c r="N251" s="17"/>
    </row>
    <row r="252" customFormat="false" ht="15" hidden="false" customHeight="false" outlineLevel="0" collapsed="false">
      <c r="A252" s="6"/>
      <c r="B252" s="25" t="str">
        <f aca="false">IF(A252="","",INT((A252-PARÁMETROS!$B$6)/7)+1)</f>
        <v/>
      </c>
      <c r="C252" s="17"/>
      <c r="D252" s="17"/>
      <c r="E252" s="8"/>
      <c r="F252" s="17"/>
      <c r="H252" s="6"/>
      <c r="I252" s="17"/>
      <c r="J252" s="5" t="str">
        <f aca="false">IF(I252="","",INDEX(PARÁMETROS!$B$70:$B$89,MATCH(I252,PARÁMETROS!$A$70:$A$89,0)))</f>
        <v/>
      </c>
      <c r="K252" s="11"/>
      <c r="L252" s="11"/>
      <c r="M252" s="17"/>
      <c r="N252" s="17"/>
    </row>
    <row r="253" customFormat="false" ht="15" hidden="false" customHeight="false" outlineLevel="0" collapsed="false">
      <c r="A253" s="6"/>
      <c r="B253" s="25" t="str">
        <f aca="false">IF(A253="","",INT((A253-PARÁMETROS!$B$6)/7)+1)</f>
        <v/>
      </c>
      <c r="C253" s="17"/>
      <c r="D253" s="17"/>
      <c r="E253" s="8"/>
      <c r="F253" s="17"/>
      <c r="H253" s="6"/>
      <c r="I253" s="17"/>
      <c r="J253" s="5" t="str">
        <f aca="false">IF(I253="","",INDEX(PARÁMETROS!$B$70:$B$89,MATCH(I253,PARÁMETROS!$A$70:$A$89,0)))</f>
        <v/>
      </c>
      <c r="K253" s="11"/>
      <c r="L253" s="11"/>
      <c r="M253" s="17"/>
      <c r="N253" s="17"/>
    </row>
    <row r="254" customFormat="false" ht="15" hidden="false" customHeight="false" outlineLevel="0" collapsed="false">
      <c r="A254" s="6"/>
      <c r="B254" s="25" t="str">
        <f aca="false">IF(A254="","",INT((A254-PARÁMETROS!$B$6)/7)+1)</f>
        <v/>
      </c>
      <c r="C254" s="17"/>
      <c r="D254" s="17"/>
      <c r="E254" s="8"/>
      <c r="F254" s="17"/>
      <c r="H254" s="6"/>
      <c r="I254" s="17"/>
      <c r="J254" s="5" t="str">
        <f aca="false">IF(I254="","",INDEX(PARÁMETROS!$B$70:$B$89,MATCH(I254,PARÁMETROS!$A$70:$A$89,0)))</f>
        <v/>
      </c>
      <c r="K254" s="11"/>
      <c r="L254" s="11"/>
      <c r="M254" s="17"/>
      <c r="N254" s="17"/>
    </row>
    <row r="255" customFormat="false" ht="15" hidden="false" customHeight="false" outlineLevel="0" collapsed="false">
      <c r="A255" s="6"/>
      <c r="B255" s="25" t="str">
        <f aca="false">IF(A255="","",INT((A255-PARÁMETROS!$B$6)/7)+1)</f>
        <v/>
      </c>
      <c r="C255" s="17"/>
      <c r="D255" s="17"/>
      <c r="E255" s="8"/>
      <c r="F255" s="17"/>
      <c r="H255" s="6"/>
      <c r="I255" s="17"/>
      <c r="J255" s="5" t="str">
        <f aca="false">IF(I255="","",INDEX(PARÁMETROS!$B$70:$B$89,MATCH(I255,PARÁMETROS!$A$70:$A$89,0)))</f>
        <v/>
      </c>
      <c r="K255" s="11"/>
      <c r="L255" s="11"/>
      <c r="M255" s="17"/>
      <c r="N255" s="17"/>
    </row>
    <row r="256" customFormat="false" ht="15" hidden="false" customHeight="false" outlineLevel="0" collapsed="false">
      <c r="A256" s="6"/>
      <c r="B256" s="25" t="str">
        <f aca="false">IF(A256="","",INT((A256-PARÁMETROS!$B$6)/7)+1)</f>
        <v/>
      </c>
      <c r="C256" s="17"/>
      <c r="D256" s="17"/>
      <c r="E256" s="8"/>
      <c r="F256" s="17"/>
      <c r="H256" s="6"/>
      <c r="I256" s="17"/>
      <c r="J256" s="5" t="str">
        <f aca="false">IF(I256="","",INDEX(PARÁMETROS!$B$70:$B$89,MATCH(I256,PARÁMETROS!$A$70:$A$89,0)))</f>
        <v/>
      </c>
      <c r="K256" s="11"/>
      <c r="L256" s="11"/>
      <c r="M256" s="17"/>
      <c r="N256" s="17"/>
    </row>
    <row r="257" customFormat="false" ht="15" hidden="false" customHeight="false" outlineLevel="0" collapsed="false">
      <c r="A257" s="6"/>
      <c r="B257" s="25" t="str">
        <f aca="false">IF(A257="","",INT((A257-PARÁMETROS!$B$6)/7)+1)</f>
        <v/>
      </c>
      <c r="C257" s="17"/>
      <c r="D257" s="17"/>
      <c r="E257" s="8"/>
      <c r="F257" s="17"/>
      <c r="H257" s="6"/>
      <c r="I257" s="17"/>
      <c r="J257" s="5" t="str">
        <f aca="false">IF(I257="","",INDEX(PARÁMETROS!$B$70:$B$89,MATCH(I257,PARÁMETROS!$A$70:$A$89,0)))</f>
        <v/>
      </c>
      <c r="K257" s="11"/>
      <c r="L257" s="11"/>
      <c r="M257" s="17"/>
      <c r="N257" s="17"/>
    </row>
    <row r="258" customFormat="false" ht="15" hidden="false" customHeight="false" outlineLevel="0" collapsed="false">
      <c r="A258" s="6"/>
      <c r="B258" s="25" t="str">
        <f aca="false">IF(A258="","",INT((A258-PARÁMETROS!$B$6)/7)+1)</f>
        <v/>
      </c>
      <c r="C258" s="17"/>
      <c r="D258" s="17"/>
      <c r="E258" s="8"/>
      <c r="F258" s="17"/>
      <c r="H258" s="6"/>
      <c r="I258" s="17"/>
      <c r="J258" s="5" t="str">
        <f aca="false">IF(I258="","",INDEX(PARÁMETROS!$B$70:$B$89,MATCH(I258,PARÁMETROS!$A$70:$A$89,0)))</f>
        <v/>
      </c>
      <c r="K258" s="11"/>
      <c r="L258" s="11"/>
      <c r="M258" s="17"/>
      <c r="N258" s="17"/>
    </row>
    <row r="259" customFormat="false" ht="15" hidden="false" customHeight="false" outlineLevel="0" collapsed="false">
      <c r="A259" s="6"/>
      <c r="B259" s="25" t="str">
        <f aca="false">IF(A259="","",INT((A259-PARÁMETROS!$B$6)/7)+1)</f>
        <v/>
      </c>
      <c r="C259" s="17"/>
      <c r="D259" s="17"/>
      <c r="E259" s="8"/>
      <c r="F259" s="17"/>
      <c r="H259" s="6"/>
      <c r="I259" s="17"/>
      <c r="J259" s="5" t="str">
        <f aca="false">IF(I259="","",INDEX(PARÁMETROS!$B$70:$B$89,MATCH(I259,PARÁMETROS!$A$70:$A$89,0)))</f>
        <v/>
      </c>
      <c r="K259" s="11"/>
      <c r="L259" s="11"/>
      <c r="M259" s="17"/>
      <c r="N259" s="17"/>
    </row>
    <row r="260" customFormat="false" ht="15" hidden="false" customHeight="false" outlineLevel="0" collapsed="false">
      <c r="A260" s="6"/>
      <c r="B260" s="25" t="str">
        <f aca="false">IF(A260="","",INT((A260-PARÁMETROS!$B$6)/7)+1)</f>
        <v/>
      </c>
      <c r="C260" s="17"/>
      <c r="D260" s="17"/>
      <c r="E260" s="8"/>
      <c r="F260" s="17"/>
      <c r="H260" s="6"/>
      <c r="I260" s="17"/>
      <c r="J260" s="5" t="str">
        <f aca="false">IF(I260="","",INDEX(PARÁMETROS!$B$70:$B$89,MATCH(I260,PARÁMETROS!$A$70:$A$89,0)))</f>
        <v/>
      </c>
      <c r="K260" s="11"/>
      <c r="L260" s="11"/>
      <c r="M260" s="17"/>
      <c r="N260" s="17"/>
    </row>
    <row r="261" customFormat="false" ht="15" hidden="false" customHeight="false" outlineLevel="0" collapsed="false">
      <c r="A261" s="6"/>
      <c r="B261" s="25" t="str">
        <f aca="false">IF(A261="","",INT((A261-PARÁMETROS!$B$6)/7)+1)</f>
        <v/>
      </c>
      <c r="C261" s="17"/>
      <c r="D261" s="17"/>
      <c r="E261" s="8"/>
      <c r="F261" s="17"/>
      <c r="H261" s="6"/>
      <c r="I261" s="17"/>
      <c r="J261" s="5" t="str">
        <f aca="false">IF(I261="","",INDEX(PARÁMETROS!$B$70:$B$89,MATCH(I261,PARÁMETROS!$A$70:$A$89,0)))</f>
        <v/>
      </c>
      <c r="K261" s="11"/>
      <c r="L261" s="11"/>
      <c r="M261" s="17"/>
      <c r="N261" s="17"/>
    </row>
    <row r="262" customFormat="false" ht="15" hidden="false" customHeight="false" outlineLevel="0" collapsed="false">
      <c r="A262" s="6"/>
      <c r="B262" s="25" t="str">
        <f aca="false">IF(A262="","",INT((A262-PARÁMETROS!$B$6)/7)+1)</f>
        <v/>
      </c>
      <c r="C262" s="17"/>
      <c r="D262" s="17"/>
      <c r="E262" s="8"/>
      <c r="F262" s="17"/>
      <c r="H262" s="6"/>
      <c r="I262" s="17"/>
      <c r="J262" s="5" t="str">
        <f aca="false">IF(I262="","",INDEX(PARÁMETROS!$B$70:$B$89,MATCH(I262,PARÁMETROS!$A$70:$A$89,0)))</f>
        <v/>
      </c>
      <c r="K262" s="11"/>
      <c r="L262" s="11"/>
      <c r="M262" s="17"/>
      <c r="N262" s="17"/>
    </row>
    <row r="263" customFormat="false" ht="15" hidden="false" customHeight="false" outlineLevel="0" collapsed="false">
      <c r="A263" s="6"/>
      <c r="B263" s="25" t="str">
        <f aca="false">IF(A263="","",INT((A263-PARÁMETROS!$B$6)/7)+1)</f>
        <v/>
      </c>
      <c r="C263" s="17"/>
      <c r="D263" s="17"/>
      <c r="E263" s="8"/>
      <c r="F263" s="17"/>
      <c r="H263" s="6"/>
      <c r="I263" s="17"/>
      <c r="J263" s="5" t="str">
        <f aca="false">IF(I263="","",INDEX(PARÁMETROS!$B$70:$B$89,MATCH(I263,PARÁMETROS!$A$70:$A$89,0)))</f>
        <v/>
      </c>
      <c r="K263" s="11"/>
      <c r="L263" s="11"/>
      <c r="M263" s="17"/>
      <c r="N263" s="17"/>
    </row>
    <row r="264" customFormat="false" ht="15" hidden="false" customHeight="false" outlineLevel="0" collapsed="false">
      <c r="A264" s="6"/>
      <c r="B264" s="25" t="str">
        <f aca="false">IF(A264="","",INT((A264-PARÁMETROS!$B$6)/7)+1)</f>
        <v/>
      </c>
      <c r="C264" s="17"/>
      <c r="D264" s="17"/>
      <c r="E264" s="8"/>
      <c r="F264" s="17"/>
      <c r="H264" s="6"/>
      <c r="I264" s="17"/>
      <c r="J264" s="5" t="str">
        <f aca="false">IF(I264="","",INDEX(PARÁMETROS!$B$70:$B$89,MATCH(I264,PARÁMETROS!$A$70:$A$89,0)))</f>
        <v/>
      </c>
      <c r="K264" s="11"/>
      <c r="L264" s="11"/>
      <c r="M264" s="17"/>
      <c r="N264" s="17"/>
    </row>
    <row r="265" customFormat="false" ht="15" hidden="false" customHeight="false" outlineLevel="0" collapsed="false">
      <c r="A265" s="6"/>
      <c r="B265" s="25" t="str">
        <f aca="false">IF(A265="","",INT((A265-PARÁMETROS!$B$6)/7)+1)</f>
        <v/>
      </c>
      <c r="C265" s="17"/>
      <c r="D265" s="17"/>
      <c r="E265" s="8"/>
      <c r="F265" s="17"/>
      <c r="H265" s="6"/>
      <c r="I265" s="17"/>
      <c r="J265" s="5" t="str">
        <f aca="false">IF(I265="","",INDEX(PARÁMETROS!$B$70:$B$89,MATCH(I265,PARÁMETROS!$A$70:$A$89,0)))</f>
        <v/>
      </c>
      <c r="K265" s="11"/>
      <c r="L265" s="11"/>
      <c r="M265" s="17"/>
      <c r="N265" s="17"/>
    </row>
    <row r="266" customFormat="false" ht="15" hidden="false" customHeight="false" outlineLevel="0" collapsed="false">
      <c r="A266" s="6"/>
      <c r="B266" s="25" t="str">
        <f aca="false">IF(A266="","",INT((A266-PARÁMETROS!$B$6)/7)+1)</f>
        <v/>
      </c>
      <c r="C266" s="17"/>
      <c r="D266" s="17"/>
      <c r="E266" s="8"/>
      <c r="F266" s="17"/>
      <c r="H266" s="6"/>
      <c r="I266" s="17"/>
      <c r="J266" s="5" t="str">
        <f aca="false">IF(I266="","",INDEX(PARÁMETROS!$B$70:$B$89,MATCH(I266,PARÁMETROS!$A$70:$A$89,0)))</f>
        <v/>
      </c>
      <c r="K266" s="11"/>
      <c r="L266" s="11"/>
      <c r="M266" s="17"/>
      <c r="N266" s="17"/>
    </row>
    <row r="267" customFormat="false" ht="15" hidden="false" customHeight="false" outlineLevel="0" collapsed="false">
      <c r="A267" s="6"/>
      <c r="B267" s="25" t="str">
        <f aca="false">IF(A267="","",INT((A267-PARÁMETROS!$B$6)/7)+1)</f>
        <v/>
      </c>
      <c r="C267" s="17"/>
      <c r="D267" s="17"/>
      <c r="E267" s="8"/>
      <c r="F267" s="17"/>
      <c r="H267" s="6"/>
      <c r="I267" s="17"/>
      <c r="J267" s="5" t="str">
        <f aca="false">IF(I267="","",INDEX(PARÁMETROS!$B$70:$B$89,MATCH(I267,PARÁMETROS!$A$70:$A$89,0)))</f>
        <v/>
      </c>
      <c r="K267" s="11"/>
      <c r="L267" s="11"/>
      <c r="M267" s="17"/>
      <c r="N267" s="17"/>
    </row>
    <row r="268" customFormat="false" ht="15" hidden="false" customHeight="false" outlineLevel="0" collapsed="false">
      <c r="A268" s="6"/>
      <c r="B268" s="25" t="str">
        <f aca="false">IF(A268="","",INT((A268-PARÁMETROS!$B$6)/7)+1)</f>
        <v/>
      </c>
      <c r="C268" s="17"/>
      <c r="D268" s="17"/>
      <c r="E268" s="8"/>
      <c r="F268" s="17"/>
      <c r="H268" s="6"/>
      <c r="I268" s="17"/>
      <c r="J268" s="5" t="str">
        <f aca="false">IF(I268="","",INDEX(PARÁMETROS!$B$70:$B$89,MATCH(I268,PARÁMETROS!$A$70:$A$89,0)))</f>
        <v/>
      </c>
      <c r="K268" s="11"/>
      <c r="L268" s="11"/>
      <c r="M268" s="17"/>
      <c r="N268" s="17"/>
    </row>
    <row r="269" customFormat="false" ht="15" hidden="false" customHeight="false" outlineLevel="0" collapsed="false">
      <c r="A269" s="6"/>
      <c r="B269" s="25" t="str">
        <f aca="false">IF(A269="","",INT((A269-PARÁMETROS!$B$6)/7)+1)</f>
        <v/>
      </c>
      <c r="C269" s="17"/>
      <c r="D269" s="17"/>
      <c r="E269" s="8"/>
      <c r="F269" s="17"/>
      <c r="H269" s="6"/>
      <c r="I269" s="17"/>
      <c r="J269" s="5" t="str">
        <f aca="false">IF(I269="","",INDEX(PARÁMETROS!$B$70:$B$89,MATCH(I269,PARÁMETROS!$A$70:$A$89,0)))</f>
        <v/>
      </c>
      <c r="K269" s="11"/>
      <c r="L269" s="11"/>
      <c r="M269" s="17"/>
      <c r="N269" s="17"/>
    </row>
    <row r="270" customFormat="false" ht="15" hidden="false" customHeight="false" outlineLevel="0" collapsed="false">
      <c r="A270" s="6"/>
      <c r="B270" s="25" t="str">
        <f aca="false">IF(A270="","",INT((A270-PARÁMETROS!$B$6)/7)+1)</f>
        <v/>
      </c>
      <c r="C270" s="17"/>
      <c r="D270" s="17"/>
      <c r="E270" s="8"/>
      <c r="F270" s="17"/>
      <c r="H270" s="6"/>
      <c r="I270" s="17"/>
      <c r="J270" s="5" t="str">
        <f aca="false">IF(I270="","",INDEX(PARÁMETROS!$B$70:$B$89,MATCH(I270,PARÁMETROS!$A$70:$A$89,0)))</f>
        <v/>
      </c>
      <c r="K270" s="11"/>
      <c r="L270" s="11"/>
      <c r="M270" s="17"/>
      <c r="N270" s="17"/>
    </row>
    <row r="271" customFormat="false" ht="15" hidden="false" customHeight="false" outlineLevel="0" collapsed="false">
      <c r="A271" s="6"/>
      <c r="B271" s="25" t="str">
        <f aca="false">IF(A271="","",INT((A271-PARÁMETROS!$B$6)/7)+1)</f>
        <v/>
      </c>
      <c r="C271" s="17"/>
      <c r="D271" s="17"/>
      <c r="E271" s="8"/>
      <c r="F271" s="17"/>
      <c r="H271" s="6"/>
      <c r="I271" s="17"/>
      <c r="J271" s="5" t="str">
        <f aca="false">IF(I271="","",INDEX(PARÁMETROS!$B$70:$B$89,MATCH(I271,PARÁMETROS!$A$70:$A$89,0)))</f>
        <v/>
      </c>
      <c r="K271" s="11"/>
      <c r="L271" s="11"/>
      <c r="M271" s="17"/>
      <c r="N271" s="17"/>
    </row>
    <row r="272" customFormat="false" ht="15" hidden="false" customHeight="false" outlineLevel="0" collapsed="false">
      <c r="A272" s="6"/>
      <c r="B272" s="25" t="str">
        <f aca="false">IF(A272="","",INT((A272-PARÁMETROS!$B$6)/7)+1)</f>
        <v/>
      </c>
      <c r="C272" s="17"/>
      <c r="D272" s="17"/>
      <c r="E272" s="8"/>
      <c r="F272" s="17"/>
      <c r="H272" s="6"/>
      <c r="I272" s="17"/>
      <c r="J272" s="5" t="str">
        <f aca="false">IF(I272="","",INDEX(PARÁMETROS!$B$70:$B$89,MATCH(I272,PARÁMETROS!$A$70:$A$89,0)))</f>
        <v/>
      </c>
      <c r="K272" s="11"/>
      <c r="L272" s="11"/>
      <c r="M272" s="17"/>
      <c r="N272" s="17"/>
    </row>
    <row r="273" customFormat="false" ht="15" hidden="false" customHeight="false" outlineLevel="0" collapsed="false">
      <c r="A273" s="6"/>
      <c r="B273" s="25" t="str">
        <f aca="false">IF(A273="","",INT((A273-PARÁMETROS!$B$6)/7)+1)</f>
        <v/>
      </c>
      <c r="C273" s="17"/>
      <c r="D273" s="17"/>
      <c r="E273" s="8"/>
      <c r="F273" s="17"/>
      <c r="H273" s="6"/>
      <c r="I273" s="17"/>
      <c r="J273" s="5" t="str">
        <f aca="false">IF(I273="","",INDEX(PARÁMETROS!$B$70:$B$89,MATCH(I273,PARÁMETROS!$A$70:$A$89,0)))</f>
        <v/>
      </c>
      <c r="K273" s="11"/>
      <c r="L273" s="11"/>
      <c r="M273" s="17"/>
      <c r="N273" s="17"/>
    </row>
    <row r="274" customFormat="false" ht="15" hidden="false" customHeight="false" outlineLevel="0" collapsed="false">
      <c r="A274" s="6"/>
      <c r="B274" s="25" t="str">
        <f aca="false">IF(A274="","",INT((A274-PARÁMETROS!$B$6)/7)+1)</f>
        <v/>
      </c>
      <c r="C274" s="17"/>
      <c r="D274" s="17"/>
      <c r="E274" s="8"/>
      <c r="F274" s="17"/>
      <c r="H274" s="6"/>
      <c r="I274" s="17"/>
      <c r="J274" s="5" t="str">
        <f aca="false">IF(I274="","",INDEX(PARÁMETROS!$B$70:$B$89,MATCH(I274,PARÁMETROS!$A$70:$A$89,0)))</f>
        <v/>
      </c>
      <c r="K274" s="11"/>
      <c r="L274" s="11"/>
      <c r="M274" s="17"/>
      <c r="N274" s="17"/>
    </row>
    <row r="275" customFormat="false" ht="15" hidden="false" customHeight="false" outlineLevel="0" collapsed="false">
      <c r="A275" s="6"/>
      <c r="B275" s="25" t="str">
        <f aca="false">IF(A275="","",INT((A275-PARÁMETROS!$B$6)/7)+1)</f>
        <v/>
      </c>
      <c r="C275" s="17"/>
      <c r="D275" s="17"/>
      <c r="E275" s="8"/>
      <c r="F275" s="17"/>
      <c r="H275" s="6"/>
      <c r="I275" s="17"/>
      <c r="J275" s="5" t="str">
        <f aca="false">IF(I275="","",INDEX(PARÁMETROS!$B$70:$B$89,MATCH(I275,PARÁMETROS!$A$70:$A$89,0)))</f>
        <v/>
      </c>
      <c r="K275" s="11"/>
      <c r="L275" s="11"/>
      <c r="M275" s="17"/>
      <c r="N275" s="17"/>
    </row>
    <row r="276" customFormat="false" ht="15" hidden="false" customHeight="false" outlineLevel="0" collapsed="false">
      <c r="A276" s="6"/>
      <c r="B276" s="25" t="str">
        <f aca="false">IF(A276="","",INT((A276-PARÁMETROS!$B$6)/7)+1)</f>
        <v/>
      </c>
      <c r="C276" s="17"/>
      <c r="D276" s="17"/>
      <c r="E276" s="8"/>
      <c r="F276" s="17"/>
      <c r="H276" s="6"/>
      <c r="I276" s="17"/>
      <c r="J276" s="5" t="str">
        <f aca="false">IF(I276="","",INDEX(PARÁMETROS!$B$70:$B$89,MATCH(I276,PARÁMETROS!$A$70:$A$89,0)))</f>
        <v/>
      </c>
      <c r="K276" s="11"/>
      <c r="L276" s="11"/>
      <c r="M276" s="17"/>
      <c r="N276" s="17"/>
    </row>
    <row r="277" customFormat="false" ht="15" hidden="false" customHeight="false" outlineLevel="0" collapsed="false">
      <c r="A277" s="6"/>
      <c r="B277" s="25" t="str">
        <f aca="false">IF(A277="","",INT((A277-PARÁMETROS!$B$6)/7)+1)</f>
        <v/>
      </c>
      <c r="C277" s="17"/>
      <c r="D277" s="17"/>
      <c r="E277" s="8"/>
      <c r="F277" s="17"/>
      <c r="H277" s="6"/>
      <c r="I277" s="17"/>
      <c r="J277" s="5" t="str">
        <f aca="false">IF(I277="","",INDEX(PARÁMETROS!$B$70:$B$89,MATCH(I277,PARÁMETROS!$A$70:$A$89,0)))</f>
        <v/>
      </c>
      <c r="K277" s="11"/>
      <c r="L277" s="11"/>
      <c r="M277" s="17"/>
      <c r="N277" s="17"/>
    </row>
    <row r="278" customFormat="false" ht="15" hidden="false" customHeight="false" outlineLevel="0" collapsed="false">
      <c r="A278" s="6"/>
      <c r="B278" s="25" t="str">
        <f aca="false">IF(A278="","",INT((A278-PARÁMETROS!$B$6)/7)+1)</f>
        <v/>
      </c>
      <c r="C278" s="17"/>
      <c r="D278" s="17"/>
      <c r="E278" s="8"/>
      <c r="F278" s="17"/>
      <c r="H278" s="6"/>
      <c r="I278" s="17"/>
      <c r="J278" s="5" t="str">
        <f aca="false">IF(I278="","",INDEX(PARÁMETROS!$B$70:$B$89,MATCH(I278,PARÁMETROS!$A$70:$A$89,0)))</f>
        <v/>
      </c>
      <c r="K278" s="11"/>
      <c r="L278" s="11"/>
      <c r="M278" s="17"/>
      <c r="N278" s="17"/>
    </row>
    <row r="279" customFormat="false" ht="15" hidden="false" customHeight="false" outlineLevel="0" collapsed="false">
      <c r="A279" s="6"/>
      <c r="B279" s="25" t="str">
        <f aca="false">IF(A279="","",INT((A279-PARÁMETROS!$B$6)/7)+1)</f>
        <v/>
      </c>
      <c r="C279" s="17"/>
      <c r="D279" s="17"/>
      <c r="E279" s="8"/>
      <c r="F279" s="17"/>
      <c r="H279" s="6"/>
      <c r="I279" s="17"/>
      <c r="J279" s="5" t="str">
        <f aca="false">IF(I279="","",INDEX(PARÁMETROS!$B$70:$B$89,MATCH(I279,PARÁMETROS!$A$70:$A$89,0)))</f>
        <v/>
      </c>
      <c r="K279" s="11"/>
      <c r="L279" s="11"/>
      <c r="M279" s="17"/>
      <c r="N279" s="17"/>
    </row>
    <row r="280" customFormat="false" ht="15" hidden="false" customHeight="false" outlineLevel="0" collapsed="false">
      <c r="A280" s="6"/>
      <c r="B280" s="25" t="str">
        <f aca="false">IF(A280="","",INT((A280-PARÁMETROS!$B$6)/7)+1)</f>
        <v/>
      </c>
      <c r="C280" s="17"/>
      <c r="D280" s="17"/>
      <c r="E280" s="8"/>
      <c r="F280" s="17"/>
      <c r="H280" s="6"/>
      <c r="I280" s="17"/>
      <c r="J280" s="5" t="str">
        <f aca="false">IF(I280="","",INDEX(PARÁMETROS!$B$70:$B$89,MATCH(I280,PARÁMETROS!$A$70:$A$89,0)))</f>
        <v/>
      </c>
      <c r="K280" s="11"/>
      <c r="L280" s="11"/>
      <c r="M280" s="17"/>
      <c r="N280" s="17"/>
    </row>
    <row r="281" customFormat="false" ht="15" hidden="false" customHeight="false" outlineLevel="0" collapsed="false">
      <c r="A281" s="6"/>
      <c r="B281" s="25" t="str">
        <f aca="false">IF(A281="","",INT((A281-PARÁMETROS!$B$6)/7)+1)</f>
        <v/>
      </c>
      <c r="C281" s="17"/>
      <c r="D281" s="17"/>
      <c r="E281" s="8"/>
      <c r="F281" s="17"/>
      <c r="H281" s="6"/>
      <c r="I281" s="17"/>
      <c r="J281" s="5" t="str">
        <f aca="false">IF(I281="","",INDEX(PARÁMETROS!$B$70:$B$89,MATCH(I281,PARÁMETROS!$A$70:$A$89,0)))</f>
        <v/>
      </c>
      <c r="K281" s="11"/>
      <c r="L281" s="11"/>
      <c r="M281" s="17"/>
      <c r="N281" s="17"/>
    </row>
    <row r="282" customFormat="false" ht="15" hidden="false" customHeight="false" outlineLevel="0" collapsed="false">
      <c r="A282" s="6"/>
      <c r="B282" s="25" t="str">
        <f aca="false">IF(A282="","",INT((A282-PARÁMETROS!$B$6)/7)+1)</f>
        <v/>
      </c>
      <c r="C282" s="17"/>
      <c r="D282" s="17"/>
      <c r="E282" s="8"/>
      <c r="F282" s="17"/>
      <c r="H282" s="6"/>
      <c r="I282" s="17"/>
      <c r="J282" s="5" t="str">
        <f aca="false">IF(I282="","",INDEX(PARÁMETROS!$B$70:$B$89,MATCH(I282,PARÁMETROS!$A$70:$A$89,0)))</f>
        <v/>
      </c>
      <c r="K282" s="11"/>
      <c r="L282" s="11"/>
      <c r="M282" s="17"/>
      <c r="N282" s="17"/>
    </row>
    <row r="283" customFormat="false" ht="15" hidden="false" customHeight="false" outlineLevel="0" collapsed="false">
      <c r="A283" s="6"/>
      <c r="B283" s="25" t="str">
        <f aca="false">IF(A283="","",INT((A283-PARÁMETROS!$B$6)/7)+1)</f>
        <v/>
      </c>
      <c r="C283" s="17"/>
      <c r="D283" s="17"/>
      <c r="E283" s="8"/>
      <c r="F283" s="17"/>
      <c r="H283" s="6"/>
      <c r="I283" s="17"/>
      <c r="J283" s="5" t="str">
        <f aca="false">IF(I283="","",INDEX(PARÁMETROS!$B$70:$B$89,MATCH(I283,PARÁMETROS!$A$70:$A$89,0)))</f>
        <v/>
      </c>
      <c r="K283" s="11"/>
      <c r="L283" s="11"/>
      <c r="M283" s="17"/>
      <c r="N283" s="17"/>
    </row>
    <row r="284" customFormat="false" ht="15" hidden="false" customHeight="false" outlineLevel="0" collapsed="false">
      <c r="A284" s="6"/>
      <c r="B284" s="25" t="str">
        <f aca="false">IF(A284="","",INT((A284-PARÁMETROS!$B$6)/7)+1)</f>
        <v/>
      </c>
      <c r="C284" s="17"/>
      <c r="D284" s="17"/>
      <c r="E284" s="8"/>
      <c r="F284" s="17"/>
      <c r="H284" s="6"/>
      <c r="I284" s="17"/>
      <c r="J284" s="5" t="str">
        <f aca="false">IF(I284="","",INDEX(PARÁMETROS!$B$70:$B$89,MATCH(I284,PARÁMETROS!$A$70:$A$89,0)))</f>
        <v/>
      </c>
      <c r="K284" s="11"/>
      <c r="L284" s="11"/>
      <c r="M284" s="17"/>
      <c r="N284" s="17"/>
    </row>
    <row r="285" customFormat="false" ht="15" hidden="false" customHeight="false" outlineLevel="0" collapsed="false">
      <c r="A285" s="6"/>
      <c r="B285" s="25" t="str">
        <f aca="false">IF(A285="","",INT((A285-PARÁMETROS!$B$6)/7)+1)</f>
        <v/>
      </c>
      <c r="C285" s="17"/>
      <c r="D285" s="17"/>
      <c r="E285" s="8"/>
      <c r="F285" s="17"/>
      <c r="H285" s="6"/>
      <c r="I285" s="17"/>
      <c r="J285" s="5" t="str">
        <f aca="false">IF(I285="","",INDEX(PARÁMETROS!$B$70:$B$89,MATCH(I285,PARÁMETROS!$A$70:$A$89,0)))</f>
        <v/>
      </c>
      <c r="K285" s="11"/>
      <c r="L285" s="11"/>
      <c r="M285" s="17"/>
      <c r="N285" s="17"/>
    </row>
    <row r="286" customFormat="false" ht="15" hidden="false" customHeight="false" outlineLevel="0" collapsed="false">
      <c r="A286" s="6"/>
      <c r="B286" s="25" t="str">
        <f aca="false">IF(A286="","",INT((A286-PARÁMETROS!$B$6)/7)+1)</f>
        <v/>
      </c>
      <c r="C286" s="17"/>
      <c r="D286" s="17"/>
      <c r="E286" s="8"/>
      <c r="F286" s="17"/>
      <c r="H286" s="6"/>
      <c r="I286" s="17"/>
      <c r="J286" s="5" t="str">
        <f aca="false">IF(I286="","",INDEX(PARÁMETROS!$B$70:$B$89,MATCH(I286,PARÁMETROS!$A$70:$A$89,0)))</f>
        <v/>
      </c>
      <c r="K286" s="11"/>
      <c r="L286" s="11"/>
      <c r="M286" s="17"/>
      <c r="N286" s="17"/>
    </row>
    <row r="287" customFormat="false" ht="15" hidden="false" customHeight="false" outlineLevel="0" collapsed="false">
      <c r="A287" s="6"/>
      <c r="B287" s="25" t="str">
        <f aca="false">IF(A287="","",INT((A287-PARÁMETROS!$B$6)/7)+1)</f>
        <v/>
      </c>
      <c r="C287" s="17"/>
      <c r="D287" s="17"/>
      <c r="E287" s="8"/>
      <c r="F287" s="17"/>
      <c r="H287" s="6"/>
      <c r="I287" s="17"/>
      <c r="J287" s="5" t="str">
        <f aca="false">IF(I287="","",INDEX(PARÁMETROS!$B$70:$B$89,MATCH(I287,PARÁMETROS!$A$70:$A$89,0)))</f>
        <v/>
      </c>
      <c r="K287" s="11"/>
      <c r="L287" s="11"/>
      <c r="M287" s="17"/>
      <c r="N287" s="17"/>
    </row>
    <row r="288" customFormat="false" ht="15" hidden="false" customHeight="false" outlineLevel="0" collapsed="false">
      <c r="A288" s="6"/>
      <c r="B288" s="25" t="str">
        <f aca="false">IF(A288="","",INT((A288-PARÁMETROS!$B$6)/7)+1)</f>
        <v/>
      </c>
      <c r="C288" s="17"/>
      <c r="D288" s="17"/>
      <c r="E288" s="8"/>
      <c r="F288" s="17"/>
      <c r="H288" s="6"/>
      <c r="I288" s="17"/>
      <c r="J288" s="5" t="str">
        <f aca="false">IF(I288="","",INDEX(PARÁMETROS!$B$70:$B$89,MATCH(I288,PARÁMETROS!$A$70:$A$89,0)))</f>
        <v/>
      </c>
      <c r="K288" s="11"/>
      <c r="L288" s="11"/>
      <c r="M288" s="17"/>
      <c r="N288" s="17"/>
    </row>
    <row r="289" customFormat="false" ht="15" hidden="false" customHeight="false" outlineLevel="0" collapsed="false">
      <c r="A289" s="6"/>
      <c r="B289" s="25" t="str">
        <f aca="false">IF(A289="","",INT((A289-PARÁMETROS!$B$6)/7)+1)</f>
        <v/>
      </c>
      <c r="C289" s="17"/>
      <c r="D289" s="17"/>
      <c r="E289" s="8"/>
      <c r="F289" s="17"/>
      <c r="H289" s="6"/>
      <c r="I289" s="17"/>
      <c r="J289" s="5" t="str">
        <f aca="false">IF(I289="","",INDEX(PARÁMETROS!$B$70:$B$89,MATCH(I289,PARÁMETROS!$A$70:$A$89,0)))</f>
        <v/>
      </c>
      <c r="K289" s="11"/>
      <c r="L289" s="11"/>
      <c r="M289" s="17"/>
      <c r="N289" s="17"/>
    </row>
    <row r="290" customFormat="false" ht="15" hidden="false" customHeight="false" outlineLevel="0" collapsed="false">
      <c r="A290" s="6"/>
      <c r="B290" s="25" t="str">
        <f aca="false">IF(A290="","",INT((A290-PARÁMETROS!$B$6)/7)+1)</f>
        <v/>
      </c>
      <c r="C290" s="17"/>
      <c r="D290" s="17"/>
      <c r="E290" s="8"/>
      <c r="F290" s="17"/>
      <c r="H290" s="6"/>
      <c r="I290" s="17"/>
      <c r="J290" s="5" t="str">
        <f aca="false">IF(I290="","",INDEX(PARÁMETROS!$B$70:$B$89,MATCH(I290,PARÁMETROS!$A$70:$A$89,0)))</f>
        <v/>
      </c>
      <c r="K290" s="11"/>
      <c r="L290" s="11"/>
      <c r="M290" s="17"/>
      <c r="N290" s="17"/>
    </row>
    <row r="291" customFormat="false" ht="15" hidden="false" customHeight="false" outlineLevel="0" collapsed="false">
      <c r="A291" s="6"/>
      <c r="B291" s="25" t="str">
        <f aca="false">IF(A291="","",INT((A291-PARÁMETROS!$B$6)/7)+1)</f>
        <v/>
      </c>
      <c r="C291" s="17"/>
      <c r="D291" s="17"/>
      <c r="E291" s="8"/>
      <c r="F291" s="17"/>
      <c r="H291" s="6"/>
      <c r="I291" s="17"/>
      <c r="J291" s="5" t="str">
        <f aca="false">IF(I291="","",INDEX(PARÁMETROS!$B$70:$B$89,MATCH(I291,PARÁMETROS!$A$70:$A$89,0)))</f>
        <v/>
      </c>
      <c r="K291" s="11"/>
      <c r="L291" s="11"/>
      <c r="M291" s="17"/>
      <c r="N291" s="17"/>
    </row>
    <row r="292" customFormat="false" ht="15" hidden="false" customHeight="false" outlineLevel="0" collapsed="false">
      <c r="A292" s="6"/>
      <c r="B292" s="25" t="str">
        <f aca="false">IF(A292="","",INT((A292-PARÁMETROS!$B$6)/7)+1)</f>
        <v/>
      </c>
      <c r="C292" s="17"/>
      <c r="D292" s="17"/>
      <c r="E292" s="8"/>
      <c r="F292" s="17"/>
      <c r="H292" s="6"/>
      <c r="I292" s="17"/>
      <c r="J292" s="5" t="str">
        <f aca="false">IF(I292="","",INDEX(PARÁMETROS!$B$70:$B$89,MATCH(I292,PARÁMETROS!$A$70:$A$89,0)))</f>
        <v/>
      </c>
      <c r="K292" s="11"/>
      <c r="L292" s="11"/>
      <c r="M292" s="17"/>
      <c r="N292" s="17"/>
    </row>
    <row r="293" customFormat="false" ht="15" hidden="false" customHeight="false" outlineLevel="0" collapsed="false">
      <c r="A293" s="6"/>
      <c r="B293" s="25" t="str">
        <f aca="false">IF(A293="","",INT((A293-PARÁMETROS!$B$6)/7)+1)</f>
        <v/>
      </c>
      <c r="C293" s="17"/>
      <c r="D293" s="17"/>
      <c r="E293" s="8"/>
      <c r="F293" s="17"/>
      <c r="H293" s="6"/>
      <c r="I293" s="17"/>
      <c r="J293" s="5" t="str">
        <f aca="false">IF(I293="","",INDEX(PARÁMETROS!$B$70:$B$89,MATCH(I293,PARÁMETROS!$A$70:$A$89,0)))</f>
        <v/>
      </c>
      <c r="K293" s="11"/>
      <c r="L293" s="11"/>
      <c r="M293" s="17"/>
      <c r="N293" s="17"/>
    </row>
    <row r="294" customFormat="false" ht="15" hidden="false" customHeight="false" outlineLevel="0" collapsed="false">
      <c r="A294" s="6"/>
      <c r="B294" s="25" t="str">
        <f aca="false">IF(A294="","",INT((A294-PARÁMETROS!$B$6)/7)+1)</f>
        <v/>
      </c>
      <c r="C294" s="17"/>
      <c r="D294" s="17"/>
      <c r="E294" s="8"/>
      <c r="F294" s="17"/>
      <c r="H294" s="6"/>
      <c r="I294" s="17"/>
      <c r="J294" s="5" t="str">
        <f aca="false">IF(I294="","",INDEX(PARÁMETROS!$B$70:$B$89,MATCH(I294,PARÁMETROS!$A$70:$A$89,0)))</f>
        <v/>
      </c>
      <c r="K294" s="11"/>
      <c r="L294" s="11"/>
      <c r="M294" s="17"/>
      <c r="N294" s="17"/>
    </row>
    <row r="295" customFormat="false" ht="15" hidden="false" customHeight="false" outlineLevel="0" collapsed="false">
      <c r="A295" s="6"/>
      <c r="B295" s="25" t="str">
        <f aca="false">IF(A295="","",INT((A295-PARÁMETROS!$B$6)/7)+1)</f>
        <v/>
      </c>
      <c r="C295" s="17"/>
      <c r="D295" s="17"/>
      <c r="E295" s="8"/>
      <c r="F295" s="17"/>
      <c r="H295" s="6"/>
      <c r="I295" s="17"/>
      <c r="J295" s="5" t="str">
        <f aca="false">IF(I295="","",INDEX(PARÁMETROS!$B$70:$B$89,MATCH(I295,PARÁMETROS!$A$70:$A$89,0)))</f>
        <v/>
      </c>
      <c r="K295" s="11"/>
      <c r="L295" s="11"/>
      <c r="M295" s="17"/>
      <c r="N295" s="17"/>
    </row>
    <row r="296" customFormat="false" ht="15" hidden="false" customHeight="false" outlineLevel="0" collapsed="false">
      <c r="A296" s="6"/>
      <c r="B296" s="25" t="str">
        <f aca="false">IF(A296="","",INT((A296-PARÁMETROS!$B$6)/7)+1)</f>
        <v/>
      </c>
      <c r="C296" s="17"/>
      <c r="D296" s="17"/>
      <c r="E296" s="8"/>
      <c r="F296" s="17"/>
      <c r="H296" s="6"/>
      <c r="I296" s="17"/>
      <c r="J296" s="5" t="str">
        <f aca="false">IF(I296="","",INDEX(PARÁMETROS!$B$70:$B$89,MATCH(I296,PARÁMETROS!$A$70:$A$89,0)))</f>
        <v/>
      </c>
      <c r="K296" s="11"/>
      <c r="L296" s="11"/>
      <c r="M296" s="17"/>
      <c r="N296" s="17"/>
    </row>
    <row r="297" customFormat="false" ht="15" hidden="false" customHeight="false" outlineLevel="0" collapsed="false">
      <c r="A297" s="6"/>
      <c r="B297" s="25" t="str">
        <f aca="false">IF(A297="","",INT((A297-PARÁMETROS!$B$6)/7)+1)</f>
        <v/>
      </c>
      <c r="C297" s="17"/>
      <c r="D297" s="17"/>
      <c r="E297" s="8"/>
      <c r="F297" s="17"/>
      <c r="H297" s="6"/>
      <c r="I297" s="17"/>
      <c r="J297" s="5" t="str">
        <f aca="false">IF(I297="","",INDEX(PARÁMETROS!$B$70:$B$89,MATCH(I297,PARÁMETROS!$A$70:$A$89,0)))</f>
        <v/>
      </c>
      <c r="K297" s="11"/>
      <c r="L297" s="11"/>
      <c r="M297" s="17"/>
      <c r="N297" s="17"/>
    </row>
    <row r="298" customFormat="false" ht="15" hidden="false" customHeight="false" outlineLevel="0" collapsed="false">
      <c r="A298" s="6"/>
      <c r="B298" s="25" t="str">
        <f aca="false">IF(A298="","",INT((A298-PARÁMETROS!$B$6)/7)+1)</f>
        <v/>
      </c>
      <c r="C298" s="17"/>
      <c r="D298" s="17"/>
      <c r="E298" s="8"/>
      <c r="F298" s="17"/>
      <c r="H298" s="6"/>
      <c r="I298" s="17"/>
      <c r="J298" s="5" t="str">
        <f aca="false">IF(I298="","",INDEX(PARÁMETROS!$B$70:$B$89,MATCH(I298,PARÁMETROS!$A$70:$A$89,0)))</f>
        <v/>
      </c>
      <c r="K298" s="11"/>
      <c r="L298" s="11"/>
      <c r="M298" s="17"/>
      <c r="N298" s="17"/>
    </row>
    <row r="299" customFormat="false" ht="15" hidden="false" customHeight="false" outlineLevel="0" collapsed="false">
      <c r="A299" s="6"/>
      <c r="B299" s="25" t="str">
        <f aca="false">IF(A299="","",INT((A299-PARÁMETROS!$B$6)/7)+1)</f>
        <v/>
      </c>
      <c r="C299" s="17"/>
      <c r="D299" s="17"/>
      <c r="E299" s="8"/>
      <c r="F299" s="17"/>
      <c r="H299" s="6"/>
      <c r="I299" s="17"/>
      <c r="J299" s="5" t="str">
        <f aca="false">IF(I299="","",INDEX(PARÁMETROS!$B$70:$B$89,MATCH(I299,PARÁMETROS!$A$70:$A$89,0)))</f>
        <v/>
      </c>
      <c r="K299" s="11"/>
      <c r="L299" s="11"/>
      <c r="M299" s="17"/>
      <c r="N299" s="17"/>
    </row>
    <row r="300" customFormat="false" ht="15" hidden="false" customHeight="false" outlineLevel="0" collapsed="false">
      <c r="A300" s="6"/>
      <c r="B300" s="25" t="str">
        <f aca="false">IF(A300="","",INT((A300-PARÁMETROS!$B$6)/7)+1)</f>
        <v/>
      </c>
      <c r="C300" s="17"/>
      <c r="D300" s="17"/>
      <c r="E300" s="8"/>
      <c r="F300" s="17"/>
      <c r="H300" s="6"/>
      <c r="I300" s="17"/>
      <c r="J300" s="5" t="str">
        <f aca="false">IF(I300="","",INDEX(PARÁMETROS!$B$70:$B$89,MATCH(I300,PARÁMETROS!$A$70:$A$89,0)))</f>
        <v/>
      </c>
      <c r="K300" s="11"/>
      <c r="L300" s="11"/>
      <c r="M300" s="17"/>
      <c r="N300" s="17"/>
    </row>
    <row r="301" customFormat="false" ht="15" hidden="false" customHeight="false" outlineLevel="0" collapsed="false">
      <c r="A301" s="6"/>
      <c r="B301" s="25" t="str">
        <f aca="false">IF(A301="","",INT((A301-PARÁMETROS!$B$6)/7)+1)</f>
        <v/>
      </c>
      <c r="C301" s="17"/>
      <c r="D301" s="17"/>
      <c r="E301" s="8"/>
      <c r="F301" s="17"/>
      <c r="H301" s="6"/>
      <c r="I301" s="17"/>
      <c r="J301" s="5" t="str">
        <f aca="false">IF(I301="","",INDEX(PARÁMETROS!$B$70:$B$89,MATCH(I301,PARÁMETROS!$A$70:$A$89,0)))</f>
        <v/>
      </c>
      <c r="K301" s="11"/>
      <c r="L301" s="11"/>
      <c r="M301" s="17"/>
      <c r="N301" s="17"/>
    </row>
    <row r="302" customFormat="false" ht="15" hidden="false" customHeight="false" outlineLevel="0" collapsed="false">
      <c r="A302" s="6"/>
      <c r="B302" s="25" t="str">
        <f aca="false">IF(A302="","",INT((A302-PARÁMETROS!$B$6)/7)+1)</f>
        <v/>
      </c>
      <c r="C302" s="17"/>
      <c r="D302" s="17"/>
      <c r="E302" s="8"/>
      <c r="F302" s="17"/>
      <c r="H302" s="6"/>
      <c r="I302" s="17"/>
      <c r="J302" s="5" t="str">
        <f aca="false">IF(I302="","",INDEX(PARÁMETROS!$B$70:$B$89,MATCH(I302,PARÁMETROS!$A$70:$A$89,0)))</f>
        <v/>
      </c>
      <c r="K302" s="11"/>
      <c r="L302" s="11"/>
      <c r="M302" s="17"/>
      <c r="N302" s="17"/>
    </row>
    <row r="303" customFormat="false" ht="15" hidden="false" customHeight="false" outlineLevel="0" collapsed="false">
      <c r="A303" s="6"/>
      <c r="B303" s="25" t="str">
        <f aca="false">IF(A303="","",INT((A303-PARÁMETROS!$B$6)/7)+1)</f>
        <v/>
      </c>
      <c r="C303" s="17"/>
      <c r="D303" s="17"/>
      <c r="E303" s="8"/>
      <c r="F303" s="17"/>
      <c r="H303" s="6"/>
      <c r="I303" s="17"/>
      <c r="J303" s="5" t="str">
        <f aca="false">IF(I303="","",INDEX(PARÁMETROS!$B$70:$B$89,MATCH(I303,PARÁMETROS!$A$70:$A$89,0)))</f>
        <v/>
      </c>
      <c r="K303" s="11"/>
      <c r="L303" s="11"/>
      <c r="M303" s="17"/>
      <c r="N303" s="17"/>
    </row>
    <row r="304" customFormat="false" ht="15" hidden="false" customHeight="false" outlineLevel="0" collapsed="false">
      <c r="A304" s="6"/>
      <c r="B304" s="25" t="str">
        <f aca="false">IF(A304="","",INT((A304-PARÁMETROS!$B$6)/7)+1)</f>
        <v/>
      </c>
      <c r="C304" s="17"/>
      <c r="D304" s="17"/>
      <c r="E304" s="8"/>
      <c r="F304" s="17"/>
      <c r="H304" s="6"/>
      <c r="I304" s="17"/>
      <c r="J304" s="5" t="str">
        <f aca="false">IF(I304="","",INDEX(PARÁMETROS!$B$70:$B$89,MATCH(I304,PARÁMETROS!$A$70:$A$89,0)))</f>
        <v/>
      </c>
      <c r="K304" s="11"/>
      <c r="L304" s="11"/>
      <c r="M304" s="17"/>
      <c r="N304" s="17"/>
    </row>
    <row r="305" customFormat="false" ht="15" hidden="false" customHeight="false" outlineLevel="0" collapsed="false">
      <c r="A305" s="6"/>
      <c r="B305" s="25" t="str">
        <f aca="false">IF(A305="","",INT((A305-PARÁMETROS!$B$6)/7)+1)</f>
        <v/>
      </c>
      <c r="C305" s="17"/>
      <c r="D305" s="17"/>
      <c r="E305" s="8"/>
      <c r="F305" s="17"/>
      <c r="H305" s="6"/>
      <c r="I305" s="17"/>
      <c r="J305" s="5" t="str">
        <f aca="false">IF(I305="","",INDEX(PARÁMETROS!$B$70:$B$89,MATCH(I305,PARÁMETROS!$A$70:$A$89,0)))</f>
        <v/>
      </c>
      <c r="K305" s="11"/>
      <c r="L305" s="11"/>
      <c r="M305" s="17"/>
      <c r="N305" s="17"/>
    </row>
    <row r="306" customFormat="false" ht="15" hidden="false" customHeight="false" outlineLevel="0" collapsed="false">
      <c r="A306" s="6"/>
      <c r="B306" s="25" t="str">
        <f aca="false">IF(A306="","",INT((A306-PARÁMETROS!$B$6)/7)+1)</f>
        <v/>
      </c>
      <c r="C306" s="17"/>
      <c r="D306" s="17"/>
      <c r="E306" s="8"/>
      <c r="F306" s="17"/>
      <c r="H306" s="6"/>
      <c r="I306" s="17"/>
      <c r="J306" s="5" t="str">
        <f aca="false">IF(I306="","",INDEX(PARÁMETROS!$B$70:$B$89,MATCH(I306,PARÁMETROS!$A$70:$A$89,0)))</f>
        <v/>
      </c>
      <c r="K306" s="11"/>
      <c r="L306" s="11"/>
      <c r="M306" s="17"/>
      <c r="N306" s="17"/>
    </row>
    <row r="307" customFormat="false" ht="15" hidden="false" customHeight="false" outlineLevel="0" collapsed="false">
      <c r="A307" s="6"/>
      <c r="B307" s="25" t="str">
        <f aca="false">IF(A307="","",INT((A307-PARÁMETROS!$B$6)/7)+1)</f>
        <v/>
      </c>
      <c r="C307" s="17"/>
      <c r="D307" s="17"/>
      <c r="E307" s="8"/>
      <c r="F307" s="17"/>
      <c r="H307" s="6"/>
      <c r="I307" s="17"/>
      <c r="J307" s="5" t="str">
        <f aca="false">IF(I307="","",INDEX(PARÁMETROS!$B$70:$B$89,MATCH(I307,PARÁMETROS!$A$70:$A$89,0)))</f>
        <v/>
      </c>
      <c r="K307" s="11"/>
      <c r="L307" s="11"/>
      <c r="M307" s="17"/>
      <c r="N307" s="17"/>
    </row>
    <row r="308" customFormat="false" ht="15" hidden="false" customHeight="false" outlineLevel="0" collapsed="false">
      <c r="A308" s="6"/>
      <c r="B308" s="25" t="str">
        <f aca="false">IF(A308="","",INT((A308-PARÁMETROS!$B$6)/7)+1)</f>
        <v/>
      </c>
      <c r="C308" s="17"/>
      <c r="D308" s="17"/>
      <c r="E308" s="8"/>
      <c r="F308" s="17"/>
      <c r="H308" s="6"/>
      <c r="I308" s="17"/>
      <c r="J308" s="5" t="str">
        <f aca="false">IF(I308="","",INDEX(PARÁMETROS!$B$70:$B$89,MATCH(I308,PARÁMETROS!$A$70:$A$89,0)))</f>
        <v/>
      </c>
      <c r="K308" s="11"/>
      <c r="L308" s="11"/>
      <c r="M308" s="17"/>
      <c r="N308" s="17"/>
    </row>
    <row r="309" customFormat="false" ht="15" hidden="false" customHeight="false" outlineLevel="0" collapsed="false">
      <c r="A309" s="6"/>
      <c r="B309" s="25" t="str">
        <f aca="false">IF(A309="","",INT((A309-PARÁMETROS!$B$6)/7)+1)</f>
        <v/>
      </c>
      <c r="C309" s="17"/>
      <c r="D309" s="17"/>
      <c r="E309" s="8"/>
      <c r="F309" s="17"/>
      <c r="H309" s="6"/>
      <c r="I309" s="17"/>
      <c r="J309" s="5" t="str">
        <f aca="false">IF(I309="","",INDEX(PARÁMETROS!$B$70:$B$89,MATCH(I309,PARÁMETROS!$A$70:$A$89,0)))</f>
        <v/>
      </c>
      <c r="K309" s="11"/>
      <c r="L309" s="11"/>
      <c r="M309" s="17"/>
      <c r="N309" s="17"/>
    </row>
    <row r="310" customFormat="false" ht="15" hidden="false" customHeight="false" outlineLevel="0" collapsed="false">
      <c r="A310" s="6"/>
      <c r="B310" s="25" t="str">
        <f aca="false">IF(A310="","",INT((A310-PARÁMETROS!$B$6)/7)+1)</f>
        <v/>
      </c>
      <c r="C310" s="17"/>
      <c r="D310" s="17"/>
      <c r="E310" s="8"/>
      <c r="F310" s="17"/>
      <c r="H310" s="6"/>
      <c r="I310" s="17"/>
      <c r="J310" s="5" t="str">
        <f aca="false">IF(I310="","",INDEX(PARÁMETROS!$B$70:$B$89,MATCH(I310,PARÁMETROS!$A$70:$A$89,0)))</f>
        <v/>
      </c>
      <c r="K310" s="11"/>
      <c r="L310" s="11"/>
      <c r="M310" s="17"/>
      <c r="N310" s="17"/>
    </row>
    <row r="311" customFormat="false" ht="15" hidden="false" customHeight="false" outlineLevel="0" collapsed="false">
      <c r="A311" s="6"/>
      <c r="B311" s="25" t="str">
        <f aca="false">IF(A311="","",INT((A311-PARÁMETROS!$B$6)/7)+1)</f>
        <v/>
      </c>
      <c r="C311" s="17"/>
      <c r="D311" s="17"/>
      <c r="E311" s="8"/>
      <c r="F311" s="17"/>
      <c r="H311" s="6"/>
      <c r="I311" s="17"/>
      <c r="J311" s="5" t="str">
        <f aca="false">IF(I311="","",INDEX(PARÁMETROS!$B$70:$B$89,MATCH(I311,PARÁMETROS!$A$70:$A$89,0)))</f>
        <v/>
      </c>
      <c r="K311" s="11"/>
      <c r="L311" s="11"/>
      <c r="M311" s="17"/>
      <c r="N311" s="17"/>
    </row>
    <row r="312" customFormat="false" ht="15" hidden="false" customHeight="false" outlineLevel="0" collapsed="false">
      <c r="A312" s="6"/>
      <c r="B312" s="25" t="str">
        <f aca="false">IF(A312="","",INT((A312-PARÁMETROS!$B$6)/7)+1)</f>
        <v/>
      </c>
      <c r="C312" s="17"/>
      <c r="D312" s="17"/>
      <c r="E312" s="8"/>
      <c r="F312" s="17"/>
      <c r="H312" s="6"/>
      <c r="I312" s="17"/>
      <c r="J312" s="5" t="str">
        <f aca="false">IF(I312="","",INDEX(PARÁMETROS!$B$70:$B$89,MATCH(I312,PARÁMETROS!$A$70:$A$89,0)))</f>
        <v/>
      </c>
      <c r="K312" s="11"/>
      <c r="L312" s="11"/>
      <c r="M312" s="17"/>
      <c r="N312" s="17"/>
    </row>
    <row r="313" customFormat="false" ht="15" hidden="false" customHeight="false" outlineLevel="0" collapsed="false">
      <c r="A313" s="6"/>
      <c r="B313" s="25" t="str">
        <f aca="false">IF(A313="","",INT((A313-PARÁMETROS!$B$6)/7)+1)</f>
        <v/>
      </c>
      <c r="C313" s="17"/>
      <c r="D313" s="17"/>
      <c r="E313" s="8"/>
      <c r="F313" s="17"/>
      <c r="H313" s="6"/>
      <c r="I313" s="17"/>
      <c r="J313" s="5" t="str">
        <f aca="false">IF(I313="","",INDEX(PARÁMETROS!$B$70:$B$89,MATCH(I313,PARÁMETROS!$A$70:$A$89,0)))</f>
        <v/>
      </c>
      <c r="K313" s="11"/>
      <c r="L313" s="11"/>
      <c r="M313" s="17"/>
      <c r="N313" s="17"/>
    </row>
    <row r="314" customFormat="false" ht="15" hidden="false" customHeight="false" outlineLevel="0" collapsed="false">
      <c r="A314" s="6"/>
      <c r="B314" s="25" t="str">
        <f aca="false">IF(A314="","",INT((A314-PARÁMETROS!$B$6)/7)+1)</f>
        <v/>
      </c>
      <c r="C314" s="17"/>
      <c r="D314" s="17"/>
      <c r="E314" s="8"/>
      <c r="F314" s="17"/>
      <c r="H314" s="6"/>
      <c r="I314" s="17"/>
      <c r="J314" s="5" t="str">
        <f aca="false">IF(I314="","",INDEX(PARÁMETROS!$B$70:$B$89,MATCH(I314,PARÁMETROS!$A$70:$A$89,0)))</f>
        <v/>
      </c>
      <c r="K314" s="11"/>
      <c r="L314" s="11"/>
      <c r="M314" s="17"/>
      <c r="N314" s="17"/>
    </row>
    <row r="315" customFormat="false" ht="15" hidden="false" customHeight="false" outlineLevel="0" collapsed="false">
      <c r="A315" s="6"/>
      <c r="B315" s="25" t="str">
        <f aca="false">IF(A315="","",INT((A315-PARÁMETROS!$B$6)/7)+1)</f>
        <v/>
      </c>
      <c r="C315" s="17"/>
      <c r="D315" s="17"/>
      <c r="E315" s="8"/>
      <c r="F315" s="17"/>
      <c r="H315" s="6"/>
      <c r="I315" s="17"/>
      <c r="J315" s="5" t="str">
        <f aca="false">IF(I315="","",INDEX(PARÁMETROS!$B$70:$B$89,MATCH(I315,PARÁMETROS!$A$70:$A$89,0)))</f>
        <v/>
      </c>
      <c r="K315" s="11"/>
      <c r="L315" s="11"/>
      <c r="M315" s="17"/>
      <c r="N315" s="17"/>
    </row>
    <row r="316" customFormat="false" ht="15" hidden="false" customHeight="false" outlineLevel="0" collapsed="false">
      <c r="A316" s="6"/>
      <c r="B316" s="25" t="str">
        <f aca="false">IF(A316="","",INT((A316-PARÁMETROS!$B$6)/7)+1)</f>
        <v/>
      </c>
      <c r="C316" s="17"/>
      <c r="D316" s="17"/>
      <c r="E316" s="8"/>
      <c r="F316" s="17"/>
      <c r="H316" s="6"/>
      <c r="I316" s="17"/>
      <c r="J316" s="5" t="str">
        <f aca="false">IF(I316="","",INDEX(PARÁMETROS!$B$70:$B$89,MATCH(I316,PARÁMETROS!$A$70:$A$89,0)))</f>
        <v/>
      </c>
      <c r="K316" s="11"/>
      <c r="L316" s="11"/>
      <c r="M316" s="17"/>
      <c r="N316" s="17"/>
    </row>
    <row r="317" customFormat="false" ht="15" hidden="false" customHeight="false" outlineLevel="0" collapsed="false">
      <c r="A317" s="6"/>
      <c r="B317" s="25" t="str">
        <f aca="false">IF(A317="","",INT((A317-PARÁMETROS!$B$6)/7)+1)</f>
        <v/>
      </c>
      <c r="C317" s="17"/>
      <c r="D317" s="17"/>
      <c r="E317" s="8"/>
      <c r="F317" s="17"/>
      <c r="H317" s="6"/>
      <c r="I317" s="17"/>
      <c r="J317" s="5" t="str">
        <f aca="false">IF(I317="","",INDEX(PARÁMETROS!$B$70:$B$89,MATCH(I317,PARÁMETROS!$A$70:$A$89,0)))</f>
        <v/>
      </c>
      <c r="K317" s="11"/>
      <c r="L317" s="11"/>
      <c r="M317" s="17"/>
      <c r="N317" s="17"/>
    </row>
    <row r="318" customFormat="false" ht="15" hidden="false" customHeight="false" outlineLevel="0" collapsed="false">
      <c r="A318" s="6"/>
      <c r="B318" s="25" t="str">
        <f aca="false">IF(A318="","",INT((A318-PARÁMETROS!$B$6)/7)+1)</f>
        <v/>
      </c>
      <c r="C318" s="17"/>
      <c r="D318" s="17"/>
      <c r="E318" s="8"/>
      <c r="F318" s="17"/>
      <c r="H318" s="6"/>
      <c r="I318" s="17"/>
      <c r="J318" s="5" t="str">
        <f aca="false">IF(I318="","",INDEX(PARÁMETROS!$B$70:$B$89,MATCH(I318,PARÁMETROS!$A$70:$A$89,0)))</f>
        <v/>
      </c>
      <c r="K318" s="11"/>
      <c r="L318" s="11"/>
      <c r="M318" s="17"/>
      <c r="N318" s="17"/>
    </row>
    <row r="319" customFormat="false" ht="15" hidden="false" customHeight="false" outlineLevel="0" collapsed="false">
      <c r="A319" s="6"/>
      <c r="B319" s="25" t="str">
        <f aca="false">IF(A319="","",INT((A319-PARÁMETROS!$B$6)/7)+1)</f>
        <v/>
      </c>
      <c r="C319" s="17"/>
      <c r="D319" s="17"/>
      <c r="E319" s="8"/>
      <c r="F319" s="17"/>
      <c r="H319" s="6"/>
      <c r="I319" s="17"/>
      <c r="J319" s="5" t="str">
        <f aca="false">IF(I319="","",INDEX(PARÁMETROS!$B$70:$B$89,MATCH(I319,PARÁMETROS!$A$70:$A$89,0)))</f>
        <v/>
      </c>
      <c r="K319" s="11"/>
      <c r="L319" s="11"/>
      <c r="M319" s="17"/>
      <c r="N319" s="17"/>
    </row>
    <row r="320" customFormat="false" ht="15" hidden="false" customHeight="false" outlineLevel="0" collapsed="false">
      <c r="A320" s="6"/>
      <c r="B320" s="25" t="str">
        <f aca="false">IF(A320="","",INT((A320-PARÁMETROS!$B$6)/7)+1)</f>
        <v/>
      </c>
      <c r="C320" s="17"/>
      <c r="D320" s="17"/>
      <c r="E320" s="8"/>
      <c r="F320" s="17"/>
      <c r="H320" s="6"/>
      <c r="I320" s="17"/>
      <c r="J320" s="5" t="str">
        <f aca="false">IF(I320="","",INDEX(PARÁMETROS!$B$70:$B$89,MATCH(I320,PARÁMETROS!$A$70:$A$89,0)))</f>
        <v/>
      </c>
      <c r="K320" s="11"/>
      <c r="L320" s="11"/>
      <c r="M320" s="17"/>
      <c r="N320" s="17"/>
    </row>
    <row r="321" customFormat="false" ht="15" hidden="false" customHeight="false" outlineLevel="0" collapsed="false">
      <c r="A321" s="6"/>
      <c r="B321" s="25" t="str">
        <f aca="false">IF(A321="","",INT((A321-PARÁMETROS!$B$6)/7)+1)</f>
        <v/>
      </c>
      <c r="C321" s="17"/>
      <c r="D321" s="17"/>
      <c r="E321" s="8"/>
      <c r="F321" s="17"/>
      <c r="H321" s="6"/>
      <c r="I321" s="17"/>
      <c r="J321" s="5" t="str">
        <f aca="false">IF(I321="","",INDEX(PARÁMETROS!$B$70:$B$89,MATCH(I321,PARÁMETROS!$A$70:$A$89,0)))</f>
        <v/>
      </c>
      <c r="K321" s="11"/>
      <c r="L321" s="11"/>
      <c r="M321" s="17"/>
      <c r="N321" s="17"/>
    </row>
    <row r="322" customFormat="false" ht="15" hidden="false" customHeight="false" outlineLevel="0" collapsed="false">
      <c r="A322" s="6"/>
      <c r="B322" s="25" t="str">
        <f aca="false">IF(A322="","",INT((A322-PARÁMETROS!$B$6)/7)+1)</f>
        <v/>
      </c>
      <c r="C322" s="17"/>
      <c r="D322" s="17"/>
      <c r="E322" s="8"/>
      <c r="F322" s="17"/>
      <c r="H322" s="6"/>
      <c r="I322" s="17"/>
      <c r="J322" s="5" t="str">
        <f aca="false">IF(I322="","",INDEX(PARÁMETROS!$B$70:$B$89,MATCH(I322,PARÁMETROS!$A$70:$A$89,0)))</f>
        <v/>
      </c>
      <c r="K322" s="11"/>
      <c r="L322" s="11"/>
      <c r="M322" s="17"/>
      <c r="N322" s="17"/>
    </row>
    <row r="323" customFormat="false" ht="15" hidden="false" customHeight="false" outlineLevel="0" collapsed="false">
      <c r="A323" s="6"/>
      <c r="B323" s="25" t="str">
        <f aca="false">IF(A323="","",INT((A323-PARÁMETROS!$B$6)/7)+1)</f>
        <v/>
      </c>
      <c r="C323" s="17"/>
      <c r="D323" s="17"/>
      <c r="E323" s="8"/>
      <c r="F323" s="17"/>
      <c r="H323" s="6"/>
      <c r="I323" s="17"/>
      <c r="J323" s="5" t="str">
        <f aca="false">IF(I323="","",INDEX(PARÁMETROS!$B$70:$B$89,MATCH(I323,PARÁMETROS!$A$70:$A$89,0)))</f>
        <v/>
      </c>
      <c r="K323" s="11"/>
      <c r="L323" s="11"/>
      <c r="M323" s="17"/>
      <c r="N323" s="17"/>
    </row>
    <row r="324" customFormat="false" ht="15" hidden="false" customHeight="false" outlineLevel="0" collapsed="false">
      <c r="A324" s="6"/>
      <c r="B324" s="25" t="str">
        <f aca="false">IF(A324="","",INT((A324-PARÁMETROS!$B$6)/7)+1)</f>
        <v/>
      </c>
      <c r="C324" s="17"/>
      <c r="D324" s="17"/>
      <c r="E324" s="8"/>
      <c r="F324" s="17"/>
      <c r="H324" s="6"/>
      <c r="I324" s="17"/>
      <c r="J324" s="5" t="str">
        <f aca="false">IF(I324="","",INDEX(PARÁMETROS!$B$70:$B$89,MATCH(I324,PARÁMETROS!$A$70:$A$89,0)))</f>
        <v/>
      </c>
      <c r="K324" s="11"/>
      <c r="L324" s="11"/>
      <c r="M324" s="17"/>
      <c r="N324" s="17"/>
    </row>
    <row r="325" customFormat="false" ht="15" hidden="false" customHeight="false" outlineLevel="0" collapsed="false">
      <c r="A325" s="6"/>
      <c r="B325" s="25" t="str">
        <f aca="false">IF(A325="","",INT((A325-PARÁMETROS!$B$6)/7)+1)</f>
        <v/>
      </c>
      <c r="C325" s="17"/>
      <c r="D325" s="17"/>
      <c r="E325" s="8"/>
      <c r="F325" s="17"/>
      <c r="H325" s="6"/>
      <c r="I325" s="17"/>
      <c r="J325" s="5" t="str">
        <f aca="false">IF(I325="","",INDEX(PARÁMETROS!$B$70:$B$89,MATCH(I325,PARÁMETROS!$A$70:$A$89,0)))</f>
        <v/>
      </c>
      <c r="K325" s="11"/>
      <c r="L325" s="11"/>
      <c r="M325" s="17"/>
      <c r="N325" s="17"/>
    </row>
    <row r="326" customFormat="false" ht="15" hidden="false" customHeight="false" outlineLevel="0" collapsed="false">
      <c r="A326" s="6"/>
      <c r="B326" s="25" t="str">
        <f aca="false">IF(A326="","",INT((A326-PARÁMETROS!$B$6)/7)+1)</f>
        <v/>
      </c>
      <c r="C326" s="17"/>
      <c r="D326" s="17"/>
      <c r="E326" s="8"/>
      <c r="F326" s="17"/>
      <c r="H326" s="6"/>
      <c r="I326" s="17"/>
      <c r="J326" s="5" t="str">
        <f aca="false">IF(I326="","",INDEX(PARÁMETROS!$B$70:$B$89,MATCH(I326,PARÁMETROS!$A$70:$A$89,0)))</f>
        <v/>
      </c>
      <c r="K326" s="11"/>
      <c r="L326" s="11"/>
      <c r="M326" s="17"/>
      <c r="N326" s="17"/>
    </row>
    <row r="327" customFormat="false" ht="15" hidden="false" customHeight="false" outlineLevel="0" collapsed="false">
      <c r="A327" s="6"/>
      <c r="B327" s="25" t="str">
        <f aca="false">IF(A327="","",INT((A327-PARÁMETROS!$B$6)/7)+1)</f>
        <v/>
      </c>
      <c r="C327" s="17"/>
      <c r="D327" s="17"/>
      <c r="E327" s="8"/>
      <c r="F327" s="17"/>
      <c r="H327" s="6"/>
      <c r="I327" s="17"/>
      <c r="J327" s="5" t="str">
        <f aca="false">IF(I327="","",INDEX(PARÁMETROS!$B$70:$B$89,MATCH(I327,PARÁMETROS!$A$70:$A$89,0)))</f>
        <v/>
      </c>
      <c r="K327" s="11"/>
      <c r="L327" s="11"/>
      <c r="M327" s="17"/>
      <c r="N327" s="17"/>
    </row>
    <row r="328" customFormat="false" ht="15" hidden="false" customHeight="false" outlineLevel="0" collapsed="false">
      <c r="A328" s="6"/>
      <c r="B328" s="25" t="str">
        <f aca="false">IF(A328="","",INT((A328-PARÁMETROS!$B$6)/7)+1)</f>
        <v/>
      </c>
      <c r="C328" s="17"/>
      <c r="D328" s="17"/>
      <c r="E328" s="8"/>
      <c r="F328" s="17"/>
      <c r="H328" s="6"/>
      <c r="I328" s="17"/>
      <c r="J328" s="5" t="str">
        <f aca="false">IF(I328="","",INDEX(PARÁMETROS!$B$70:$B$89,MATCH(I328,PARÁMETROS!$A$70:$A$89,0)))</f>
        <v/>
      </c>
      <c r="K328" s="11"/>
      <c r="L328" s="11"/>
      <c r="M328" s="17"/>
      <c r="N328" s="17"/>
    </row>
    <row r="329" customFormat="false" ht="15" hidden="false" customHeight="false" outlineLevel="0" collapsed="false">
      <c r="A329" s="6"/>
      <c r="B329" s="25" t="str">
        <f aca="false">IF(A329="","",INT((A329-PARÁMETROS!$B$6)/7)+1)</f>
        <v/>
      </c>
      <c r="C329" s="17"/>
      <c r="D329" s="17"/>
      <c r="E329" s="8"/>
      <c r="F329" s="17"/>
      <c r="H329" s="6"/>
      <c r="I329" s="17"/>
      <c r="J329" s="5" t="str">
        <f aca="false">IF(I329="","",INDEX(PARÁMETROS!$B$70:$B$89,MATCH(I329,PARÁMETROS!$A$70:$A$89,0)))</f>
        <v/>
      </c>
      <c r="K329" s="11"/>
      <c r="L329" s="11"/>
      <c r="M329" s="17"/>
      <c r="N329" s="17"/>
    </row>
    <row r="330" customFormat="false" ht="15" hidden="false" customHeight="false" outlineLevel="0" collapsed="false">
      <c r="A330" s="6"/>
      <c r="B330" s="25" t="str">
        <f aca="false">IF(A330="","",INT((A330-PARÁMETROS!$B$6)/7)+1)</f>
        <v/>
      </c>
      <c r="C330" s="17"/>
      <c r="D330" s="17"/>
      <c r="E330" s="8"/>
      <c r="F330" s="17"/>
      <c r="H330" s="6"/>
      <c r="I330" s="17"/>
      <c r="J330" s="5" t="str">
        <f aca="false">IF(I330="","",INDEX(PARÁMETROS!$B$70:$B$89,MATCH(I330,PARÁMETROS!$A$70:$A$89,0)))</f>
        <v/>
      </c>
      <c r="K330" s="11"/>
      <c r="L330" s="11"/>
      <c r="M330" s="17"/>
      <c r="N330" s="17"/>
    </row>
    <row r="331" customFormat="false" ht="15" hidden="false" customHeight="false" outlineLevel="0" collapsed="false">
      <c r="A331" s="6"/>
      <c r="B331" s="25" t="str">
        <f aca="false">IF(A331="","",INT((A331-PARÁMETROS!$B$6)/7)+1)</f>
        <v/>
      </c>
      <c r="C331" s="17"/>
      <c r="D331" s="17"/>
      <c r="E331" s="8"/>
      <c r="F331" s="17"/>
      <c r="H331" s="6"/>
      <c r="I331" s="17"/>
      <c r="J331" s="5" t="str">
        <f aca="false">IF(I331="","",INDEX(PARÁMETROS!$B$70:$B$89,MATCH(I331,PARÁMETROS!$A$70:$A$89,0)))</f>
        <v/>
      </c>
      <c r="K331" s="11"/>
      <c r="L331" s="11"/>
      <c r="M331" s="17"/>
      <c r="N331" s="17"/>
    </row>
    <row r="332" customFormat="false" ht="15" hidden="false" customHeight="false" outlineLevel="0" collapsed="false">
      <c r="A332" s="6"/>
      <c r="B332" s="25" t="str">
        <f aca="false">IF(A332="","",INT((A332-PARÁMETROS!$B$6)/7)+1)</f>
        <v/>
      </c>
      <c r="C332" s="17"/>
      <c r="D332" s="17"/>
      <c r="E332" s="8"/>
      <c r="F332" s="17"/>
      <c r="H332" s="6"/>
      <c r="I332" s="17"/>
      <c r="J332" s="5" t="str">
        <f aca="false">IF(I332="","",INDEX(PARÁMETROS!$B$70:$B$89,MATCH(I332,PARÁMETROS!$A$70:$A$89,0)))</f>
        <v/>
      </c>
      <c r="K332" s="11"/>
      <c r="L332" s="11"/>
      <c r="M332" s="17"/>
      <c r="N332" s="17"/>
    </row>
    <row r="333" customFormat="false" ht="15" hidden="false" customHeight="false" outlineLevel="0" collapsed="false">
      <c r="A333" s="6"/>
      <c r="B333" s="25" t="str">
        <f aca="false">IF(A333="","",INT((A333-PARÁMETROS!$B$6)/7)+1)</f>
        <v/>
      </c>
      <c r="C333" s="17"/>
      <c r="D333" s="17"/>
      <c r="E333" s="8"/>
      <c r="F333" s="17"/>
      <c r="H333" s="6"/>
      <c r="I333" s="17"/>
      <c r="J333" s="5" t="str">
        <f aca="false">IF(I333="","",INDEX(PARÁMETROS!$B$70:$B$89,MATCH(I333,PARÁMETROS!$A$70:$A$89,0)))</f>
        <v/>
      </c>
      <c r="K333" s="11"/>
      <c r="L333" s="11"/>
      <c r="M333" s="17"/>
      <c r="N333" s="17"/>
    </row>
    <row r="334" customFormat="false" ht="15" hidden="false" customHeight="false" outlineLevel="0" collapsed="false">
      <c r="A334" s="6"/>
      <c r="B334" s="25" t="str">
        <f aca="false">IF(A334="","",INT((A334-PARÁMETROS!$B$6)/7)+1)</f>
        <v/>
      </c>
      <c r="C334" s="17"/>
      <c r="D334" s="17"/>
      <c r="E334" s="8"/>
      <c r="F334" s="17"/>
      <c r="H334" s="6"/>
      <c r="I334" s="17"/>
      <c r="J334" s="5" t="str">
        <f aca="false">IF(I334="","",INDEX(PARÁMETROS!$B$70:$B$89,MATCH(I334,PARÁMETROS!$A$70:$A$89,0)))</f>
        <v/>
      </c>
      <c r="K334" s="11"/>
      <c r="L334" s="11"/>
      <c r="M334" s="17"/>
      <c r="N334" s="17"/>
    </row>
    <row r="335" customFormat="false" ht="15" hidden="false" customHeight="false" outlineLevel="0" collapsed="false">
      <c r="A335" s="6"/>
      <c r="B335" s="25" t="str">
        <f aca="false">IF(A335="","",INT((A335-PARÁMETROS!$B$6)/7)+1)</f>
        <v/>
      </c>
      <c r="C335" s="17"/>
      <c r="D335" s="17"/>
      <c r="E335" s="8"/>
      <c r="F335" s="17"/>
      <c r="H335" s="6"/>
      <c r="I335" s="17"/>
      <c r="J335" s="5" t="str">
        <f aca="false">IF(I335="","",INDEX(PARÁMETROS!$B$70:$B$89,MATCH(I335,PARÁMETROS!$A$70:$A$89,0)))</f>
        <v/>
      </c>
      <c r="K335" s="11"/>
      <c r="L335" s="11"/>
      <c r="M335" s="17"/>
      <c r="N335" s="17"/>
    </row>
    <row r="336" customFormat="false" ht="15" hidden="false" customHeight="false" outlineLevel="0" collapsed="false">
      <c r="A336" s="6"/>
      <c r="B336" s="25" t="str">
        <f aca="false">IF(A336="","",INT((A336-PARÁMETROS!$B$6)/7)+1)</f>
        <v/>
      </c>
      <c r="C336" s="17"/>
      <c r="D336" s="17"/>
      <c r="E336" s="8"/>
      <c r="F336" s="17"/>
      <c r="H336" s="6"/>
      <c r="I336" s="17"/>
      <c r="J336" s="5" t="str">
        <f aca="false">IF(I336="","",INDEX(PARÁMETROS!$B$70:$B$89,MATCH(I336,PARÁMETROS!$A$70:$A$89,0)))</f>
        <v/>
      </c>
      <c r="K336" s="11"/>
      <c r="L336" s="11"/>
      <c r="M336" s="17"/>
      <c r="N336" s="17"/>
    </row>
    <row r="337" customFormat="false" ht="15" hidden="false" customHeight="false" outlineLevel="0" collapsed="false">
      <c r="A337" s="6"/>
      <c r="B337" s="25" t="str">
        <f aca="false">IF(A337="","",INT((A337-PARÁMETROS!$B$6)/7)+1)</f>
        <v/>
      </c>
      <c r="C337" s="17"/>
      <c r="D337" s="17"/>
      <c r="E337" s="8"/>
      <c r="F337" s="17"/>
      <c r="H337" s="6"/>
      <c r="I337" s="17"/>
      <c r="J337" s="5" t="str">
        <f aca="false">IF(I337="","",INDEX(PARÁMETROS!$B$70:$B$89,MATCH(I337,PARÁMETROS!$A$70:$A$89,0)))</f>
        <v/>
      </c>
      <c r="K337" s="11"/>
      <c r="L337" s="11"/>
      <c r="M337" s="17"/>
      <c r="N337" s="17"/>
    </row>
    <row r="338" customFormat="false" ht="15" hidden="false" customHeight="false" outlineLevel="0" collapsed="false">
      <c r="A338" s="6"/>
      <c r="B338" s="25" t="str">
        <f aca="false">IF(A338="","",INT((A338-PARÁMETROS!$B$6)/7)+1)</f>
        <v/>
      </c>
      <c r="C338" s="17"/>
      <c r="D338" s="17"/>
      <c r="E338" s="8"/>
      <c r="F338" s="17"/>
      <c r="H338" s="6"/>
      <c r="I338" s="17"/>
      <c r="J338" s="5" t="str">
        <f aca="false">IF(I338="","",INDEX(PARÁMETROS!$B$70:$B$89,MATCH(I338,PARÁMETROS!$A$70:$A$89,0)))</f>
        <v/>
      </c>
      <c r="K338" s="11"/>
      <c r="L338" s="11"/>
      <c r="M338" s="17"/>
      <c r="N338" s="17"/>
    </row>
    <row r="339" customFormat="false" ht="15" hidden="false" customHeight="false" outlineLevel="0" collapsed="false">
      <c r="A339" s="6"/>
      <c r="B339" s="25" t="str">
        <f aca="false">IF(A339="","",INT((A339-PARÁMETROS!$B$6)/7)+1)</f>
        <v/>
      </c>
      <c r="C339" s="17"/>
      <c r="D339" s="17"/>
      <c r="E339" s="8"/>
      <c r="F339" s="17"/>
      <c r="H339" s="6"/>
      <c r="I339" s="17"/>
      <c r="J339" s="5" t="str">
        <f aca="false">IF(I339="","",INDEX(PARÁMETROS!$B$70:$B$89,MATCH(I339,PARÁMETROS!$A$70:$A$89,0)))</f>
        <v/>
      </c>
      <c r="K339" s="11"/>
      <c r="L339" s="11"/>
      <c r="M339" s="17"/>
      <c r="N339" s="17"/>
    </row>
    <row r="340" customFormat="false" ht="15" hidden="false" customHeight="false" outlineLevel="0" collapsed="false">
      <c r="A340" s="6"/>
      <c r="B340" s="25" t="str">
        <f aca="false">IF(A340="","",INT((A340-PARÁMETROS!$B$6)/7)+1)</f>
        <v/>
      </c>
      <c r="C340" s="17"/>
      <c r="D340" s="17"/>
      <c r="E340" s="8"/>
      <c r="F340" s="17"/>
      <c r="H340" s="6"/>
      <c r="I340" s="17"/>
      <c r="J340" s="5" t="str">
        <f aca="false">IF(I340="","",INDEX(PARÁMETROS!$B$70:$B$89,MATCH(I340,PARÁMETROS!$A$70:$A$89,0)))</f>
        <v/>
      </c>
      <c r="K340" s="11"/>
      <c r="L340" s="11"/>
      <c r="M340" s="17"/>
      <c r="N340" s="17"/>
    </row>
    <row r="341" customFormat="false" ht="15" hidden="false" customHeight="false" outlineLevel="0" collapsed="false">
      <c r="A341" s="6"/>
      <c r="B341" s="25" t="str">
        <f aca="false">IF(A341="","",INT((A341-PARÁMETROS!$B$6)/7)+1)</f>
        <v/>
      </c>
      <c r="C341" s="17"/>
      <c r="D341" s="17"/>
      <c r="E341" s="8"/>
      <c r="F341" s="17"/>
      <c r="H341" s="6"/>
      <c r="I341" s="17"/>
      <c r="J341" s="5" t="str">
        <f aca="false">IF(I341="","",INDEX(PARÁMETROS!$B$70:$B$89,MATCH(I341,PARÁMETROS!$A$70:$A$89,0)))</f>
        <v/>
      </c>
      <c r="K341" s="11"/>
      <c r="L341" s="11"/>
      <c r="M341" s="17"/>
      <c r="N341" s="17"/>
    </row>
    <row r="342" customFormat="false" ht="15" hidden="false" customHeight="false" outlineLevel="0" collapsed="false">
      <c r="A342" s="6"/>
      <c r="B342" s="25" t="str">
        <f aca="false">IF(A342="","",INT((A342-PARÁMETROS!$B$6)/7)+1)</f>
        <v/>
      </c>
      <c r="C342" s="17"/>
      <c r="D342" s="17"/>
      <c r="E342" s="8"/>
      <c r="F342" s="17"/>
      <c r="H342" s="6"/>
      <c r="I342" s="17"/>
      <c r="J342" s="5" t="str">
        <f aca="false">IF(I342="","",INDEX(PARÁMETROS!$B$70:$B$89,MATCH(I342,PARÁMETROS!$A$70:$A$89,0)))</f>
        <v/>
      </c>
      <c r="K342" s="11"/>
      <c r="L342" s="11"/>
      <c r="M342" s="17"/>
      <c r="N342" s="17"/>
    </row>
    <row r="343" customFormat="false" ht="15" hidden="false" customHeight="false" outlineLevel="0" collapsed="false">
      <c r="A343" s="6"/>
      <c r="B343" s="25" t="str">
        <f aca="false">IF(A343="","",INT((A343-PARÁMETROS!$B$6)/7)+1)</f>
        <v/>
      </c>
      <c r="C343" s="17"/>
      <c r="D343" s="17"/>
      <c r="E343" s="8"/>
      <c r="F343" s="17"/>
      <c r="H343" s="6"/>
      <c r="I343" s="17"/>
      <c r="J343" s="5" t="str">
        <f aca="false">IF(I343="","",INDEX(PARÁMETROS!$B$70:$B$89,MATCH(I343,PARÁMETROS!$A$70:$A$89,0)))</f>
        <v/>
      </c>
      <c r="K343" s="11"/>
      <c r="L343" s="11"/>
      <c r="M343" s="17"/>
      <c r="N343" s="17"/>
    </row>
    <row r="344" customFormat="false" ht="15" hidden="false" customHeight="false" outlineLevel="0" collapsed="false">
      <c r="A344" s="6"/>
      <c r="B344" s="25" t="str">
        <f aca="false">IF(A344="","",INT((A344-PARÁMETROS!$B$6)/7)+1)</f>
        <v/>
      </c>
      <c r="C344" s="17"/>
      <c r="D344" s="17"/>
      <c r="E344" s="8"/>
      <c r="F344" s="17"/>
      <c r="H344" s="6"/>
      <c r="I344" s="17"/>
      <c r="J344" s="5" t="str">
        <f aca="false">IF(I344="","",INDEX(PARÁMETROS!$B$70:$B$89,MATCH(I344,PARÁMETROS!$A$70:$A$89,0)))</f>
        <v/>
      </c>
      <c r="K344" s="11"/>
      <c r="L344" s="11"/>
      <c r="M344" s="17"/>
      <c r="N344" s="17"/>
    </row>
    <row r="345" customFormat="false" ht="15" hidden="false" customHeight="false" outlineLevel="0" collapsed="false">
      <c r="A345" s="6"/>
      <c r="B345" s="25" t="str">
        <f aca="false">IF(A345="","",INT((A345-PARÁMETROS!$B$6)/7)+1)</f>
        <v/>
      </c>
      <c r="C345" s="17"/>
      <c r="D345" s="17"/>
      <c r="E345" s="8"/>
      <c r="F345" s="17"/>
      <c r="H345" s="6"/>
      <c r="I345" s="17"/>
      <c r="J345" s="5" t="str">
        <f aca="false">IF(I345="","",INDEX(PARÁMETROS!$B$70:$B$89,MATCH(I345,PARÁMETROS!$A$70:$A$89,0)))</f>
        <v/>
      </c>
      <c r="K345" s="11"/>
      <c r="L345" s="11"/>
      <c r="M345" s="17"/>
      <c r="N345" s="17"/>
    </row>
    <row r="346" customFormat="false" ht="15" hidden="false" customHeight="false" outlineLevel="0" collapsed="false">
      <c r="A346" s="6"/>
      <c r="B346" s="25" t="str">
        <f aca="false">IF(A346="","",INT((A346-PARÁMETROS!$B$6)/7)+1)</f>
        <v/>
      </c>
      <c r="C346" s="17"/>
      <c r="D346" s="17"/>
      <c r="E346" s="8"/>
      <c r="F346" s="17"/>
      <c r="H346" s="6"/>
      <c r="I346" s="17"/>
      <c r="J346" s="5" t="str">
        <f aca="false">IF(I346="","",INDEX(PARÁMETROS!$B$70:$B$89,MATCH(I346,PARÁMETROS!$A$70:$A$89,0)))</f>
        <v/>
      </c>
      <c r="K346" s="11"/>
      <c r="L346" s="11"/>
      <c r="M346" s="17"/>
      <c r="N346" s="17"/>
    </row>
    <row r="347" customFormat="false" ht="15" hidden="false" customHeight="false" outlineLevel="0" collapsed="false">
      <c r="A347" s="6"/>
      <c r="B347" s="25" t="str">
        <f aca="false">IF(A347="","",INT((A347-PARÁMETROS!$B$6)/7)+1)</f>
        <v/>
      </c>
      <c r="C347" s="17"/>
      <c r="D347" s="17"/>
      <c r="E347" s="8"/>
      <c r="F347" s="17"/>
      <c r="H347" s="6"/>
      <c r="I347" s="17"/>
      <c r="J347" s="5" t="str">
        <f aca="false">IF(I347="","",INDEX(PARÁMETROS!$B$70:$B$89,MATCH(I347,PARÁMETROS!$A$70:$A$89,0)))</f>
        <v/>
      </c>
      <c r="K347" s="11"/>
      <c r="L347" s="11"/>
      <c r="M347" s="17"/>
      <c r="N347" s="17"/>
    </row>
    <row r="348" customFormat="false" ht="15" hidden="false" customHeight="false" outlineLevel="0" collapsed="false">
      <c r="A348" s="6"/>
      <c r="B348" s="25" t="str">
        <f aca="false">IF(A348="","",INT((A348-PARÁMETROS!$B$6)/7)+1)</f>
        <v/>
      </c>
      <c r="C348" s="17"/>
      <c r="D348" s="17"/>
      <c r="E348" s="8"/>
      <c r="F348" s="17"/>
      <c r="H348" s="6"/>
      <c r="I348" s="17"/>
      <c r="J348" s="5" t="str">
        <f aca="false">IF(I348="","",INDEX(PARÁMETROS!$B$70:$B$89,MATCH(I348,PARÁMETROS!$A$70:$A$89,0)))</f>
        <v/>
      </c>
      <c r="K348" s="11"/>
      <c r="L348" s="11"/>
      <c r="M348" s="17"/>
      <c r="N348" s="17"/>
    </row>
    <row r="349" customFormat="false" ht="15" hidden="false" customHeight="false" outlineLevel="0" collapsed="false">
      <c r="A349" s="6"/>
      <c r="B349" s="25" t="str">
        <f aca="false">IF(A349="","",INT((A349-PARÁMETROS!$B$6)/7)+1)</f>
        <v/>
      </c>
      <c r="C349" s="17"/>
      <c r="D349" s="17"/>
      <c r="E349" s="8"/>
      <c r="F349" s="17"/>
      <c r="H349" s="6"/>
      <c r="I349" s="17"/>
      <c r="J349" s="5" t="str">
        <f aca="false">IF(I349="","",INDEX(PARÁMETROS!$B$70:$B$89,MATCH(I349,PARÁMETROS!$A$70:$A$89,0)))</f>
        <v/>
      </c>
      <c r="K349" s="11"/>
      <c r="L349" s="11"/>
      <c r="M349" s="17"/>
      <c r="N349" s="17"/>
    </row>
    <row r="350" customFormat="false" ht="15" hidden="false" customHeight="false" outlineLevel="0" collapsed="false">
      <c r="A350" s="6"/>
      <c r="B350" s="25" t="str">
        <f aca="false">IF(A350="","",INT((A350-PARÁMETROS!$B$6)/7)+1)</f>
        <v/>
      </c>
      <c r="C350" s="17"/>
      <c r="D350" s="17"/>
      <c r="E350" s="8"/>
      <c r="F350" s="17"/>
      <c r="H350" s="6"/>
      <c r="I350" s="17"/>
      <c r="J350" s="5" t="str">
        <f aca="false">IF(I350="","",INDEX(PARÁMETROS!$B$70:$B$89,MATCH(I350,PARÁMETROS!$A$70:$A$89,0)))</f>
        <v/>
      </c>
      <c r="K350" s="11"/>
      <c r="L350" s="11"/>
      <c r="M350" s="17"/>
      <c r="N350" s="17"/>
    </row>
    <row r="351" customFormat="false" ht="15" hidden="false" customHeight="false" outlineLevel="0" collapsed="false">
      <c r="A351" s="6"/>
      <c r="B351" s="25" t="str">
        <f aca="false">IF(A351="","",INT((A351-PARÁMETROS!$B$6)/7)+1)</f>
        <v/>
      </c>
      <c r="C351" s="17"/>
      <c r="D351" s="17"/>
      <c r="E351" s="8"/>
      <c r="F351" s="17"/>
      <c r="H351" s="6"/>
      <c r="I351" s="17"/>
      <c r="J351" s="5" t="str">
        <f aca="false">IF(I351="","",INDEX(PARÁMETROS!$B$70:$B$89,MATCH(I351,PARÁMETROS!$A$70:$A$89,0)))</f>
        <v/>
      </c>
      <c r="K351" s="11"/>
      <c r="L351" s="11"/>
      <c r="M351" s="17"/>
      <c r="N351" s="17"/>
    </row>
    <row r="352" customFormat="false" ht="15" hidden="false" customHeight="false" outlineLevel="0" collapsed="false">
      <c r="A352" s="6"/>
      <c r="B352" s="25" t="str">
        <f aca="false">IF(A352="","",INT((A352-PARÁMETROS!$B$6)/7)+1)</f>
        <v/>
      </c>
      <c r="C352" s="17"/>
      <c r="D352" s="17"/>
      <c r="E352" s="8"/>
      <c r="F352" s="17"/>
      <c r="H352" s="6"/>
      <c r="I352" s="17"/>
      <c r="J352" s="5" t="str">
        <f aca="false">IF(I352="","",INDEX(PARÁMETROS!$B$70:$B$89,MATCH(I352,PARÁMETROS!$A$70:$A$89,0)))</f>
        <v/>
      </c>
      <c r="K352" s="11"/>
      <c r="L352" s="11"/>
      <c r="M352" s="17"/>
      <c r="N352" s="17"/>
    </row>
    <row r="353" customFormat="false" ht="15" hidden="false" customHeight="false" outlineLevel="0" collapsed="false">
      <c r="A353" s="6"/>
      <c r="B353" s="25" t="str">
        <f aca="false">IF(A353="","",INT((A353-PARÁMETROS!$B$6)/7)+1)</f>
        <v/>
      </c>
      <c r="C353" s="17"/>
      <c r="D353" s="17"/>
      <c r="E353" s="8"/>
      <c r="F353" s="17"/>
      <c r="H353" s="6"/>
      <c r="I353" s="17"/>
      <c r="J353" s="5" t="str">
        <f aca="false">IF(I353="","",INDEX(PARÁMETROS!$B$70:$B$89,MATCH(I353,PARÁMETROS!$A$70:$A$89,0)))</f>
        <v/>
      </c>
      <c r="K353" s="11"/>
      <c r="L353" s="11"/>
      <c r="M353" s="17"/>
      <c r="N353" s="17"/>
    </row>
    <row r="354" customFormat="false" ht="15" hidden="false" customHeight="false" outlineLevel="0" collapsed="false">
      <c r="A354" s="6"/>
      <c r="B354" s="25" t="str">
        <f aca="false">IF(A354="","",INT((A354-PARÁMETROS!$B$6)/7)+1)</f>
        <v/>
      </c>
      <c r="C354" s="17"/>
      <c r="D354" s="17"/>
      <c r="E354" s="8"/>
      <c r="F354" s="17"/>
      <c r="H354" s="6"/>
      <c r="I354" s="17"/>
      <c r="J354" s="5" t="str">
        <f aca="false">IF(I354="","",INDEX(PARÁMETROS!$B$70:$B$89,MATCH(I354,PARÁMETROS!$A$70:$A$89,0)))</f>
        <v/>
      </c>
      <c r="K354" s="11"/>
      <c r="L354" s="11"/>
      <c r="M354" s="17"/>
      <c r="N354" s="17"/>
    </row>
    <row r="355" customFormat="false" ht="15" hidden="false" customHeight="false" outlineLevel="0" collapsed="false">
      <c r="A355" s="6"/>
      <c r="B355" s="25" t="str">
        <f aca="false">IF(A355="","",INT((A355-PARÁMETROS!$B$6)/7)+1)</f>
        <v/>
      </c>
      <c r="C355" s="17"/>
      <c r="D355" s="17"/>
      <c r="E355" s="8"/>
      <c r="F355" s="17"/>
      <c r="H355" s="6"/>
      <c r="I355" s="17"/>
      <c r="J355" s="5" t="str">
        <f aca="false">IF(I355="","",INDEX(PARÁMETROS!$B$70:$B$89,MATCH(I355,PARÁMETROS!$A$70:$A$89,0)))</f>
        <v/>
      </c>
      <c r="K355" s="11"/>
      <c r="L355" s="11"/>
      <c r="M355" s="17"/>
      <c r="N355" s="17"/>
    </row>
    <row r="356" customFormat="false" ht="15" hidden="false" customHeight="false" outlineLevel="0" collapsed="false">
      <c r="A356" s="6"/>
      <c r="B356" s="25" t="str">
        <f aca="false">IF(A356="","",INT((A356-PARÁMETROS!$B$6)/7)+1)</f>
        <v/>
      </c>
      <c r="C356" s="17"/>
      <c r="D356" s="17"/>
      <c r="E356" s="8"/>
      <c r="F356" s="17"/>
      <c r="H356" s="6"/>
      <c r="I356" s="17"/>
      <c r="J356" s="5" t="str">
        <f aca="false">IF(I356="","",INDEX(PARÁMETROS!$B$70:$B$89,MATCH(I356,PARÁMETROS!$A$70:$A$89,0)))</f>
        <v/>
      </c>
      <c r="K356" s="11"/>
      <c r="L356" s="11"/>
      <c r="M356" s="17"/>
      <c r="N356" s="17"/>
    </row>
    <row r="357" customFormat="false" ht="15" hidden="false" customHeight="false" outlineLevel="0" collapsed="false">
      <c r="A357" s="6"/>
      <c r="B357" s="25" t="str">
        <f aca="false">IF(A357="","",INT((A357-PARÁMETROS!$B$6)/7)+1)</f>
        <v/>
      </c>
      <c r="C357" s="17"/>
      <c r="D357" s="17"/>
      <c r="E357" s="8"/>
      <c r="F357" s="17"/>
      <c r="H357" s="6"/>
      <c r="I357" s="17"/>
      <c r="J357" s="5" t="str">
        <f aca="false">IF(I357="","",INDEX(PARÁMETROS!$B$70:$B$89,MATCH(I357,PARÁMETROS!$A$70:$A$89,0)))</f>
        <v/>
      </c>
      <c r="K357" s="11"/>
      <c r="L357" s="11"/>
      <c r="M357" s="17"/>
      <c r="N357" s="17"/>
    </row>
    <row r="358" customFormat="false" ht="15" hidden="false" customHeight="false" outlineLevel="0" collapsed="false">
      <c r="A358" s="6"/>
      <c r="B358" s="25" t="str">
        <f aca="false">IF(A358="","",INT((A358-PARÁMETROS!$B$6)/7)+1)</f>
        <v/>
      </c>
      <c r="C358" s="17"/>
      <c r="D358" s="17"/>
      <c r="E358" s="8"/>
      <c r="F358" s="17"/>
      <c r="H358" s="6"/>
      <c r="I358" s="17"/>
      <c r="J358" s="5" t="str">
        <f aca="false">IF(I358="","",INDEX(PARÁMETROS!$B$70:$B$89,MATCH(I358,PARÁMETROS!$A$70:$A$89,0)))</f>
        <v/>
      </c>
      <c r="K358" s="11"/>
      <c r="L358" s="11"/>
      <c r="M358" s="17"/>
      <c r="N358" s="17"/>
    </row>
    <row r="359" customFormat="false" ht="15" hidden="false" customHeight="false" outlineLevel="0" collapsed="false">
      <c r="A359" s="6"/>
      <c r="B359" s="25" t="str">
        <f aca="false">IF(A359="","",INT((A359-PARÁMETROS!$B$6)/7)+1)</f>
        <v/>
      </c>
      <c r="C359" s="17"/>
      <c r="D359" s="17"/>
      <c r="E359" s="8"/>
      <c r="F359" s="17"/>
      <c r="H359" s="6"/>
      <c r="I359" s="17"/>
      <c r="J359" s="5" t="str">
        <f aca="false">IF(I359="","",INDEX(PARÁMETROS!$B$70:$B$89,MATCH(I359,PARÁMETROS!$A$70:$A$89,0)))</f>
        <v/>
      </c>
      <c r="K359" s="11"/>
      <c r="L359" s="11"/>
      <c r="M359" s="17"/>
      <c r="N359" s="17"/>
    </row>
    <row r="360" customFormat="false" ht="15" hidden="false" customHeight="false" outlineLevel="0" collapsed="false">
      <c r="A360" s="6"/>
      <c r="B360" s="25" t="str">
        <f aca="false">IF(A360="","",INT((A360-PARÁMETROS!$B$6)/7)+1)</f>
        <v/>
      </c>
      <c r="C360" s="17"/>
      <c r="D360" s="17"/>
      <c r="E360" s="8"/>
      <c r="F360" s="17"/>
      <c r="H360" s="6"/>
      <c r="I360" s="17"/>
      <c r="J360" s="5" t="str">
        <f aca="false">IF(I360="","",INDEX(PARÁMETROS!$B$70:$B$89,MATCH(I360,PARÁMETROS!$A$70:$A$89,0)))</f>
        <v/>
      </c>
      <c r="K360" s="11"/>
      <c r="L360" s="11"/>
      <c r="M360" s="17"/>
      <c r="N360" s="17"/>
    </row>
    <row r="361" customFormat="false" ht="15" hidden="false" customHeight="false" outlineLevel="0" collapsed="false">
      <c r="A361" s="6"/>
      <c r="B361" s="25" t="str">
        <f aca="false">IF(A361="","",INT((A361-PARÁMETROS!$B$6)/7)+1)</f>
        <v/>
      </c>
      <c r="C361" s="17"/>
      <c r="D361" s="17"/>
      <c r="E361" s="8"/>
      <c r="F361" s="17"/>
      <c r="H361" s="6"/>
      <c r="I361" s="17"/>
      <c r="J361" s="5" t="str">
        <f aca="false">IF(I361="","",INDEX(PARÁMETROS!$B$70:$B$89,MATCH(I361,PARÁMETROS!$A$70:$A$89,0)))</f>
        <v/>
      </c>
      <c r="K361" s="11"/>
      <c r="L361" s="11"/>
      <c r="M361" s="17"/>
      <c r="N361" s="17"/>
    </row>
    <row r="362" customFormat="false" ht="15" hidden="false" customHeight="false" outlineLevel="0" collapsed="false">
      <c r="A362" s="6"/>
      <c r="B362" s="25" t="str">
        <f aca="false">IF(A362="","",INT((A362-PARÁMETROS!$B$6)/7)+1)</f>
        <v/>
      </c>
      <c r="C362" s="17"/>
      <c r="D362" s="17"/>
      <c r="E362" s="8"/>
      <c r="F362" s="17"/>
      <c r="H362" s="6"/>
      <c r="I362" s="17"/>
      <c r="J362" s="5" t="str">
        <f aca="false">IF(I362="","",INDEX(PARÁMETROS!$B$70:$B$89,MATCH(I362,PARÁMETROS!$A$70:$A$89,0)))</f>
        <v/>
      </c>
      <c r="K362" s="11"/>
      <c r="L362" s="11"/>
      <c r="M362" s="17"/>
      <c r="N362" s="17"/>
    </row>
    <row r="363" customFormat="false" ht="15" hidden="false" customHeight="false" outlineLevel="0" collapsed="false">
      <c r="A363" s="6"/>
      <c r="B363" s="25" t="str">
        <f aca="false">IF(A363="","",INT((A363-PARÁMETROS!$B$6)/7)+1)</f>
        <v/>
      </c>
      <c r="C363" s="17"/>
      <c r="D363" s="17"/>
      <c r="E363" s="8"/>
      <c r="F363" s="17"/>
      <c r="H363" s="6"/>
      <c r="I363" s="17"/>
      <c r="J363" s="5" t="str">
        <f aca="false">IF(I363="","",INDEX(PARÁMETROS!$B$70:$B$89,MATCH(I363,PARÁMETROS!$A$70:$A$89,0)))</f>
        <v/>
      </c>
      <c r="K363" s="11"/>
      <c r="L363" s="11"/>
      <c r="M363" s="17"/>
      <c r="N363" s="17"/>
    </row>
    <row r="364" customFormat="false" ht="15" hidden="false" customHeight="false" outlineLevel="0" collapsed="false">
      <c r="A364" s="6"/>
      <c r="B364" s="25" t="str">
        <f aca="false">IF(A364="","",INT((A364-PARÁMETROS!$B$6)/7)+1)</f>
        <v/>
      </c>
      <c r="C364" s="17"/>
      <c r="D364" s="17"/>
      <c r="E364" s="8"/>
      <c r="F364" s="17"/>
      <c r="H364" s="6"/>
      <c r="I364" s="17"/>
      <c r="J364" s="5" t="str">
        <f aca="false">IF(I364="","",INDEX(PARÁMETROS!$B$70:$B$89,MATCH(I364,PARÁMETROS!$A$70:$A$89,0)))</f>
        <v/>
      </c>
      <c r="K364" s="11"/>
      <c r="L364" s="11"/>
      <c r="M364" s="17"/>
      <c r="N364" s="17"/>
    </row>
    <row r="365" customFormat="false" ht="15" hidden="false" customHeight="false" outlineLevel="0" collapsed="false">
      <c r="A365" s="6"/>
      <c r="B365" s="25" t="str">
        <f aca="false">IF(A365="","",INT((A365-PARÁMETROS!$B$6)/7)+1)</f>
        <v/>
      </c>
      <c r="C365" s="17"/>
      <c r="D365" s="17"/>
      <c r="E365" s="8"/>
      <c r="F365" s="17"/>
      <c r="H365" s="6"/>
      <c r="I365" s="17"/>
      <c r="J365" s="5" t="str">
        <f aca="false">IF(I365="","",INDEX(PARÁMETROS!$B$70:$B$89,MATCH(I365,PARÁMETROS!$A$70:$A$89,0)))</f>
        <v/>
      </c>
      <c r="K365" s="11"/>
      <c r="L365" s="11"/>
      <c r="M365" s="17"/>
      <c r="N365" s="17"/>
    </row>
    <row r="366" customFormat="false" ht="15" hidden="false" customHeight="false" outlineLevel="0" collapsed="false">
      <c r="A366" s="6"/>
      <c r="B366" s="25" t="str">
        <f aca="false">IF(A366="","",INT((A366-PARÁMETROS!$B$6)/7)+1)</f>
        <v/>
      </c>
      <c r="C366" s="17"/>
      <c r="D366" s="17"/>
      <c r="E366" s="8"/>
      <c r="F366" s="17"/>
      <c r="H366" s="6"/>
      <c r="I366" s="17"/>
      <c r="J366" s="5" t="str">
        <f aca="false">IF(I366="","",INDEX(PARÁMETROS!$B$70:$B$89,MATCH(I366,PARÁMETROS!$A$70:$A$89,0)))</f>
        <v/>
      </c>
      <c r="K366" s="11"/>
      <c r="L366" s="11"/>
      <c r="M366" s="17"/>
      <c r="N366" s="17"/>
    </row>
    <row r="367" customFormat="false" ht="15" hidden="false" customHeight="false" outlineLevel="0" collapsed="false">
      <c r="A367" s="6"/>
      <c r="B367" s="25" t="str">
        <f aca="false">IF(A367="","",INT((A367-PARÁMETROS!$B$6)/7)+1)</f>
        <v/>
      </c>
      <c r="C367" s="17"/>
      <c r="D367" s="17"/>
      <c r="E367" s="8"/>
      <c r="F367" s="17"/>
      <c r="H367" s="6"/>
      <c r="I367" s="17"/>
      <c r="J367" s="5" t="str">
        <f aca="false">IF(I367="","",INDEX(PARÁMETROS!$B$70:$B$89,MATCH(I367,PARÁMETROS!$A$70:$A$89,0)))</f>
        <v/>
      </c>
      <c r="K367" s="11"/>
      <c r="L367" s="11"/>
      <c r="M367" s="17"/>
      <c r="N367" s="17"/>
    </row>
    <row r="368" customFormat="false" ht="15" hidden="false" customHeight="false" outlineLevel="0" collapsed="false">
      <c r="A368" s="6"/>
      <c r="B368" s="25" t="str">
        <f aca="false">IF(A368="","",INT((A368-PARÁMETROS!$B$6)/7)+1)</f>
        <v/>
      </c>
      <c r="C368" s="17"/>
      <c r="D368" s="17"/>
      <c r="E368" s="8"/>
      <c r="F368" s="17"/>
      <c r="H368" s="6"/>
      <c r="I368" s="17"/>
      <c r="J368" s="5" t="str">
        <f aca="false">IF(I368="","",INDEX(PARÁMETROS!$B$70:$B$89,MATCH(I368,PARÁMETROS!$A$70:$A$89,0)))</f>
        <v/>
      </c>
      <c r="K368" s="11"/>
      <c r="L368" s="11"/>
      <c r="M368" s="17"/>
      <c r="N368" s="17"/>
    </row>
    <row r="369" customFormat="false" ht="15" hidden="false" customHeight="false" outlineLevel="0" collapsed="false">
      <c r="A369" s="6"/>
      <c r="B369" s="25" t="str">
        <f aca="false">IF(A369="","",INT((A369-PARÁMETROS!$B$6)/7)+1)</f>
        <v/>
      </c>
      <c r="C369" s="17"/>
      <c r="D369" s="17"/>
      <c r="E369" s="8"/>
      <c r="F369" s="17"/>
      <c r="H369" s="6"/>
      <c r="I369" s="17"/>
      <c r="J369" s="5" t="str">
        <f aca="false">IF(I369="","",INDEX(PARÁMETROS!$B$70:$B$89,MATCH(I369,PARÁMETROS!$A$70:$A$89,0)))</f>
        <v/>
      </c>
      <c r="K369" s="11"/>
      <c r="L369" s="11"/>
      <c r="M369" s="17"/>
      <c r="N369" s="17"/>
    </row>
    <row r="370" customFormat="false" ht="15" hidden="false" customHeight="false" outlineLevel="0" collapsed="false">
      <c r="A370" s="6"/>
      <c r="B370" s="25" t="str">
        <f aca="false">IF(A370="","",INT((A370-PARÁMETROS!$B$6)/7)+1)</f>
        <v/>
      </c>
      <c r="C370" s="17"/>
      <c r="D370" s="17"/>
      <c r="E370" s="8"/>
      <c r="F370" s="17"/>
      <c r="H370" s="6"/>
      <c r="I370" s="17"/>
      <c r="J370" s="5" t="str">
        <f aca="false">IF(I370="","",INDEX(PARÁMETROS!$B$70:$B$89,MATCH(I370,PARÁMETROS!$A$70:$A$89,0)))</f>
        <v/>
      </c>
      <c r="K370" s="11"/>
      <c r="L370" s="11"/>
      <c r="M370" s="17"/>
      <c r="N370" s="17"/>
    </row>
    <row r="371" customFormat="false" ht="15" hidden="false" customHeight="false" outlineLevel="0" collapsed="false">
      <c r="A371" s="6"/>
      <c r="B371" s="25" t="str">
        <f aca="false">IF(A371="","",INT((A371-PARÁMETROS!$B$6)/7)+1)</f>
        <v/>
      </c>
      <c r="C371" s="17"/>
      <c r="D371" s="17"/>
      <c r="E371" s="8"/>
      <c r="F371" s="17"/>
      <c r="H371" s="6"/>
      <c r="I371" s="17"/>
      <c r="J371" s="5" t="str">
        <f aca="false">IF(I371="","",INDEX(PARÁMETROS!$B$70:$B$89,MATCH(I371,PARÁMETROS!$A$70:$A$89,0)))</f>
        <v/>
      </c>
      <c r="K371" s="11"/>
      <c r="L371" s="11"/>
      <c r="M371" s="17"/>
      <c r="N371" s="17"/>
    </row>
    <row r="372" customFormat="false" ht="15" hidden="false" customHeight="false" outlineLevel="0" collapsed="false">
      <c r="A372" s="6"/>
      <c r="B372" s="25" t="str">
        <f aca="false">IF(A372="","",INT((A372-PARÁMETROS!$B$6)/7)+1)</f>
        <v/>
      </c>
      <c r="C372" s="17"/>
      <c r="D372" s="17"/>
      <c r="E372" s="8"/>
      <c r="F372" s="17"/>
      <c r="H372" s="6"/>
      <c r="I372" s="17"/>
      <c r="J372" s="5" t="str">
        <f aca="false">IF(I372="","",INDEX(PARÁMETROS!$B$70:$B$89,MATCH(I372,PARÁMETROS!$A$70:$A$89,0)))</f>
        <v/>
      </c>
      <c r="K372" s="11"/>
      <c r="L372" s="11"/>
      <c r="M372" s="17"/>
      <c r="N372" s="17"/>
    </row>
    <row r="373" customFormat="false" ht="15" hidden="false" customHeight="false" outlineLevel="0" collapsed="false">
      <c r="A373" s="6"/>
      <c r="B373" s="25" t="str">
        <f aca="false">IF(A373="","",INT((A373-PARÁMETROS!$B$6)/7)+1)</f>
        <v/>
      </c>
      <c r="C373" s="17"/>
      <c r="D373" s="17"/>
      <c r="E373" s="8"/>
      <c r="F373" s="17"/>
      <c r="H373" s="6"/>
      <c r="I373" s="17"/>
      <c r="J373" s="5" t="str">
        <f aca="false">IF(I373="","",INDEX(PARÁMETROS!$B$70:$B$89,MATCH(I373,PARÁMETROS!$A$70:$A$89,0)))</f>
        <v/>
      </c>
      <c r="K373" s="11"/>
      <c r="L373" s="11"/>
      <c r="M373" s="17"/>
      <c r="N373" s="17"/>
    </row>
    <row r="374" customFormat="false" ht="15" hidden="false" customHeight="false" outlineLevel="0" collapsed="false">
      <c r="A374" s="6"/>
      <c r="B374" s="25" t="str">
        <f aca="false">IF(A374="","",INT((A374-PARÁMETROS!$B$6)/7)+1)</f>
        <v/>
      </c>
      <c r="C374" s="17"/>
      <c r="D374" s="17"/>
      <c r="E374" s="8"/>
      <c r="F374" s="17"/>
      <c r="H374" s="6"/>
      <c r="I374" s="17"/>
      <c r="J374" s="5" t="str">
        <f aca="false">IF(I374="","",INDEX(PARÁMETROS!$B$70:$B$89,MATCH(I374,PARÁMETROS!$A$70:$A$89,0)))</f>
        <v/>
      </c>
      <c r="K374" s="11"/>
      <c r="L374" s="11"/>
      <c r="M374" s="17"/>
      <c r="N374" s="17"/>
    </row>
    <row r="375" customFormat="false" ht="15" hidden="false" customHeight="false" outlineLevel="0" collapsed="false">
      <c r="A375" s="6"/>
      <c r="B375" s="25" t="str">
        <f aca="false">IF(A375="","",INT((A375-PARÁMETROS!$B$6)/7)+1)</f>
        <v/>
      </c>
      <c r="C375" s="17"/>
      <c r="D375" s="17"/>
      <c r="E375" s="8"/>
      <c r="F375" s="17"/>
      <c r="H375" s="6"/>
      <c r="I375" s="17"/>
      <c r="J375" s="5" t="str">
        <f aca="false">IF(I375="","",INDEX(PARÁMETROS!$B$70:$B$89,MATCH(I375,PARÁMETROS!$A$70:$A$89,0)))</f>
        <v/>
      </c>
      <c r="K375" s="11"/>
      <c r="L375" s="11"/>
      <c r="M375" s="17"/>
      <c r="N375" s="17"/>
    </row>
    <row r="376" customFormat="false" ht="15" hidden="false" customHeight="false" outlineLevel="0" collapsed="false">
      <c r="A376" s="6"/>
      <c r="B376" s="25" t="str">
        <f aca="false">IF(A376="","",INT((A376-PARÁMETROS!$B$6)/7)+1)</f>
        <v/>
      </c>
      <c r="C376" s="17"/>
      <c r="D376" s="17"/>
      <c r="E376" s="8"/>
      <c r="F376" s="17"/>
      <c r="H376" s="6"/>
      <c r="I376" s="17"/>
      <c r="J376" s="5" t="str">
        <f aca="false">IF(I376="","",INDEX(PARÁMETROS!$B$70:$B$89,MATCH(I376,PARÁMETROS!$A$70:$A$89,0)))</f>
        <v/>
      </c>
      <c r="K376" s="11"/>
      <c r="L376" s="11"/>
      <c r="M376" s="17"/>
      <c r="N376" s="17"/>
    </row>
    <row r="377" customFormat="false" ht="15" hidden="false" customHeight="false" outlineLevel="0" collapsed="false">
      <c r="A377" s="6"/>
      <c r="B377" s="25" t="str">
        <f aca="false">IF(A377="","",INT((A377-PARÁMETROS!$B$6)/7)+1)</f>
        <v/>
      </c>
      <c r="C377" s="17"/>
      <c r="D377" s="17"/>
      <c r="E377" s="8"/>
      <c r="F377" s="17"/>
      <c r="H377" s="6"/>
      <c r="I377" s="17"/>
      <c r="J377" s="5" t="str">
        <f aca="false">IF(I377="","",INDEX(PARÁMETROS!$B$70:$B$89,MATCH(I377,PARÁMETROS!$A$70:$A$89,0)))</f>
        <v/>
      </c>
      <c r="K377" s="11"/>
      <c r="L377" s="11"/>
      <c r="M377" s="17"/>
      <c r="N377" s="17"/>
    </row>
    <row r="378" customFormat="false" ht="15" hidden="false" customHeight="false" outlineLevel="0" collapsed="false">
      <c r="A378" s="6"/>
      <c r="B378" s="25" t="str">
        <f aca="false">IF(A378="","",INT((A378-PARÁMETROS!$B$6)/7)+1)</f>
        <v/>
      </c>
      <c r="C378" s="17"/>
      <c r="D378" s="17"/>
      <c r="E378" s="8"/>
      <c r="F378" s="17"/>
      <c r="H378" s="6"/>
      <c r="I378" s="17"/>
      <c r="J378" s="5" t="str">
        <f aca="false">IF(I378="","",INDEX(PARÁMETROS!$B$70:$B$89,MATCH(I378,PARÁMETROS!$A$70:$A$89,0)))</f>
        <v/>
      </c>
      <c r="K378" s="11"/>
      <c r="L378" s="11"/>
      <c r="M378" s="17"/>
      <c r="N378" s="17"/>
    </row>
    <row r="379" customFormat="false" ht="15" hidden="false" customHeight="false" outlineLevel="0" collapsed="false">
      <c r="A379" s="6"/>
      <c r="B379" s="25" t="str">
        <f aca="false">IF(A379="","",INT((A379-PARÁMETROS!$B$6)/7)+1)</f>
        <v/>
      </c>
      <c r="C379" s="17"/>
      <c r="D379" s="17"/>
      <c r="E379" s="8"/>
      <c r="F379" s="17"/>
      <c r="H379" s="6"/>
      <c r="I379" s="17"/>
      <c r="J379" s="5" t="str">
        <f aca="false">IF(I379="","",INDEX(PARÁMETROS!$B$70:$B$89,MATCH(I379,PARÁMETROS!$A$70:$A$89,0)))</f>
        <v/>
      </c>
      <c r="K379" s="11"/>
      <c r="L379" s="11"/>
      <c r="M379" s="17"/>
      <c r="N379" s="17"/>
    </row>
    <row r="380" customFormat="false" ht="15" hidden="false" customHeight="false" outlineLevel="0" collapsed="false">
      <c r="A380" s="6"/>
      <c r="B380" s="25" t="str">
        <f aca="false">IF(A380="","",INT((A380-PARÁMETROS!$B$6)/7)+1)</f>
        <v/>
      </c>
      <c r="C380" s="17"/>
      <c r="D380" s="17"/>
      <c r="E380" s="8"/>
      <c r="F380" s="17"/>
      <c r="H380" s="6"/>
      <c r="I380" s="17"/>
      <c r="J380" s="5" t="str">
        <f aca="false">IF(I380="","",INDEX(PARÁMETROS!$B$70:$B$89,MATCH(I380,PARÁMETROS!$A$70:$A$89,0)))</f>
        <v/>
      </c>
      <c r="K380" s="11"/>
      <c r="L380" s="11"/>
      <c r="M380" s="17"/>
      <c r="N380" s="17"/>
    </row>
    <row r="381" customFormat="false" ht="15" hidden="false" customHeight="false" outlineLevel="0" collapsed="false">
      <c r="A381" s="6"/>
      <c r="B381" s="25" t="str">
        <f aca="false">IF(A381="","",INT((A381-PARÁMETROS!$B$6)/7)+1)</f>
        <v/>
      </c>
      <c r="C381" s="17"/>
      <c r="D381" s="17"/>
      <c r="E381" s="8"/>
      <c r="F381" s="17"/>
      <c r="H381" s="6"/>
      <c r="I381" s="17"/>
      <c r="J381" s="5" t="str">
        <f aca="false">IF(I381="","",INDEX(PARÁMETROS!$B$70:$B$89,MATCH(I381,PARÁMETROS!$A$70:$A$89,0)))</f>
        <v/>
      </c>
      <c r="K381" s="11"/>
      <c r="L381" s="11"/>
      <c r="M381" s="17"/>
      <c r="N381" s="17"/>
    </row>
    <row r="382" customFormat="false" ht="15" hidden="false" customHeight="false" outlineLevel="0" collapsed="false">
      <c r="A382" s="6"/>
      <c r="B382" s="25" t="str">
        <f aca="false">IF(A382="","",INT((A382-PARÁMETROS!$B$6)/7)+1)</f>
        <v/>
      </c>
      <c r="C382" s="17"/>
      <c r="D382" s="17"/>
      <c r="E382" s="8"/>
      <c r="F382" s="17"/>
      <c r="H382" s="6"/>
      <c r="I382" s="17"/>
      <c r="J382" s="5" t="str">
        <f aca="false">IF(I382="","",INDEX(PARÁMETROS!$B$70:$B$89,MATCH(I382,PARÁMETROS!$A$70:$A$89,0)))</f>
        <v/>
      </c>
      <c r="K382" s="11"/>
      <c r="L382" s="11"/>
      <c r="M382" s="17"/>
      <c r="N382" s="17"/>
    </row>
    <row r="383" customFormat="false" ht="15" hidden="false" customHeight="false" outlineLevel="0" collapsed="false">
      <c r="A383" s="6"/>
      <c r="B383" s="25" t="str">
        <f aca="false">IF(A383="","",INT((A383-PARÁMETROS!$B$6)/7)+1)</f>
        <v/>
      </c>
      <c r="C383" s="17"/>
      <c r="D383" s="17"/>
      <c r="E383" s="8"/>
      <c r="F383" s="17"/>
      <c r="H383" s="6"/>
      <c r="I383" s="17"/>
      <c r="J383" s="5" t="str">
        <f aca="false">IF(I383="","",INDEX(PARÁMETROS!$B$70:$B$89,MATCH(I383,PARÁMETROS!$A$70:$A$89,0)))</f>
        <v/>
      </c>
      <c r="K383" s="11"/>
      <c r="L383" s="11"/>
      <c r="M383" s="17"/>
      <c r="N383" s="17"/>
    </row>
    <row r="384" customFormat="false" ht="15" hidden="false" customHeight="false" outlineLevel="0" collapsed="false">
      <c r="A384" s="6"/>
      <c r="B384" s="25" t="str">
        <f aca="false">IF(A384="","",INT((A384-PARÁMETROS!$B$6)/7)+1)</f>
        <v/>
      </c>
      <c r="C384" s="17"/>
      <c r="D384" s="17"/>
      <c r="E384" s="8"/>
      <c r="F384" s="17"/>
      <c r="H384" s="6"/>
      <c r="I384" s="17"/>
      <c r="J384" s="5" t="str">
        <f aca="false">IF(I384="","",INDEX(PARÁMETROS!$B$70:$B$89,MATCH(I384,PARÁMETROS!$A$70:$A$89,0)))</f>
        <v/>
      </c>
      <c r="K384" s="11"/>
      <c r="L384" s="11"/>
      <c r="M384" s="17"/>
      <c r="N384" s="17"/>
    </row>
    <row r="385" customFormat="false" ht="15" hidden="false" customHeight="false" outlineLevel="0" collapsed="false">
      <c r="A385" s="6"/>
      <c r="B385" s="25" t="str">
        <f aca="false">IF(A385="","",INT((A385-PARÁMETROS!$B$6)/7)+1)</f>
        <v/>
      </c>
      <c r="C385" s="17"/>
      <c r="D385" s="17"/>
      <c r="E385" s="8"/>
      <c r="F385" s="17"/>
      <c r="H385" s="6"/>
      <c r="I385" s="17"/>
      <c r="J385" s="5" t="str">
        <f aca="false">IF(I385="","",INDEX(PARÁMETROS!$B$70:$B$89,MATCH(I385,PARÁMETROS!$A$70:$A$89,0)))</f>
        <v/>
      </c>
      <c r="K385" s="11"/>
      <c r="L385" s="11"/>
      <c r="M385" s="17"/>
      <c r="N385" s="17"/>
    </row>
    <row r="386" customFormat="false" ht="15" hidden="false" customHeight="false" outlineLevel="0" collapsed="false">
      <c r="A386" s="6"/>
      <c r="B386" s="25" t="str">
        <f aca="false">IF(A386="","",INT((A386-PARÁMETROS!$B$6)/7)+1)</f>
        <v/>
      </c>
      <c r="C386" s="17"/>
      <c r="D386" s="17"/>
      <c r="E386" s="8"/>
      <c r="F386" s="17"/>
      <c r="H386" s="6"/>
      <c r="I386" s="17"/>
      <c r="J386" s="5" t="str">
        <f aca="false">IF(I386="","",INDEX(PARÁMETROS!$B$70:$B$89,MATCH(I386,PARÁMETROS!$A$70:$A$89,0)))</f>
        <v/>
      </c>
      <c r="K386" s="11"/>
      <c r="L386" s="11"/>
      <c r="M386" s="17"/>
      <c r="N386" s="17"/>
    </row>
    <row r="387" customFormat="false" ht="15" hidden="false" customHeight="false" outlineLevel="0" collapsed="false">
      <c r="A387" s="6"/>
      <c r="B387" s="25" t="str">
        <f aca="false">IF(A387="","",INT((A387-PARÁMETROS!$B$6)/7)+1)</f>
        <v/>
      </c>
      <c r="C387" s="17"/>
      <c r="D387" s="17"/>
      <c r="E387" s="8"/>
      <c r="F387" s="17"/>
      <c r="H387" s="6"/>
      <c r="I387" s="17"/>
      <c r="J387" s="5" t="str">
        <f aca="false">IF(I387="","",INDEX(PARÁMETROS!$B$70:$B$89,MATCH(I387,PARÁMETROS!$A$70:$A$89,0)))</f>
        <v/>
      </c>
      <c r="K387" s="11"/>
      <c r="L387" s="11"/>
      <c r="M387" s="17"/>
      <c r="N387" s="17"/>
    </row>
    <row r="388" customFormat="false" ht="15" hidden="false" customHeight="false" outlineLevel="0" collapsed="false">
      <c r="A388" s="6"/>
      <c r="B388" s="25" t="str">
        <f aca="false">IF(A388="","",INT((A388-PARÁMETROS!$B$6)/7)+1)</f>
        <v/>
      </c>
      <c r="C388" s="17"/>
      <c r="D388" s="17"/>
      <c r="E388" s="8"/>
      <c r="F388" s="17"/>
      <c r="H388" s="6"/>
      <c r="I388" s="17"/>
      <c r="J388" s="5" t="str">
        <f aca="false">IF(I388="","",INDEX(PARÁMETROS!$B$70:$B$89,MATCH(I388,PARÁMETROS!$A$70:$A$89,0)))</f>
        <v/>
      </c>
      <c r="K388" s="11"/>
      <c r="L388" s="11"/>
      <c r="M388" s="17"/>
      <c r="N388" s="17"/>
    </row>
    <row r="389" customFormat="false" ht="15" hidden="false" customHeight="false" outlineLevel="0" collapsed="false">
      <c r="A389" s="6"/>
      <c r="B389" s="25" t="str">
        <f aca="false">IF(A389="","",INT((A389-PARÁMETROS!$B$6)/7)+1)</f>
        <v/>
      </c>
      <c r="C389" s="17"/>
      <c r="D389" s="17"/>
      <c r="E389" s="8"/>
      <c r="F389" s="17"/>
      <c r="H389" s="6"/>
      <c r="I389" s="17"/>
      <c r="J389" s="5" t="str">
        <f aca="false">IF(I389="","",INDEX(PARÁMETROS!$B$70:$B$89,MATCH(I389,PARÁMETROS!$A$70:$A$89,0)))</f>
        <v/>
      </c>
      <c r="K389" s="11"/>
      <c r="L389" s="11"/>
      <c r="M389" s="17"/>
      <c r="N389" s="17"/>
    </row>
    <row r="390" customFormat="false" ht="15" hidden="false" customHeight="false" outlineLevel="0" collapsed="false">
      <c r="A390" s="6"/>
      <c r="B390" s="25" t="str">
        <f aca="false">IF(A390="","",INT((A390-PARÁMETROS!$B$6)/7)+1)</f>
        <v/>
      </c>
      <c r="C390" s="17"/>
      <c r="D390" s="17"/>
      <c r="E390" s="8"/>
      <c r="F390" s="17"/>
      <c r="H390" s="6"/>
      <c r="I390" s="17"/>
      <c r="J390" s="5" t="str">
        <f aca="false">IF(I390="","",INDEX(PARÁMETROS!$B$70:$B$89,MATCH(I390,PARÁMETROS!$A$70:$A$89,0)))</f>
        <v/>
      </c>
      <c r="K390" s="11"/>
      <c r="L390" s="11"/>
      <c r="M390" s="17"/>
      <c r="N390" s="17"/>
    </row>
    <row r="391" customFormat="false" ht="15" hidden="false" customHeight="false" outlineLevel="0" collapsed="false">
      <c r="A391" s="6"/>
      <c r="B391" s="25" t="str">
        <f aca="false">IF(A391="","",INT((A391-PARÁMETROS!$B$6)/7)+1)</f>
        <v/>
      </c>
      <c r="C391" s="17"/>
      <c r="D391" s="17"/>
      <c r="E391" s="8"/>
      <c r="F391" s="17"/>
      <c r="H391" s="6"/>
      <c r="I391" s="17"/>
      <c r="J391" s="5" t="str">
        <f aca="false">IF(I391="","",INDEX(PARÁMETROS!$B$70:$B$89,MATCH(I391,PARÁMETROS!$A$70:$A$89,0)))</f>
        <v/>
      </c>
      <c r="K391" s="11"/>
      <c r="L391" s="11"/>
      <c r="M391" s="17"/>
      <c r="N391" s="17"/>
    </row>
    <row r="392" customFormat="false" ht="15" hidden="false" customHeight="false" outlineLevel="0" collapsed="false">
      <c r="A392" s="6"/>
      <c r="B392" s="25" t="str">
        <f aca="false">IF(A392="","",INT((A392-PARÁMETROS!$B$6)/7)+1)</f>
        <v/>
      </c>
      <c r="C392" s="17"/>
      <c r="D392" s="17"/>
      <c r="E392" s="8"/>
      <c r="F392" s="17"/>
      <c r="H392" s="6"/>
      <c r="I392" s="17"/>
      <c r="J392" s="5" t="str">
        <f aca="false">IF(I392="","",INDEX(PARÁMETROS!$B$70:$B$89,MATCH(I392,PARÁMETROS!$A$70:$A$89,0)))</f>
        <v/>
      </c>
      <c r="K392" s="11"/>
      <c r="L392" s="11"/>
      <c r="M392" s="17"/>
      <c r="N392" s="17"/>
    </row>
    <row r="393" customFormat="false" ht="15" hidden="false" customHeight="false" outlineLevel="0" collapsed="false">
      <c r="A393" s="6"/>
      <c r="B393" s="25" t="str">
        <f aca="false">IF(A393="","",INT((A393-PARÁMETROS!$B$6)/7)+1)</f>
        <v/>
      </c>
      <c r="C393" s="17"/>
      <c r="D393" s="17"/>
      <c r="E393" s="8"/>
      <c r="F393" s="17"/>
      <c r="H393" s="6"/>
      <c r="I393" s="17"/>
      <c r="J393" s="5" t="str">
        <f aca="false">IF(I393="","",INDEX(PARÁMETROS!$B$70:$B$89,MATCH(I393,PARÁMETROS!$A$70:$A$89,0)))</f>
        <v/>
      </c>
      <c r="K393" s="11"/>
      <c r="L393" s="11"/>
      <c r="M393" s="17"/>
      <c r="N393" s="17"/>
    </row>
    <row r="394" customFormat="false" ht="15" hidden="false" customHeight="false" outlineLevel="0" collapsed="false">
      <c r="A394" s="6"/>
      <c r="B394" s="25" t="str">
        <f aca="false">IF(A394="","",INT((A394-PARÁMETROS!$B$6)/7)+1)</f>
        <v/>
      </c>
      <c r="C394" s="17"/>
      <c r="D394" s="17"/>
      <c r="E394" s="8"/>
      <c r="F394" s="17"/>
      <c r="H394" s="6"/>
      <c r="I394" s="17"/>
      <c r="J394" s="5" t="str">
        <f aca="false">IF(I394="","",INDEX(PARÁMETROS!$B$70:$B$89,MATCH(I394,PARÁMETROS!$A$70:$A$89,0)))</f>
        <v/>
      </c>
      <c r="K394" s="11"/>
      <c r="L394" s="11"/>
      <c r="M394" s="17"/>
      <c r="N394" s="17"/>
    </row>
    <row r="395" customFormat="false" ht="15" hidden="false" customHeight="false" outlineLevel="0" collapsed="false">
      <c r="A395" s="6"/>
      <c r="B395" s="25" t="str">
        <f aca="false">IF(A395="","",INT((A395-PARÁMETROS!$B$6)/7)+1)</f>
        <v/>
      </c>
      <c r="C395" s="17"/>
      <c r="D395" s="17"/>
      <c r="E395" s="8"/>
      <c r="F395" s="17"/>
      <c r="H395" s="6"/>
      <c r="I395" s="17"/>
      <c r="J395" s="5" t="str">
        <f aca="false">IF(I395="","",INDEX(PARÁMETROS!$B$70:$B$89,MATCH(I395,PARÁMETROS!$A$70:$A$89,0)))</f>
        <v/>
      </c>
      <c r="K395" s="11"/>
      <c r="L395" s="11"/>
      <c r="M395" s="17"/>
      <c r="N395" s="17"/>
    </row>
    <row r="396" customFormat="false" ht="15" hidden="false" customHeight="false" outlineLevel="0" collapsed="false">
      <c r="A396" s="6"/>
      <c r="B396" s="25" t="str">
        <f aca="false">IF(A396="","",INT((A396-PARÁMETROS!$B$6)/7)+1)</f>
        <v/>
      </c>
      <c r="C396" s="17"/>
      <c r="D396" s="17"/>
      <c r="E396" s="8"/>
      <c r="F396" s="17"/>
      <c r="H396" s="6"/>
      <c r="I396" s="17"/>
      <c r="J396" s="5" t="str">
        <f aca="false">IF(I396="","",INDEX(PARÁMETROS!$B$70:$B$89,MATCH(I396,PARÁMETROS!$A$70:$A$89,0)))</f>
        <v/>
      </c>
      <c r="K396" s="11"/>
      <c r="L396" s="11"/>
      <c r="M396" s="17"/>
      <c r="N396" s="17"/>
    </row>
    <row r="397" customFormat="false" ht="15" hidden="false" customHeight="false" outlineLevel="0" collapsed="false">
      <c r="A397" s="6"/>
      <c r="B397" s="25" t="str">
        <f aca="false">IF(A397="","",INT((A397-PARÁMETROS!$B$6)/7)+1)</f>
        <v/>
      </c>
      <c r="C397" s="17"/>
      <c r="D397" s="17"/>
      <c r="E397" s="8"/>
      <c r="F397" s="17"/>
      <c r="H397" s="6"/>
      <c r="I397" s="17"/>
      <c r="J397" s="5" t="str">
        <f aca="false">IF(I397="","",INDEX(PARÁMETROS!$B$70:$B$89,MATCH(I397,PARÁMETROS!$A$70:$A$89,0)))</f>
        <v/>
      </c>
      <c r="K397" s="11"/>
      <c r="L397" s="11"/>
      <c r="M397" s="17"/>
      <c r="N397" s="17"/>
    </row>
    <row r="398" customFormat="false" ht="15" hidden="false" customHeight="false" outlineLevel="0" collapsed="false">
      <c r="A398" s="6"/>
      <c r="B398" s="25" t="str">
        <f aca="false">IF(A398="","",INT((A398-PARÁMETROS!$B$6)/7)+1)</f>
        <v/>
      </c>
      <c r="C398" s="17"/>
      <c r="D398" s="17"/>
      <c r="E398" s="8"/>
      <c r="F398" s="17"/>
      <c r="H398" s="6"/>
      <c r="I398" s="17"/>
      <c r="J398" s="5" t="str">
        <f aca="false">IF(I398="","",INDEX(PARÁMETROS!$B$70:$B$89,MATCH(I398,PARÁMETROS!$A$70:$A$89,0)))</f>
        <v/>
      </c>
      <c r="K398" s="11"/>
      <c r="L398" s="11"/>
      <c r="M398" s="17"/>
      <c r="N398" s="17"/>
    </row>
    <row r="399" customFormat="false" ht="15" hidden="false" customHeight="false" outlineLevel="0" collapsed="false">
      <c r="A399" s="6"/>
      <c r="B399" s="25" t="str">
        <f aca="false">IF(A399="","",INT((A399-PARÁMETROS!$B$6)/7)+1)</f>
        <v/>
      </c>
      <c r="C399" s="17"/>
      <c r="D399" s="17"/>
      <c r="E399" s="8"/>
      <c r="F399" s="17"/>
      <c r="H399" s="6"/>
      <c r="I399" s="17"/>
      <c r="J399" s="5" t="str">
        <f aca="false">IF(I399="","",INDEX(PARÁMETROS!$B$70:$B$89,MATCH(I399,PARÁMETROS!$A$70:$A$89,0)))</f>
        <v/>
      </c>
      <c r="K399" s="11"/>
      <c r="L399" s="11"/>
      <c r="M399" s="17"/>
      <c r="N399" s="17"/>
    </row>
    <row r="400" customFormat="false" ht="15" hidden="false" customHeight="false" outlineLevel="0" collapsed="false">
      <c r="A400" s="6"/>
      <c r="B400" s="25" t="str">
        <f aca="false">IF(A400="","",INT((A400-PARÁMETROS!$B$6)/7)+1)</f>
        <v/>
      </c>
      <c r="C400" s="17"/>
      <c r="D400" s="17"/>
      <c r="E400" s="8"/>
      <c r="F400" s="17"/>
      <c r="H400" s="6"/>
      <c r="I400" s="17"/>
      <c r="J400" s="5" t="str">
        <f aca="false">IF(I400="","",INDEX(PARÁMETROS!$B$70:$B$89,MATCH(I400,PARÁMETROS!$A$70:$A$89,0)))</f>
        <v/>
      </c>
      <c r="K400" s="11"/>
      <c r="L400" s="11"/>
      <c r="M400" s="17"/>
      <c r="N400" s="17"/>
    </row>
    <row r="401" customFormat="false" ht="15" hidden="false" customHeight="false" outlineLevel="0" collapsed="false">
      <c r="A401" s="6"/>
      <c r="B401" s="25" t="str">
        <f aca="false">IF(A401="","",INT((A401-PARÁMETROS!$B$6)/7)+1)</f>
        <v/>
      </c>
      <c r="C401" s="17"/>
      <c r="D401" s="17"/>
      <c r="E401" s="8"/>
      <c r="F401" s="17"/>
      <c r="H401" s="6"/>
      <c r="I401" s="17"/>
      <c r="J401" s="5" t="str">
        <f aca="false">IF(I401="","",INDEX(PARÁMETROS!$B$70:$B$89,MATCH(I401,PARÁMETROS!$A$70:$A$89,0)))</f>
        <v/>
      </c>
      <c r="K401" s="11"/>
      <c r="L401" s="11"/>
      <c r="M401" s="17"/>
      <c r="N401" s="17"/>
    </row>
    <row r="402" customFormat="false" ht="15" hidden="false" customHeight="false" outlineLevel="0" collapsed="false">
      <c r="A402" s="6"/>
      <c r="B402" s="25" t="str">
        <f aca="false">IF(A402="","",INT((A402-PARÁMETROS!$B$6)/7)+1)</f>
        <v/>
      </c>
      <c r="C402" s="17"/>
      <c r="D402" s="17"/>
      <c r="E402" s="8"/>
      <c r="F402" s="17"/>
      <c r="H402" s="6"/>
      <c r="I402" s="17"/>
      <c r="J402" s="5" t="str">
        <f aca="false">IF(I402="","",INDEX(PARÁMETROS!$B$70:$B$89,MATCH(I402,PARÁMETROS!$A$70:$A$89,0)))</f>
        <v/>
      </c>
      <c r="K402" s="11"/>
      <c r="L402" s="11"/>
      <c r="M402" s="17"/>
      <c r="N402" s="17"/>
    </row>
    <row r="403" customFormat="false" ht="15" hidden="false" customHeight="false" outlineLevel="0" collapsed="false">
      <c r="A403" s="6"/>
      <c r="B403" s="25" t="str">
        <f aca="false">IF(A403="","",INT((A403-PARÁMETROS!$B$6)/7)+1)</f>
        <v/>
      </c>
      <c r="C403" s="17"/>
      <c r="D403" s="17"/>
      <c r="E403" s="8"/>
      <c r="F403" s="17"/>
      <c r="H403" s="6"/>
      <c r="I403" s="17"/>
      <c r="J403" s="5" t="str">
        <f aca="false">IF(I403="","",INDEX(PARÁMETROS!$B$70:$B$89,MATCH(I403,PARÁMETROS!$A$70:$A$89,0)))</f>
        <v/>
      </c>
      <c r="K403" s="11"/>
      <c r="L403" s="11"/>
      <c r="M403" s="17"/>
      <c r="N403" s="17"/>
    </row>
    <row r="404" customFormat="false" ht="15" hidden="false" customHeight="false" outlineLevel="0" collapsed="false">
      <c r="A404" s="6"/>
      <c r="B404" s="25" t="str">
        <f aca="false">IF(A404="","",INT((A404-PARÁMETROS!$B$6)/7)+1)</f>
        <v/>
      </c>
      <c r="C404" s="17"/>
      <c r="D404" s="17"/>
      <c r="E404" s="8"/>
      <c r="F404" s="17"/>
      <c r="H404" s="6"/>
      <c r="I404" s="17"/>
      <c r="J404" s="5" t="str">
        <f aca="false">IF(I404="","",INDEX(PARÁMETROS!$B$70:$B$89,MATCH(I404,PARÁMETROS!$A$70:$A$89,0)))</f>
        <v/>
      </c>
      <c r="K404" s="11"/>
      <c r="L404" s="11"/>
      <c r="M404" s="17"/>
      <c r="N404" s="17"/>
    </row>
    <row r="405" customFormat="false" ht="15" hidden="false" customHeight="false" outlineLevel="0" collapsed="false">
      <c r="A405" s="6"/>
      <c r="B405" s="25" t="str">
        <f aca="false">IF(A405="","",INT((A405-PARÁMETROS!$B$6)/7)+1)</f>
        <v/>
      </c>
      <c r="C405" s="17"/>
      <c r="D405" s="17"/>
      <c r="E405" s="8"/>
      <c r="F405" s="17"/>
      <c r="H405" s="6"/>
      <c r="I405" s="17"/>
      <c r="J405" s="5" t="str">
        <f aca="false">IF(I405="","",INDEX(PARÁMETROS!$B$70:$B$89,MATCH(I405,PARÁMETROS!$A$70:$A$89,0)))</f>
        <v/>
      </c>
      <c r="K405" s="11"/>
      <c r="L405" s="11"/>
      <c r="M405" s="17"/>
      <c r="N405" s="17"/>
    </row>
  </sheetData>
  <dataValidations count="4">
    <dataValidation allowBlank="true" errorStyle="stop" operator="between" showDropDown="false" showErrorMessage="false" showInputMessage="false" sqref="C6:C405" type="list">
      <formula1>"CIMENTACIÓN,NIVEL 1,NIVEL 2,NIVEL 3,NIVEL 4,NIVEL 5"</formula1>
      <formula2>0</formula2>
    </dataValidation>
    <dataValidation allowBlank="true" errorStyle="stop" operator="between" showDropDown="false" showErrorMessage="false" showInputMessage="false" sqref="D6:D405" type="list">
      <formula1>"Acero,Encofrado,Concreto,Curado"</formula1>
      <formula2>0</formula2>
    </dataValidation>
    <dataValidation allowBlank="true" errorStyle="stop" operator="between" showDropDown="false" showErrorMessage="false" showInputMessage="false" sqref="E6:E405" type="decimal">
      <formula1>0</formula1>
      <formula2>1</formula2>
    </dataValidation>
    <dataValidation allowBlank="true" errorStyle="stop" operator="between" showDropDown="false" showErrorMessage="false" showInputMessage="false" sqref="I6:I405" type="list">
      <formula1>PARÁMETROS!$A$70:$A$89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4"/>
    <col collapsed="false" customWidth="true" hidden="false" outlineLevel="0" max="6" min="5" style="0" width="13"/>
    <col collapsed="false" customWidth="true" hidden="false" outlineLevel="0" max="8" min="7" style="0" width="11"/>
    <col collapsed="false" customWidth="true" hidden="false" outlineLevel="0" max="9" min="9" style="0" width="14"/>
  </cols>
  <sheetData>
    <row r="1" customFormat="false" ht="17.35" hidden="false" customHeight="false" outlineLevel="0" collapsed="false">
      <c r="A1" s="1" t="s">
        <v>317</v>
      </c>
    </row>
    <row r="2" customFormat="false" ht="15" hidden="false" customHeight="false" outlineLevel="0" collapsed="false">
      <c r="A2" s="2" t="s">
        <v>318</v>
      </c>
    </row>
    <row r="4" customFormat="false" ht="15" hidden="false" customHeight="false" outlineLevel="0" collapsed="false">
      <c r="A4" s="12" t="s">
        <v>319</v>
      </c>
      <c r="B4" s="52" t="n">
        <f aca="false">PARÁMETROS!$B$7</f>
        <v>46300</v>
      </c>
    </row>
    <row r="5" customFormat="false" ht="15" hidden="false" customHeight="false" outlineLevel="0" collapsed="false">
      <c r="A5" s="12" t="s">
        <v>320</v>
      </c>
      <c r="B5" s="40" t="n">
        <f aca="false">'LISTA DE COMPRAS'!H26</f>
        <v>170903.82</v>
      </c>
    </row>
    <row r="6" customFormat="false" ht="15" hidden="false" customHeight="false" outlineLevel="0" collapsed="false">
      <c r="A6" s="12" t="s">
        <v>321</v>
      </c>
      <c r="B6" s="21" t="n">
        <f aca="false">CRONOGRAMA!I30</f>
        <v>0.00819575010084619</v>
      </c>
    </row>
    <row r="7" customFormat="false" ht="15" hidden="false" customHeight="false" outlineLevel="0" collapsed="false">
      <c r="A7" s="12" t="s">
        <v>322</v>
      </c>
      <c r="B7" s="21" t="n">
        <f aca="false">CRONOGRAMA!J30</f>
        <v>0</v>
      </c>
    </row>
    <row r="8" customFormat="false" ht="15" hidden="false" customHeight="false" outlineLevel="0" collapsed="false">
      <c r="A8" s="12" t="s">
        <v>323</v>
      </c>
      <c r="B8" s="53" t="n">
        <f aca="false">B6-B7</f>
        <v>0.00819575010084619</v>
      </c>
    </row>
    <row r="9" customFormat="false" ht="15" hidden="false" customHeight="false" outlineLevel="0" collapsed="false">
      <c r="A9" s="12" t="s">
        <v>324</v>
      </c>
      <c r="B9" s="54" t="str">
        <f aca="false">IF(B8&lt;=0.05,"VERDE",IF(B8&lt;=0.15,"ÁMBAR","ROJO"))</f>
        <v>VERDE</v>
      </c>
    </row>
    <row r="10" customFormat="false" ht="15" hidden="false" customHeight="false" outlineLevel="0" collapsed="false">
      <c r="A10" s="12" t="s">
        <v>325</v>
      </c>
      <c r="B10" s="52" t="n">
        <f aca="false">CRONOGRAMA!H30</f>
        <v>46388</v>
      </c>
    </row>
    <row r="12" customFormat="false" ht="15" hidden="false" customHeight="false" outlineLevel="0" collapsed="false">
      <c r="A12" s="3" t="s">
        <v>326</v>
      </c>
    </row>
    <row r="13" customFormat="false" ht="30" hidden="false" customHeight="true" outlineLevel="0" collapsed="false">
      <c r="A13" s="4" t="s">
        <v>177</v>
      </c>
      <c r="B13" s="4" t="s">
        <v>300</v>
      </c>
      <c r="C13" s="4" t="s">
        <v>321</v>
      </c>
      <c r="D13" s="4" t="s">
        <v>322</v>
      </c>
      <c r="E13" s="4" t="s">
        <v>327</v>
      </c>
      <c r="F13" s="4" t="s">
        <v>328</v>
      </c>
    </row>
    <row r="14" customFormat="false" ht="15" hidden="false" customHeight="false" outlineLevel="0" collapsed="false">
      <c r="A14" s="12" t="s">
        <v>176</v>
      </c>
      <c r="B14" s="23" t="n">
        <f aca="false">SUMIFS(CRONOGRAMA!$E$6:$E$29,CRONOGRAMA!$B$6:$B$29,A14)</f>
        <v>0.140190429915493</v>
      </c>
      <c r="C14" s="23" t="n">
        <f aca="false">IF(B14&gt;0,SUMPRODUCT((CRONOGRAMA!$B$6:$B$29=A14)*CRONOGRAMA!$E$6:$E$29*CRONOGRAMA!$I$6:$I$29)/B14,0)</f>
        <v>0.058461551946068</v>
      </c>
      <c r="D14" s="23" t="n">
        <f aca="false">IF(B14&gt;0,SUMPRODUCT((CRONOGRAMA!$B$6:$B$29=A14)*CRONOGRAMA!$E$6:$E$29*CRONOGRAMA!$J$6:$J$29)/B14,0)</f>
        <v>0</v>
      </c>
      <c r="E14" s="23" t="n">
        <f aca="false">C14-D14</f>
        <v>0.058461551946068</v>
      </c>
      <c r="F14" s="54" t="str">
        <f aca="false">IF(E14&lt;=0.05,"VERDE",IF(E14&lt;=0.15,"ÁMBAR","ROJO"))</f>
        <v>ÁMBAR</v>
      </c>
    </row>
    <row r="15" customFormat="false" ht="15" hidden="false" customHeight="false" outlineLevel="0" collapsed="false">
      <c r="A15" s="12" t="s">
        <v>212</v>
      </c>
      <c r="B15" s="23" t="n">
        <f aca="false">SUMIFS(CRONOGRAMA!$E$6:$E$29,CRONOGRAMA!$B$6:$B$29,A15)</f>
        <v>0.0674445427843567</v>
      </c>
      <c r="C15" s="23" t="n">
        <f aca="false">IF(B15&gt;0,SUMPRODUCT((CRONOGRAMA!$B$6:$B$29=A15)*CRONOGRAMA!$E$6:$E$29*CRONOGRAMA!$I$6:$I$29)/B15,0)</f>
        <v>0</v>
      </c>
      <c r="D15" s="23" t="n">
        <f aca="false">IF(B15&gt;0,SUMPRODUCT((CRONOGRAMA!$B$6:$B$29=A15)*CRONOGRAMA!$E$6:$E$29*CRONOGRAMA!$J$6:$J$29)/B15,0)</f>
        <v>0</v>
      </c>
      <c r="E15" s="23" t="n">
        <f aca="false">C15-D15</f>
        <v>0</v>
      </c>
      <c r="F15" s="54" t="str">
        <f aca="false">IF(E15&lt;=0.05,"VERDE",IF(E15&lt;=0.15,"ÁMBAR","ROJO"))</f>
        <v>VERDE</v>
      </c>
    </row>
    <row r="16" customFormat="false" ht="15" hidden="false" customHeight="false" outlineLevel="0" collapsed="false">
      <c r="A16" s="12" t="s">
        <v>216</v>
      </c>
      <c r="B16" s="23" t="n">
        <f aca="false">SUMIFS(CRONOGRAMA!$E$6:$E$29,CRONOGRAMA!$B$6:$B$29,A16)</f>
        <v>0.21711123835617</v>
      </c>
      <c r="C16" s="23" t="n">
        <f aca="false">IF(B16&gt;0,SUMPRODUCT((CRONOGRAMA!$B$6:$B$29=A16)*CRONOGRAMA!$E$6:$E$29*CRONOGRAMA!$I$6:$I$29)/B16,0)</f>
        <v>0</v>
      </c>
      <c r="D16" s="23" t="n">
        <f aca="false">IF(B16&gt;0,SUMPRODUCT((CRONOGRAMA!$B$6:$B$29=A16)*CRONOGRAMA!$E$6:$E$29*CRONOGRAMA!$J$6:$J$29)/B16,0)</f>
        <v>0</v>
      </c>
      <c r="E16" s="23" t="n">
        <f aca="false">C16-D16</f>
        <v>0</v>
      </c>
      <c r="F16" s="54" t="str">
        <f aca="false">IF(E16&lt;=0.05,"VERDE",IF(E16&lt;=0.15,"ÁMBAR","ROJO"))</f>
        <v>VERDE</v>
      </c>
    </row>
    <row r="17" customFormat="false" ht="15" hidden="false" customHeight="false" outlineLevel="0" collapsed="false">
      <c r="A17" s="12" t="s">
        <v>227</v>
      </c>
      <c r="B17" s="23" t="n">
        <f aca="false">SUMIFS(CRONOGRAMA!$E$6:$E$29,CRONOGRAMA!$B$6:$B$29,A17)</f>
        <v>0.197005426795024</v>
      </c>
      <c r="C17" s="23" t="n">
        <f aca="false">IF(B17&gt;0,SUMPRODUCT((CRONOGRAMA!$B$6:$B$29=A17)*CRONOGRAMA!$E$6:$E$29*CRONOGRAMA!$I$6:$I$29)/B17,0)</f>
        <v>0</v>
      </c>
      <c r="D17" s="23" t="n">
        <f aca="false">IF(B17&gt;0,SUMPRODUCT((CRONOGRAMA!$B$6:$B$29=A17)*CRONOGRAMA!$E$6:$E$29*CRONOGRAMA!$J$6:$J$29)/B17,0)</f>
        <v>0</v>
      </c>
      <c r="E17" s="23" t="n">
        <f aca="false">C17-D17</f>
        <v>0</v>
      </c>
      <c r="F17" s="54" t="str">
        <f aca="false">IF(E17&lt;=0.05,"VERDE",IF(E17&lt;=0.15,"ÁMBAR","ROJO"))</f>
        <v>VERDE</v>
      </c>
    </row>
    <row r="18" customFormat="false" ht="15" hidden="false" customHeight="false" outlineLevel="0" collapsed="false">
      <c r="A18" s="12" t="s">
        <v>229</v>
      </c>
      <c r="B18" s="23" t="n">
        <f aca="false">SUMIFS(CRONOGRAMA!$E$6:$E$29,CRONOGRAMA!$B$6:$B$29,A18)</f>
        <v>0.196023412466731</v>
      </c>
      <c r="C18" s="23" t="n">
        <f aca="false">IF(B18&gt;0,SUMPRODUCT((CRONOGRAMA!$B$6:$B$29=A18)*CRONOGRAMA!$E$6:$E$29*CRONOGRAMA!$I$6:$I$29)/B18,0)</f>
        <v>0</v>
      </c>
      <c r="D18" s="23" t="n">
        <f aca="false">IF(B18&gt;0,SUMPRODUCT((CRONOGRAMA!$B$6:$B$29=A18)*CRONOGRAMA!$E$6:$E$29*CRONOGRAMA!$J$6:$J$29)/B18,0)</f>
        <v>0</v>
      </c>
      <c r="E18" s="23" t="n">
        <f aca="false">C18-D18</f>
        <v>0</v>
      </c>
      <c r="F18" s="54" t="str">
        <f aca="false">IF(E18&lt;=0.05,"VERDE",IF(E18&lt;=0.15,"ÁMBAR","ROJO"))</f>
        <v>VERDE</v>
      </c>
    </row>
    <row r="19" customFormat="false" ht="15" hidden="false" customHeight="false" outlineLevel="0" collapsed="false">
      <c r="A19" s="12" t="s">
        <v>231</v>
      </c>
      <c r="B19" s="23" t="n">
        <f aca="false">SUMIFS(CRONOGRAMA!$E$6:$E$29,CRONOGRAMA!$B$6:$B$29,A19)</f>
        <v>0.182224949682225</v>
      </c>
      <c r="C19" s="23" t="n">
        <f aca="false">IF(B19&gt;0,SUMPRODUCT((CRONOGRAMA!$B$6:$B$29=A19)*CRONOGRAMA!$E$6:$E$29*CRONOGRAMA!$I$6:$I$29)/B19,0)</f>
        <v>0</v>
      </c>
      <c r="D19" s="23" t="n">
        <f aca="false">IF(B19&gt;0,SUMPRODUCT((CRONOGRAMA!$B$6:$B$29=A19)*CRONOGRAMA!$E$6:$E$29*CRONOGRAMA!$J$6:$J$29)/B19,0)</f>
        <v>0</v>
      </c>
      <c r="E19" s="23" t="n">
        <f aca="false">C19-D19</f>
        <v>0</v>
      </c>
      <c r="F19" s="54" t="str">
        <f aca="false">IF(E19&lt;=0.05,"VERDE",IF(E19&lt;=0.15,"ÁMBAR","ROJO"))</f>
        <v>VERDE</v>
      </c>
    </row>
    <row r="21" customFormat="false" ht="15" hidden="false" customHeight="false" outlineLevel="0" collapsed="false">
      <c r="A21" s="3" t="s">
        <v>329</v>
      </c>
    </row>
    <row r="22" customFormat="false" ht="30" hidden="false" customHeight="true" outlineLevel="0" collapsed="false">
      <c r="A22" s="4" t="s">
        <v>178</v>
      </c>
      <c r="B22" s="4" t="s">
        <v>300</v>
      </c>
      <c r="C22" s="4" t="s">
        <v>321</v>
      </c>
      <c r="D22" s="4" t="s">
        <v>322</v>
      </c>
      <c r="E22" s="4" t="s">
        <v>327</v>
      </c>
      <c r="F22" s="4" t="s">
        <v>328</v>
      </c>
    </row>
    <row r="23" customFormat="false" ht="15" hidden="false" customHeight="false" outlineLevel="0" collapsed="false">
      <c r="A23" s="12" t="s">
        <v>134</v>
      </c>
      <c r="B23" s="23" t="n">
        <f aca="false">SUMIFS(CRONOGRAMA!$E$6:$E$29,CRONOGRAMA!$C$6:$C$29,A23)</f>
        <v>0.522673044991036</v>
      </c>
      <c r="C23" s="23" t="n">
        <f aca="false">IF(B23&gt;0,SUMPRODUCT((CRONOGRAMA!$C$6:$C$29=A23)*CRONOGRAMA!$E$6:$E$29*CRONOGRAMA!$I$6:$I$29)/B23,0)</f>
        <v>0.0156804529703397</v>
      </c>
      <c r="D23" s="23" t="n">
        <f aca="false">IF(B23&gt;0,SUMPRODUCT((CRONOGRAMA!$C$6:$C$29=A23)*CRONOGRAMA!$E$6:$E$29*CRONOGRAMA!$J$6:$J$29)/B23,0)</f>
        <v>0</v>
      </c>
      <c r="E23" s="23" t="n">
        <f aca="false">C23-D23</f>
        <v>0.0156804529703397</v>
      </c>
      <c r="F23" s="54" t="str">
        <f aca="false">IF(E23&lt;=0.05,"VERDE",IF(E23&lt;=0.15,"ÁMBAR","ROJO"))</f>
        <v>VERDE</v>
      </c>
    </row>
    <row r="24" customFormat="false" ht="15" hidden="false" customHeight="false" outlineLevel="0" collapsed="false">
      <c r="A24" s="12" t="s">
        <v>151</v>
      </c>
      <c r="B24" s="23" t="n">
        <f aca="false">SUMIFS(CRONOGRAMA!$E$6:$E$29,CRONOGRAMA!$C$6:$C$29,A24)</f>
        <v>0.0936813466194027</v>
      </c>
      <c r="C24" s="23" t="n">
        <f aca="false">IF(B24&gt;0,SUMPRODUCT((CRONOGRAMA!$C$6:$C$29=A24)*CRONOGRAMA!$E$6:$E$29*CRONOGRAMA!$I$6:$I$29)/B24,0)</f>
        <v>0</v>
      </c>
      <c r="D24" s="23" t="n">
        <f aca="false">IF(B24&gt;0,SUMPRODUCT((CRONOGRAMA!$C$6:$C$29=A24)*CRONOGRAMA!$E$6:$E$29*CRONOGRAMA!$J$6:$J$29)/B24,0)</f>
        <v>0</v>
      </c>
      <c r="E24" s="23" t="n">
        <f aca="false">C24-D24</f>
        <v>0</v>
      </c>
      <c r="F24" s="54" t="str">
        <f aca="false">IF(E24&lt;=0.05,"VERDE",IF(E24&lt;=0.15,"ÁMBAR","ROJO"))</f>
        <v>VERDE</v>
      </c>
    </row>
    <row r="25" customFormat="false" ht="15" hidden="false" customHeight="false" outlineLevel="0" collapsed="false">
      <c r="A25" s="12" t="s">
        <v>117</v>
      </c>
      <c r="B25" s="23" t="n">
        <f aca="false">SUMIFS(CRONOGRAMA!$E$6:$E$29,CRONOGRAMA!$C$6:$C$29,A25)</f>
        <v>0.369368572335013</v>
      </c>
      <c r="C25" s="23" t="n">
        <f aca="false">IF(B25&gt;0,SUMPRODUCT((CRONOGRAMA!$C$6:$C$29=A25)*CRONOGRAMA!$E$6:$E$29*CRONOGRAMA!$I$6:$I$29)/B25,0)</f>
        <v>0</v>
      </c>
      <c r="D25" s="23" t="n">
        <f aca="false">IF(B25&gt;0,SUMPRODUCT((CRONOGRAMA!$C$6:$C$29=A25)*CRONOGRAMA!$E$6:$E$29*CRONOGRAMA!$J$6:$J$29)/B25,0)</f>
        <v>0</v>
      </c>
      <c r="E25" s="23" t="n">
        <f aca="false">C25-D25</f>
        <v>0</v>
      </c>
      <c r="F25" s="54" t="str">
        <f aca="false">IF(E25&lt;=0.05,"VERDE",IF(E25&lt;=0.15,"ÁMBAR","ROJO"))</f>
        <v>VERDE</v>
      </c>
    </row>
    <row r="26" customFormat="false" ht="15" hidden="false" customHeight="false" outlineLevel="0" collapsed="false">
      <c r="A26" s="12" t="s">
        <v>163</v>
      </c>
      <c r="B26" s="23" t="n">
        <f aca="false">SUMIFS(CRONOGRAMA!$E$6:$E$29,CRONOGRAMA!$C$6:$C$29,A26)</f>
        <v>0.0142770360545481</v>
      </c>
      <c r="C26" s="23" t="n">
        <f aca="false">IF(B26&gt;0,SUMPRODUCT((CRONOGRAMA!$C$6:$C$29=A26)*CRONOGRAMA!$E$6:$E$29*CRONOGRAMA!$I$6:$I$29)/B26,0)</f>
        <v>0</v>
      </c>
      <c r="D26" s="23" t="n">
        <f aca="false">IF(B26&gt;0,SUMPRODUCT((CRONOGRAMA!$C$6:$C$29=A26)*CRONOGRAMA!$E$6:$E$29*CRONOGRAMA!$J$6:$J$29)/B26,0)</f>
        <v>0</v>
      </c>
      <c r="E26" s="23" t="n">
        <f aca="false">C26-D26</f>
        <v>0</v>
      </c>
      <c r="F26" s="54" t="str">
        <f aca="false">IF(E26&lt;=0.05,"VERDE",IF(E26&lt;=0.15,"ÁMBAR","ROJO"))</f>
        <v>VERDE</v>
      </c>
    </row>
    <row r="28" customFormat="false" ht="15" hidden="false" customHeight="false" outlineLevel="0" collapsed="false">
      <c r="A28" s="3" t="s">
        <v>330</v>
      </c>
    </row>
    <row r="29" customFormat="false" ht="30" hidden="false" customHeight="true" outlineLevel="0" collapsed="false">
      <c r="A29" s="4" t="s">
        <v>331</v>
      </c>
      <c r="B29" s="4" t="s">
        <v>332</v>
      </c>
      <c r="C29" s="4" t="s">
        <v>321</v>
      </c>
      <c r="D29" s="4" t="s">
        <v>322</v>
      </c>
    </row>
    <row r="30" customFormat="false" ht="15" hidden="false" customHeight="false" outlineLevel="0" collapsed="false">
      <c r="A30" s="25" t="n">
        <v>1</v>
      </c>
      <c r="B30" s="52" t="n">
        <f aca="false">CRONOGRAMA!L$5</f>
        <v>46306</v>
      </c>
      <c r="C30" s="23" t="n">
        <f aca="false">SUMPRODUCT(CRONOGRAMA!$E$6:$E$29,CRONOGRAMA!L$6:L$29)</f>
        <v>0.0590895413182299</v>
      </c>
      <c r="D30" s="23" t="n">
        <f aca="false">SUMPRODUCT(CRONOGRAMA!$E$6:$E$29,CRONOGRAMA!L$33:L$56)</f>
        <v>0</v>
      </c>
    </row>
    <row r="31" customFormat="false" ht="15" hidden="false" customHeight="false" outlineLevel="0" collapsed="false">
      <c r="A31" s="25" t="n">
        <v>2</v>
      </c>
      <c r="B31" s="52" t="n">
        <f aca="false">CRONOGRAMA!M$5</f>
        <v>46313</v>
      </c>
      <c r="C31" s="23" t="n">
        <f aca="false">SUMPRODUCT(CRONOGRAMA!$E$6:$E$29,CRONOGRAMA!M$6:M$29)</f>
        <v>0.167560279142469</v>
      </c>
      <c r="D31" s="23" t="n">
        <f aca="false">SUMPRODUCT(CRONOGRAMA!$E$6:$E$29,CRONOGRAMA!M$33:M$56)</f>
        <v>0</v>
      </c>
    </row>
    <row r="32" customFormat="false" ht="15" hidden="false" customHeight="false" outlineLevel="0" collapsed="false">
      <c r="A32" s="25" t="n">
        <v>3</v>
      </c>
      <c r="B32" s="52" t="n">
        <f aca="false">CRONOGRAMA!N$5</f>
        <v>46320</v>
      </c>
      <c r="C32" s="23" t="n">
        <f aca="false">SUMPRODUCT(CRONOGRAMA!$E$6:$E$29,CRONOGRAMA!N$6:N$29)</f>
        <v>0.238581530828275</v>
      </c>
      <c r="D32" s="23" t="n">
        <f aca="false">SUMPRODUCT(CRONOGRAMA!$E$6:$E$29,CRONOGRAMA!N$33:N$56)</f>
        <v>0</v>
      </c>
    </row>
    <row r="33" customFormat="false" ht="15" hidden="false" customHeight="false" outlineLevel="0" collapsed="false">
      <c r="A33" s="25" t="n">
        <v>4</v>
      </c>
      <c r="B33" s="52" t="n">
        <f aca="false">CRONOGRAMA!O$5</f>
        <v>46327</v>
      </c>
      <c r="C33" s="23" t="n">
        <f aca="false">SUMPRODUCT(CRONOGRAMA!$E$6:$E$29,CRONOGRAMA!O$6:O$29)</f>
        <v>0.322937447116942</v>
      </c>
      <c r="D33" s="23" t="n">
        <f aca="false">SUMPRODUCT(CRONOGRAMA!$E$6:$E$29,CRONOGRAMA!O$33:O$56)</f>
        <v>0</v>
      </c>
    </row>
    <row r="34" customFormat="false" ht="15" hidden="false" customHeight="false" outlineLevel="0" collapsed="false">
      <c r="A34" s="25" t="n">
        <v>5</v>
      </c>
      <c r="B34" s="52" t="n">
        <f aca="false">CRONOGRAMA!P$5</f>
        <v>46334</v>
      </c>
      <c r="C34" s="23" t="n">
        <f aca="false">SUMPRODUCT(CRONOGRAMA!$E$6:$E$29,CRONOGRAMA!P$6:P$29)</f>
        <v>0.430952971370792</v>
      </c>
      <c r="D34" s="23" t="n">
        <f aca="false">SUMPRODUCT(CRONOGRAMA!$E$6:$E$29,CRONOGRAMA!P$33:P$56)</f>
        <v>0</v>
      </c>
    </row>
    <row r="35" customFormat="false" ht="15" hidden="false" customHeight="false" outlineLevel="0" collapsed="false">
      <c r="A35" s="25" t="n">
        <v>6</v>
      </c>
      <c r="B35" s="52" t="n">
        <f aca="false">CRONOGRAMA!Q$5</f>
        <v>46341</v>
      </c>
      <c r="C35" s="23" t="n">
        <f aca="false">SUMPRODUCT(CRONOGRAMA!$E$6:$E$29,CRONOGRAMA!Q$6:Q$29)</f>
        <v>0.50605034262351</v>
      </c>
      <c r="D35" s="23" t="n">
        <f aca="false">SUMPRODUCT(CRONOGRAMA!$E$6:$E$29,CRONOGRAMA!Q$33:Q$56)</f>
        <v>0</v>
      </c>
    </row>
    <row r="36" customFormat="false" ht="15" hidden="false" customHeight="false" outlineLevel="0" collapsed="false">
      <c r="A36" s="25" t="n">
        <v>7</v>
      </c>
      <c r="B36" s="52" t="n">
        <f aca="false">CRONOGRAMA!R$5</f>
        <v>46348</v>
      </c>
      <c r="C36" s="23" t="n">
        <f aca="false">SUMPRODUCT(CRONOGRAMA!$E$6:$E$29,CRONOGRAMA!R$6:R$29)</f>
        <v>0.585519270429415</v>
      </c>
      <c r="D36" s="23" t="n">
        <f aca="false">SUMPRODUCT(CRONOGRAMA!$E$6:$E$29,CRONOGRAMA!R$33:R$56)</f>
        <v>0</v>
      </c>
    </row>
    <row r="37" customFormat="false" ht="15" hidden="false" customHeight="false" outlineLevel="0" collapsed="false">
      <c r="A37" s="25" t="n">
        <v>8</v>
      </c>
      <c r="B37" s="52" t="n">
        <f aca="false">CRONOGRAMA!S$5</f>
        <v>46355</v>
      </c>
      <c r="C37" s="23" t="n">
        <f aca="false">SUMPRODUCT(CRONOGRAMA!$E$6:$E$29,CRONOGRAMA!S$6:S$29)</f>
        <v>0.680938652540136</v>
      </c>
      <c r="D37" s="23" t="n">
        <f aca="false">SUMPRODUCT(CRONOGRAMA!$E$6:$E$29,CRONOGRAMA!S$33:S$56)</f>
        <v>0</v>
      </c>
    </row>
    <row r="38" customFormat="false" ht="15" hidden="false" customHeight="false" outlineLevel="0" collapsed="false">
      <c r="A38" s="25" t="n">
        <v>9</v>
      </c>
      <c r="B38" s="52" t="n">
        <f aca="false">CRONOGRAMA!T$5</f>
        <v>46362</v>
      </c>
      <c r="C38" s="23" t="n">
        <f aca="false">SUMPRODUCT(CRONOGRAMA!$E$6:$E$29,CRONOGRAMA!T$6:T$29)</f>
        <v>0.746321215445428</v>
      </c>
      <c r="D38" s="23" t="n">
        <f aca="false">SUMPRODUCT(CRONOGRAMA!$E$6:$E$29,CRONOGRAMA!T$33:T$56)</f>
        <v>0</v>
      </c>
    </row>
    <row r="39" customFormat="false" ht="15" hidden="false" customHeight="false" outlineLevel="0" collapsed="false">
      <c r="A39" s="25" t="n">
        <v>10</v>
      </c>
      <c r="B39" s="52" t="n">
        <f aca="false">CRONOGRAMA!U$5</f>
        <v>46369</v>
      </c>
      <c r="C39" s="23" t="n">
        <f aca="false">SUMPRODUCT(CRONOGRAMA!$E$6:$E$29,CRONOGRAMA!U$6:U$29)</f>
        <v>0.850498908572976</v>
      </c>
      <c r="D39" s="23" t="n">
        <f aca="false">SUMPRODUCT(CRONOGRAMA!$E$6:$E$29,CRONOGRAMA!U$33:U$56)</f>
        <v>0</v>
      </c>
    </row>
    <row r="40" customFormat="false" ht="15" hidden="false" customHeight="false" outlineLevel="0" collapsed="false">
      <c r="A40" s="25" t="n">
        <v>11</v>
      </c>
      <c r="B40" s="52" t="n">
        <f aca="false">CRONOGRAMA!V$5</f>
        <v>46376</v>
      </c>
      <c r="C40" s="23" t="n">
        <f aca="false">SUMPRODUCT(CRONOGRAMA!$E$6:$E$29,CRONOGRAMA!V$6:V$29)</f>
        <v>0.917367733500632</v>
      </c>
      <c r="D40" s="23" t="n">
        <f aca="false">SUMPRODUCT(CRONOGRAMA!$E$6:$E$29,CRONOGRAMA!V$33:V$56)</f>
        <v>0</v>
      </c>
    </row>
    <row r="41" customFormat="false" ht="15" hidden="false" customHeight="false" outlineLevel="0" collapsed="false">
      <c r="A41" s="25" t="n">
        <v>12</v>
      </c>
      <c r="B41" s="52" t="n">
        <f aca="false">CRONOGRAMA!W$5</f>
        <v>46383</v>
      </c>
      <c r="C41" s="23" t="n">
        <f aca="false">SUMPRODUCT(CRONOGRAMA!$E$6:$E$29,CRONOGRAMA!W$6:W$29)</f>
        <v>0.997993859102405</v>
      </c>
      <c r="D41" s="23" t="n">
        <f aca="false">SUMPRODUCT(CRONOGRAMA!$E$6:$E$29,CRONOGRAMA!W$33:W$56)</f>
        <v>0</v>
      </c>
    </row>
    <row r="42" customFormat="false" ht="15" hidden="false" customHeight="false" outlineLevel="0" collapsed="false">
      <c r="A42" s="25" t="n">
        <v>13</v>
      </c>
      <c r="B42" s="52" t="n">
        <f aca="false">CRONOGRAMA!X$5</f>
        <v>46390</v>
      </c>
      <c r="C42" s="23" t="n">
        <f aca="false">SUMPRODUCT(CRONOGRAMA!$E$6:$E$29,CRONOGRAMA!X$6:X$29)</f>
        <v>1</v>
      </c>
      <c r="D42" s="23" t="n">
        <f aca="false">SUMPRODUCT(CRONOGRAMA!$E$6:$E$29,CRONOGRAMA!X$33:X$56)</f>
        <v>0</v>
      </c>
    </row>
    <row r="43" customFormat="false" ht="15" hidden="false" customHeight="false" outlineLevel="0" collapsed="false">
      <c r="A43" s="25" t="n">
        <v>14</v>
      </c>
      <c r="B43" s="52" t="n">
        <f aca="false">CRONOGRAMA!Y$5</f>
        <v>46397</v>
      </c>
      <c r="C43" s="23" t="n">
        <f aca="false">SUMPRODUCT(CRONOGRAMA!$E$6:$E$29,CRONOGRAMA!Y$6:Y$29)</f>
        <v>1</v>
      </c>
      <c r="D43" s="23" t="n">
        <f aca="false">SUMPRODUCT(CRONOGRAMA!$E$6:$E$29,CRONOGRAMA!Y$33:Y$56)</f>
        <v>0</v>
      </c>
    </row>
    <row r="44" customFormat="false" ht="15" hidden="false" customHeight="false" outlineLevel="0" collapsed="false">
      <c r="A44" s="25" t="n">
        <v>15</v>
      </c>
      <c r="B44" s="52" t="n">
        <f aca="false">CRONOGRAMA!Z$5</f>
        <v>46404</v>
      </c>
      <c r="C44" s="23" t="n">
        <f aca="false">SUMPRODUCT(CRONOGRAMA!$E$6:$E$29,CRONOGRAMA!Z$6:Z$29)</f>
        <v>1</v>
      </c>
      <c r="D44" s="23" t="n">
        <f aca="false">SUMPRODUCT(CRONOGRAMA!$E$6:$E$29,CRONOGRAMA!Z$33:Z$56)</f>
        <v>0</v>
      </c>
    </row>
    <row r="45" customFormat="false" ht="15" hidden="false" customHeight="false" outlineLevel="0" collapsed="false">
      <c r="A45" s="25" t="n">
        <v>16</v>
      </c>
      <c r="B45" s="52" t="n">
        <f aca="false">CRONOGRAMA!AA$5</f>
        <v>46411</v>
      </c>
      <c r="C45" s="23" t="n">
        <f aca="false">SUMPRODUCT(CRONOGRAMA!$E$6:$E$29,CRONOGRAMA!AA$6:AA$29)</f>
        <v>1</v>
      </c>
      <c r="D45" s="23" t="n">
        <f aca="false">SUMPRODUCT(CRONOGRAMA!$E$6:$E$29,CRONOGRAMA!AA$33:AA$56)</f>
        <v>0</v>
      </c>
    </row>
    <row r="46" customFormat="false" ht="15" hidden="false" customHeight="false" outlineLevel="0" collapsed="false">
      <c r="A46" s="25" t="n">
        <v>17</v>
      </c>
      <c r="B46" s="52" t="n">
        <f aca="false">CRONOGRAMA!AB$5</f>
        <v>46418</v>
      </c>
      <c r="C46" s="23" t="n">
        <f aca="false">SUMPRODUCT(CRONOGRAMA!$E$6:$E$29,CRONOGRAMA!AB$6:AB$29)</f>
        <v>1</v>
      </c>
      <c r="D46" s="23" t="n">
        <f aca="false">SUMPRODUCT(CRONOGRAMA!$E$6:$E$29,CRONOGRAMA!AB$33:AB$56)</f>
        <v>0</v>
      </c>
    </row>
    <row r="47" customFormat="false" ht="15" hidden="false" customHeight="false" outlineLevel="0" collapsed="false">
      <c r="A47" s="25" t="n">
        <v>18</v>
      </c>
      <c r="B47" s="52" t="n">
        <f aca="false">CRONOGRAMA!AC$5</f>
        <v>46425</v>
      </c>
      <c r="C47" s="23" t="n">
        <f aca="false">SUMPRODUCT(CRONOGRAMA!$E$6:$E$29,CRONOGRAMA!AC$6:AC$29)</f>
        <v>1</v>
      </c>
      <c r="D47" s="23" t="n">
        <f aca="false">SUMPRODUCT(CRONOGRAMA!$E$6:$E$29,CRONOGRAMA!AC$33:AC$56)</f>
        <v>0</v>
      </c>
    </row>
    <row r="48" customFormat="false" ht="15" hidden="false" customHeight="false" outlineLevel="0" collapsed="false">
      <c r="A48" s="25" t="n">
        <v>19</v>
      </c>
      <c r="B48" s="52" t="n">
        <f aca="false">CRONOGRAMA!AD$5</f>
        <v>46432</v>
      </c>
      <c r="C48" s="23" t="n">
        <f aca="false">SUMPRODUCT(CRONOGRAMA!$E$6:$E$29,CRONOGRAMA!AD$6:AD$29)</f>
        <v>1</v>
      </c>
      <c r="D48" s="23" t="n">
        <f aca="false">SUMPRODUCT(CRONOGRAMA!$E$6:$E$29,CRONOGRAMA!AD$33:AD$56)</f>
        <v>0</v>
      </c>
    </row>
    <row r="49" customFormat="false" ht="15" hidden="false" customHeight="false" outlineLevel="0" collapsed="false">
      <c r="A49" s="25" t="n">
        <v>20</v>
      </c>
      <c r="B49" s="52" t="n">
        <f aca="false">CRONOGRAMA!AE$5</f>
        <v>46439</v>
      </c>
      <c r="C49" s="23" t="n">
        <f aca="false">SUMPRODUCT(CRONOGRAMA!$E$6:$E$29,CRONOGRAMA!AE$6:AE$29)</f>
        <v>1</v>
      </c>
      <c r="D49" s="23" t="n">
        <f aca="false">SUMPRODUCT(CRONOGRAMA!$E$6:$E$29,CRONOGRAMA!AE$33:AE$56)</f>
        <v>0</v>
      </c>
    </row>
    <row r="50" customFormat="false" ht="15" hidden="false" customHeight="false" outlineLevel="0" collapsed="false">
      <c r="A50" s="25" t="n">
        <v>21</v>
      </c>
      <c r="B50" s="52" t="n">
        <f aca="false">CRONOGRAMA!AF$5</f>
        <v>46446</v>
      </c>
      <c r="C50" s="23" t="n">
        <f aca="false">SUMPRODUCT(CRONOGRAMA!$E$6:$E$29,CRONOGRAMA!AF$6:AF$29)</f>
        <v>1</v>
      </c>
      <c r="D50" s="23" t="n">
        <f aca="false">SUMPRODUCT(CRONOGRAMA!$E$6:$E$29,CRONOGRAMA!AF$33:AF$56)</f>
        <v>0</v>
      </c>
    </row>
    <row r="51" customFormat="false" ht="15" hidden="false" customHeight="false" outlineLevel="0" collapsed="false">
      <c r="A51" s="25" t="n">
        <v>22</v>
      </c>
      <c r="B51" s="52" t="n">
        <f aca="false">CRONOGRAMA!AG$5</f>
        <v>46453</v>
      </c>
      <c r="C51" s="23" t="n">
        <f aca="false">SUMPRODUCT(CRONOGRAMA!$E$6:$E$29,CRONOGRAMA!AG$6:AG$29)</f>
        <v>1</v>
      </c>
      <c r="D51" s="23" t="n">
        <f aca="false">SUMPRODUCT(CRONOGRAMA!$E$6:$E$29,CRONOGRAMA!AG$33:AG$56)</f>
        <v>0</v>
      </c>
    </row>
    <row r="52" customFormat="false" ht="15" hidden="false" customHeight="false" outlineLevel="0" collapsed="false">
      <c r="A52" s="25" t="n">
        <v>23</v>
      </c>
      <c r="B52" s="52" t="n">
        <f aca="false">CRONOGRAMA!AH$5</f>
        <v>46460</v>
      </c>
      <c r="C52" s="23" t="n">
        <f aca="false">SUMPRODUCT(CRONOGRAMA!$E$6:$E$29,CRONOGRAMA!AH$6:AH$29)</f>
        <v>1</v>
      </c>
      <c r="D52" s="23" t="n">
        <f aca="false">SUMPRODUCT(CRONOGRAMA!$E$6:$E$29,CRONOGRAMA!AH$33:AH$56)</f>
        <v>0</v>
      </c>
    </row>
    <row r="53" customFormat="false" ht="15" hidden="false" customHeight="false" outlineLevel="0" collapsed="false">
      <c r="A53" s="25" t="n">
        <v>24</v>
      </c>
      <c r="B53" s="52" t="n">
        <f aca="false">CRONOGRAMA!AI$5</f>
        <v>46467</v>
      </c>
      <c r="C53" s="23" t="n">
        <f aca="false">SUMPRODUCT(CRONOGRAMA!$E$6:$E$29,CRONOGRAMA!AI$6:AI$29)</f>
        <v>1</v>
      </c>
      <c r="D53" s="23" t="n">
        <f aca="false">SUMPRODUCT(CRONOGRAMA!$E$6:$E$29,CRONOGRAMA!AI$33:AI$56)</f>
        <v>0</v>
      </c>
    </row>
    <row r="54" customFormat="false" ht="15" hidden="false" customHeight="false" outlineLevel="0" collapsed="false">
      <c r="A54" s="25" t="n">
        <v>25</v>
      </c>
      <c r="B54" s="52" t="n">
        <f aca="false">CRONOGRAMA!AJ$5</f>
        <v>46474</v>
      </c>
      <c r="C54" s="23" t="n">
        <f aca="false">SUMPRODUCT(CRONOGRAMA!$E$6:$E$29,CRONOGRAMA!AJ$6:AJ$29)</f>
        <v>1</v>
      </c>
      <c r="D54" s="23" t="n">
        <f aca="false">SUMPRODUCT(CRONOGRAMA!$E$6:$E$29,CRONOGRAMA!AJ$33:AJ$56)</f>
        <v>0</v>
      </c>
    </row>
    <row r="55" customFormat="false" ht="15" hidden="false" customHeight="false" outlineLevel="0" collapsed="false">
      <c r="A55" s="25" t="n">
        <v>26</v>
      </c>
      <c r="B55" s="52" t="n">
        <f aca="false">CRONOGRAMA!AK$5</f>
        <v>46481</v>
      </c>
      <c r="C55" s="23" t="n">
        <f aca="false">SUMPRODUCT(CRONOGRAMA!$E$6:$E$29,CRONOGRAMA!AK$6:AK$29)</f>
        <v>1</v>
      </c>
      <c r="D55" s="23" t="n">
        <f aca="false">SUMPRODUCT(CRONOGRAMA!$E$6:$E$29,CRONOGRAMA!AK$33:AK$56)</f>
        <v>0</v>
      </c>
    </row>
    <row r="57" customFormat="false" ht="15" hidden="false" customHeight="false" outlineLevel="0" collapsed="false">
      <c r="A57" s="3" t="s">
        <v>333</v>
      </c>
    </row>
    <row r="58" customFormat="false" ht="36" hidden="false" customHeight="true" outlineLevel="0" collapsed="false">
      <c r="A58" s="4" t="s">
        <v>107</v>
      </c>
      <c r="B58" s="4" t="s">
        <v>5</v>
      </c>
      <c r="C58" s="4" t="s">
        <v>334</v>
      </c>
      <c r="D58" s="4" t="s">
        <v>335</v>
      </c>
      <c r="E58" s="4" t="s">
        <v>336</v>
      </c>
      <c r="F58" s="4" t="s">
        <v>337</v>
      </c>
      <c r="G58" s="4" t="s">
        <v>338</v>
      </c>
      <c r="H58" s="4" t="s">
        <v>339</v>
      </c>
      <c r="I58" s="4" t="s">
        <v>340</v>
      </c>
    </row>
    <row r="59" customFormat="false" ht="15" hidden="false" customHeight="false" outlineLevel="0" collapsed="false">
      <c r="A59" s="5" t="s">
        <v>114</v>
      </c>
      <c r="B59" s="39" t="str">
        <f aca="false">INDEX(PARÁMETROS!$B$70:$B$89,MATCH(A59,PARÁMETROS!$A$70:$A$89,0))</f>
        <v>bolsa</v>
      </c>
      <c r="C59" s="55" t="n">
        <f aca="false">'LISTA DE COMPRAS'!F6</f>
        <v>1552</v>
      </c>
      <c r="D59" s="24" t="n">
        <f aca="false">SUMIFS('AVANCE REAL'!$K$6:$K$405,'AVANCE REAL'!$I$6:$I$405,A59)</f>
        <v>0</v>
      </c>
      <c r="E59" s="24" t="n">
        <f aca="false">SUMIFS('AVANCE REAL'!$L$6:$L$405,'AVANCE REAL'!$I$6:$I$405,A59)</f>
        <v>0</v>
      </c>
      <c r="F59" s="24" t="n">
        <f aca="false">D59-E59</f>
        <v>0</v>
      </c>
      <c r="G59" s="23" t="n">
        <f aca="false">IF(C59&gt;0,D59/C59,0)</f>
        <v>0</v>
      </c>
      <c r="H59" s="23" t="n">
        <f aca="false">IF(C59&gt;0,E59/C59,0)</f>
        <v>0</v>
      </c>
      <c r="I59" s="54" t="str">
        <f aca="false">IF(D59=0,"SIN RECEPCIÓN",IF(AND(C59-E59&gt;0,F59&lt;PARÁMETROS!$B$20*(C59-E59)),"STOCK BAJO","OK"))</f>
        <v>SIN RECEPCIÓN</v>
      </c>
    </row>
    <row r="60" customFormat="false" ht="15" hidden="false" customHeight="false" outlineLevel="0" collapsed="false">
      <c r="A60" s="5" t="s">
        <v>119</v>
      </c>
      <c r="B60" s="39" t="str">
        <f aca="false">INDEX(PARÁMETROS!$B$70:$B$89,MATCH(A60,PARÁMETROS!$A$70:$A$89,0))</f>
        <v>m³</v>
      </c>
      <c r="C60" s="55" t="n">
        <f aca="false">'LISTA DE COMPRAS'!F7</f>
        <v>86.5</v>
      </c>
      <c r="D60" s="24" t="n">
        <f aca="false">SUMIFS('AVANCE REAL'!$K$6:$K$405,'AVANCE REAL'!$I$6:$I$405,A60)</f>
        <v>0</v>
      </c>
      <c r="E60" s="24" t="n">
        <f aca="false">SUMIFS('AVANCE REAL'!$L$6:$L$405,'AVANCE REAL'!$I$6:$I$405,A60)</f>
        <v>0</v>
      </c>
      <c r="F60" s="24" t="n">
        <f aca="false">D60-E60</f>
        <v>0</v>
      </c>
      <c r="G60" s="23" t="n">
        <f aca="false">IF(C60&gt;0,D60/C60,0)</f>
        <v>0</v>
      </c>
      <c r="H60" s="23" t="n">
        <f aca="false">IF(C60&gt;0,E60/C60,0)</f>
        <v>0</v>
      </c>
      <c r="I60" s="54" t="str">
        <f aca="false">IF(D60=0,"SIN RECEPCIÓN",IF(AND(C60-E60&gt;0,F60&lt;PARÁMETROS!$B$20*(C60-E60)),"STOCK BAJO","OK"))</f>
        <v>SIN RECEPCIÓN</v>
      </c>
    </row>
    <row r="61" customFormat="false" ht="15" hidden="false" customHeight="false" outlineLevel="0" collapsed="false">
      <c r="A61" s="5" t="s">
        <v>123</v>
      </c>
      <c r="B61" s="39" t="str">
        <f aca="false">INDEX(PARÁMETROS!$B$70:$B$89,MATCH(A61,PARÁMETROS!$A$70:$A$89,0))</f>
        <v>m³</v>
      </c>
      <c r="C61" s="55" t="n">
        <f aca="false">'LISTA DE COMPRAS'!F8</f>
        <v>90</v>
      </c>
      <c r="D61" s="24" t="n">
        <f aca="false">SUMIFS('AVANCE REAL'!$K$6:$K$405,'AVANCE REAL'!$I$6:$I$405,A61)</f>
        <v>0</v>
      </c>
      <c r="E61" s="24" t="n">
        <f aca="false">SUMIFS('AVANCE REAL'!$L$6:$L$405,'AVANCE REAL'!$I$6:$I$405,A61)</f>
        <v>0</v>
      </c>
      <c r="F61" s="24" t="n">
        <f aca="false">D61-E61</f>
        <v>0</v>
      </c>
      <c r="G61" s="23" t="n">
        <f aca="false">IF(C61&gt;0,D61/C61,0)</f>
        <v>0</v>
      </c>
      <c r="H61" s="23" t="n">
        <f aca="false">IF(C61&gt;0,E61/C61,0)</f>
        <v>0</v>
      </c>
      <c r="I61" s="54" t="str">
        <f aca="false">IF(D61=0,"SIN RECEPCIÓN",IF(AND(C61-E61&gt;0,F61&lt;PARÁMETROS!$B$20*(C61-E61)),"STOCK BAJO","OK"))</f>
        <v>SIN RECEPCIÓN</v>
      </c>
    </row>
    <row r="62" customFormat="false" ht="15" hidden="false" customHeight="false" outlineLevel="0" collapsed="false">
      <c r="A62" s="5" t="s">
        <v>125</v>
      </c>
      <c r="B62" s="39" t="str">
        <f aca="false">INDEX(PARÁMETROS!$B$70:$B$89,MATCH(A62,PARÁMETROS!$A$70:$A$89,0))</f>
        <v>m³</v>
      </c>
      <c r="C62" s="55" t="n">
        <f aca="false">'LISTA DE COMPRAS'!F9</f>
        <v>32.5</v>
      </c>
      <c r="D62" s="24" t="n">
        <f aca="false">SUMIFS('AVANCE REAL'!$K$6:$K$405,'AVANCE REAL'!$I$6:$I$405,A62)</f>
        <v>0</v>
      </c>
      <c r="E62" s="24" t="n">
        <f aca="false">SUMIFS('AVANCE REAL'!$L$6:$L$405,'AVANCE REAL'!$I$6:$I$405,A62)</f>
        <v>0</v>
      </c>
      <c r="F62" s="24" t="n">
        <f aca="false">D62-E62</f>
        <v>0</v>
      </c>
      <c r="G62" s="23" t="n">
        <f aca="false">IF(C62&gt;0,D62/C62,0)</f>
        <v>0</v>
      </c>
      <c r="H62" s="23" t="n">
        <f aca="false">IF(C62&gt;0,E62/C62,0)</f>
        <v>0</v>
      </c>
      <c r="I62" s="54" t="str">
        <f aca="false">IF(D62=0,"SIN RECEPCIÓN",IF(AND(C62-E62&gt;0,F62&lt;PARÁMETROS!$B$20*(C62-E62)),"STOCK BAJO","OK"))</f>
        <v>SIN RECEPCIÓN</v>
      </c>
    </row>
    <row r="63" customFormat="false" ht="15" hidden="false" customHeight="false" outlineLevel="0" collapsed="false">
      <c r="A63" s="5" t="s">
        <v>128</v>
      </c>
      <c r="B63" s="39" t="str">
        <f aca="false">INDEX(PARÁMETROS!$B$70:$B$89,MATCH(A63,PARÁMETROS!$A$70:$A$89,0))</f>
        <v>und</v>
      </c>
      <c r="C63" s="55" t="n">
        <f aca="false">'LISTA DE COMPRAS'!F10</f>
        <v>600</v>
      </c>
      <c r="D63" s="24" t="n">
        <f aca="false">SUMIFS('AVANCE REAL'!$K$6:$K$405,'AVANCE REAL'!$I$6:$I$405,A63)</f>
        <v>0</v>
      </c>
      <c r="E63" s="24" t="n">
        <f aca="false">SUMIFS('AVANCE REAL'!$L$6:$L$405,'AVANCE REAL'!$I$6:$I$405,A63)</f>
        <v>0</v>
      </c>
      <c r="F63" s="24" t="n">
        <f aca="false">D63-E63</f>
        <v>0</v>
      </c>
      <c r="G63" s="23" t="n">
        <f aca="false">IF(C63&gt;0,D63/C63,0)</f>
        <v>0</v>
      </c>
      <c r="H63" s="23" t="n">
        <f aca="false">IF(C63&gt;0,E63/C63,0)</f>
        <v>0</v>
      </c>
      <c r="I63" s="54" t="str">
        <f aca="false">IF(D63=0,"SIN RECEPCIÓN",IF(AND(C63-E63&gt;0,F63&lt;PARÁMETROS!$B$20*(C63-E63)),"STOCK BAJO","OK"))</f>
        <v>SIN RECEPCIÓN</v>
      </c>
    </row>
    <row r="64" customFormat="false" ht="15" hidden="false" customHeight="false" outlineLevel="0" collapsed="false">
      <c r="A64" s="5" t="s">
        <v>132</v>
      </c>
      <c r="B64" s="39" t="str">
        <f aca="false">INDEX(PARÁMETROS!$B$70:$B$89,MATCH(A64,PARÁMETROS!$A$70:$A$89,0))</f>
        <v>und</v>
      </c>
      <c r="C64" s="55" t="n">
        <f aca="false">'LISTA DE COMPRAS'!F11</f>
        <v>440</v>
      </c>
      <c r="D64" s="24" t="n">
        <f aca="false">SUMIFS('AVANCE REAL'!$K$6:$K$405,'AVANCE REAL'!$I$6:$I$405,A64)</f>
        <v>0</v>
      </c>
      <c r="E64" s="24" t="n">
        <f aca="false">SUMIFS('AVANCE REAL'!$L$6:$L$405,'AVANCE REAL'!$I$6:$I$405,A64)</f>
        <v>0</v>
      </c>
      <c r="F64" s="24" t="n">
        <f aca="false">D64-E64</f>
        <v>0</v>
      </c>
      <c r="G64" s="23" t="n">
        <f aca="false">IF(C64&gt;0,D64/C64,0)</f>
        <v>0</v>
      </c>
      <c r="H64" s="23" t="n">
        <f aca="false">IF(C64&gt;0,E64/C64,0)</f>
        <v>0</v>
      </c>
      <c r="I64" s="54" t="str">
        <f aca="false">IF(D64=0,"SIN RECEPCIÓN",IF(AND(C64-E64&gt;0,F64&lt;PARÁMETROS!$B$20*(C64-E64)),"STOCK BAJO","OK"))</f>
        <v>SIN RECEPCIÓN</v>
      </c>
    </row>
    <row r="65" customFormat="false" ht="15" hidden="false" customHeight="false" outlineLevel="0" collapsed="false">
      <c r="A65" s="5" t="s">
        <v>136</v>
      </c>
      <c r="B65" s="39" t="str">
        <f aca="false">INDEX(PARÁMETROS!$B$70:$B$89,MATCH(A65,PARÁMETROS!$A$70:$A$89,0))</f>
        <v>und</v>
      </c>
      <c r="C65" s="55" t="n">
        <f aca="false">'LISTA DE COMPRAS'!F12</f>
        <v>1152</v>
      </c>
      <c r="D65" s="24" t="n">
        <f aca="false">SUMIFS('AVANCE REAL'!$K$6:$K$405,'AVANCE REAL'!$I$6:$I$405,A65)</f>
        <v>0</v>
      </c>
      <c r="E65" s="24" t="n">
        <f aca="false">SUMIFS('AVANCE REAL'!$L$6:$L$405,'AVANCE REAL'!$I$6:$I$405,A65)</f>
        <v>0</v>
      </c>
      <c r="F65" s="24" t="n">
        <f aca="false">D65-E65</f>
        <v>0</v>
      </c>
      <c r="G65" s="23" t="n">
        <f aca="false">IF(C65&gt;0,D65/C65,0)</f>
        <v>0</v>
      </c>
      <c r="H65" s="23" t="n">
        <f aca="false">IF(C65&gt;0,E65/C65,0)</f>
        <v>0</v>
      </c>
      <c r="I65" s="54" t="str">
        <f aca="false">IF(D65=0,"SIN RECEPCIÓN",IF(AND(C65-E65&gt;0,F65&lt;PARÁMETROS!$B$20*(C65-E65)),"STOCK BAJO","OK"))</f>
        <v>SIN RECEPCIÓN</v>
      </c>
    </row>
    <row r="66" customFormat="false" ht="15" hidden="false" customHeight="false" outlineLevel="0" collapsed="false">
      <c r="A66" s="5" t="s">
        <v>138</v>
      </c>
      <c r="B66" s="39" t="str">
        <f aca="false">INDEX(PARÁMETROS!$B$70:$B$89,MATCH(A66,PARÁMETROS!$A$70:$A$89,0))</f>
        <v>und</v>
      </c>
      <c r="C66" s="55" t="n">
        <f aca="false">'LISTA DE COMPRAS'!F13</f>
        <v>171</v>
      </c>
      <c r="D66" s="24" t="n">
        <f aca="false">SUMIFS('AVANCE REAL'!$K$6:$K$405,'AVANCE REAL'!$I$6:$I$405,A66)</f>
        <v>0</v>
      </c>
      <c r="E66" s="24" t="n">
        <f aca="false">SUMIFS('AVANCE REAL'!$L$6:$L$405,'AVANCE REAL'!$I$6:$I$405,A66)</f>
        <v>0</v>
      </c>
      <c r="F66" s="24" t="n">
        <f aca="false">D66-E66</f>
        <v>0</v>
      </c>
      <c r="G66" s="23" t="n">
        <f aca="false">IF(C66&gt;0,D66/C66,0)</f>
        <v>0</v>
      </c>
      <c r="H66" s="23" t="n">
        <f aca="false">IF(C66&gt;0,E66/C66,0)</f>
        <v>0</v>
      </c>
      <c r="I66" s="54" t="str">
        <f aca="false">IF(D66=0,"SIN RECEPCIÓN",IF(AND(C66-E66&gt;0,F66&lt;PARÁMETROS!$B$20*(C66-E66)),"STOCK BAJO","OK"))</f>
        <v>SIN RECEPCIÓN</v>
      </c>
    </row>
    <row r="67" customFormat="false" ht="15" hidden="false" customHeight="false" outlineLevel="0" collapsed="false">
      <c r="A67" s="5" t="s">
        <v>139</v>
      </c>
      <c r="B67" s="39" t="str">
        <f aca="false">INDEX(PARÁMETROS!$B$70:$B$89,MATCH(A67,PARÁMETROS!$A$70:$A$89,0))</f>
        <v>und</v>
      </c>
      <c r="C67" s="55" t="n">
        <f aca="false">'LISTA DE COMPRAS'!F14</f>
        <v>377</v>
      </c>
      <c r="D67" s="24" t="n">
        <f aca="false">SUMIFS('AVANCE REAL'!$K$6:$K$405,'AVANCE REAL'!$I$6:$I$405,A67)</f>
        <v>0</v>
      </c>
      <c r="E67" s="24" t="n">
        <f aca="false">SUMIFS('AVANCE REAL'!$L$6:$L$405,'AVANCE REAL'!$I$6:$I$405,A67)</f>
        <v>0</v>
      </c>
      <c r="F67" s="24" t="n">
        <f aca="false">D67-E67</f>
        <v>0</v>
      </c>
      <c r="G67" s="23" t="n">
        <f aca="false">IF(C67&gt;0,D67/C67,0)</f>
        <v>0</v>
      </c>
      <c r="H67" s="23" t="n">
        <f aca="false">IF(C67&gt;0,E67/C67,0)</f>
        <v>0</v>
      </c>
      <c r="I67" s="54" t="str">
        <f aca="false">IF(D67=0,"SIN RECEPCIÓN",IF(AND(C67-E67&gt;0,F67&lt;PARÁMETROS!$B$20*(C67-E67)),"STOCK BAJO","OK"))</f>
        <v>SIN RECEPCIÓN</v>
      </c>
    </row>
    <row r="68" customFormat="false" ht="15" hidden="false" customHeight="false" outlineLevel="0" collapsed="false">
      <c r="A68" s="5" t="s">
        <v>140</v>
      </c>
      <c r="B68" s="39" t="str">
        <f aca="false">INDEX(PARÁMETROS!$B$70:$B$89,MATCH(A68,PARÁMETROS!$A$70:$A$89,0))</f>
        <v>und</v>
      </c>
      <c r="C68" s="55" t="n">
        <f aca="false">'LISTA DE COMPRAS'!F15</f>
        <v>372</v>
      </c>
      <c r="D68" s="24" t="n">
        <f aca="false">SUMIFS('AVANCE REAL'!$K$6:$K$405,'AVANCE REAL'!$I$6:$I$405,A68)</f>
        <v>0</v>
      </c>
      <c r="E68" s="24" t="n">
        <f aca="false">SUMIFS('AVANCE REAL'!$L$6:$L$405,'AVANCE REAL'!$I$6:$I$405,A68)</f>
        <v>0</v>
      </c>
      <c r="F68" s="24" t="n">
        <f aca="false">D68-E68</f>
        <v>0</v>
      </c>
      <c r="G68" s="23" t="n">
        <f aca="false">IF(C68&gt;0,D68/C68,0)</f>
        <v>0</v>
      </c>
      <c r="H68" s="23" t="n">
        <f aca="false">IF(C68&gt;0,E68/C68,0)</f>
        <v>0</v>
      </c>
      <c r="I68" s="54" t="str">
        <f aca="false">IF(D68=0,"SIN RECEPCIÓN",IF(AND(C68-E68&gt;0,F68&lt;PARÁMETROS!$B$20*(C68-E68)),"STOCK BAJO","OK"))</f>
        <v>SIN RECEPCIÓN</v>
      </c>
    </row>
    <row r="69" customFormat="false" ht="15" hidden="false" customHeight="false" outlineLevel="0" collapsed="false">
      <c r="A69" s="5" t="s">
        <v>141</v>
      </c>
      <c r="B69" s="39" t="str">
        <f aca="false">INDEX(PARÁMETROS!$B$70:$B$89,MATCH(A69,PARÁMETROS!$A$70:$A$89,0))</f>
        <v>kg</v>
      </c>
      <c r="C69" s="55" t="n">
        <f aca="false">'LISTA DE COMPRAS'!F16</f>
        <v>567</v>
      </c>
      <c r="D69" s="24" t="n">
        <f aca="false">SUMIFS('AVANCE REAL'!$K$6:$K$405,'AVANCE REAL'!$I$6:$I$405,A69)</f>
        <v>0</v>
      </c>
      <c r="E69" s="24" t="n">
        <f aca="false">SUMIFS('AVANCE REAL'!$L$6:$L$405,'AVANCE REAL'!$I$6:$I$405,A69)</f>
        <v>0</v>
      </c>
      <c r="F69" s="24" t="n">
        <f aca="false">D69-E69</f>
        <v>0</v>
      </c>
      <c r="G69" s="23" t="n">
        <f aca="false">IF(C69&gt;0,D69/C69,0)</f>
        <v>0</v>
      </c>
      <c r="H69" s="23" t="n">
        <f aca="false">IF(C69&gt;0,E69/C69,0)</f>
        <v>0</v>
      </c>
      <c r="I69" s="54" t="str">
        <f aca="false">IF(D69=0,"SIN RECEPCIÓN",IF(AND(C69-E69&gt;0,F69&lt;PARÁMETROS!$B$20*(C69-E69)),"STOCK BAJO","OK"))</f>
        <v>SIN RECEPCIÓN</v>
      </c>
    </row>
    <row r="70" customFormat="false" ht="15" hidden="false" customHeight="false" outlineLevel="0" collapsed="false">
      <c r="A70" s="5" t="s">
        <v>144</v>
      </c>
      <c r="B70" s="39" t="str">
        <f aca="false">INDEX(PARÁMETROS!$B$70:$B$89,MATCH(A70,PARÁMETROS!$A$70:$A$89,0))</f>
        <v>und</v>
      </c>
      <c r="C70" s="55" t="n">
        <f aca="false">'LISTA DE COMPRAS'!F17</f>
        <v>83</v>
      </c>
      <c r="D70" s="24" t="n">
        <f aca="false">SUMIFS('AVANCE REAL'!$K$6:$K$405,'AVANCE REAL'!$I$6:$I$405,A70)</f>
        <v>0</v>
      </c>
      <c r="E70" s="24" t="n">
        <f aca="false">SUMIFS('AVANCE REAL'!$L$6:$L$405,'AVANCE REAL'!$I$6:$I$405,A70)</f>
        <v>0</v>
      </c>
      <c r="F70" s="24" t="n">
        <f aca="false">D70-E70</f>
        <v>0</v>
      </c>
      <c r="G70" s="23" t="n">
        <f aca="false">IF(C70&gt;0,D70/C70,0)</f>
        <v>0</v>
      </c>
      <c r="H70" s="23" t="n">
        <f aca="false">IF(C70&gt;0,E70/C70,0)</f>
        <v>0</v>
      </c>
      <c r="I70" s="54" t="str">
        <f aca="false">IF(D70=0,"SIN RECEPCIÓN",IF(AND(C70-E70&gt;0,F70&lt;PARÁMETROS!$B$20*(C70-E70)),"STOCK BAJO","OK"))</f>
        <v>SIN RECEPCIÓN</v>
      </c>
    </row>
    <row r="71" customFormat="false" ht="15" hidden="false" customHeight="false" outlineLevel="0" collapsed="false">
      <c r="A71" s="5" t="s">
        <v>146</v>
      </c>
      <c r="B71" s="39" t="str">
        <f aca="false">INDEX(PARÁMETROS!$B$70:$B$89,MATCH(A71,PARÁMETROS!$A$70:$A$89,0))</f>
        <v>und</v>
      </c>
      <c r="C71" s="55" t="n">
        <f aca="false">'LISTA DE COMPRAS'!F18</f>
        <v>2277</v>
      </c>
      <c r="D71" s="24" t="n">
        <f aca="false">SUMIFS('AVANCE REAL'!$K$6:$K$405,'AVANCE REAL'!$I$6:$I$405,A71)</f>
        <v>0</v>
      </c>
      <c r="E71" s="24" t="n">
        <f aca="false">SUMIFS('AVANCE REAL'!$L$6:$L$405,'AVANCE REAL'!$I$6:$I$405,A71)</f>
        <v>0</v>
      </c>
      <c r="F71" s="24" t="n">
        <f aca="false">D71-E71</f>
        <v>0</v>
      </c>
      <c r="G71" s="23" t="n">
        <f aca="false">IF(C71&gt;0,D71/C71,0)</f>
        <v>0</v>
      </c>
      <c r="H71" s="23" t="n">
        <f aca="false">IF(C71&gt;0,E71/C71,0)</f>
        <v>0</v>
      </c>
      <c r="I71" s="54" t="str">
        <f aca="false">IF(D71=0,"SIN RECEPCIÓN",IF(AND(C71-E71&gt;0,F71&lt;PARÁMETROS!$B$20*(C71-E71)),"STOCK BAJO","OK"))</f>
        <v>SIN RECEPCIÓN</v>
      </c>
    </row>
    <row r="72" customFormat="false" ht="15" hidden="false" customHeight="false" outlineLevel="0" collapsed="false">
      <c r="A72" s="5" t="s">
        <v>148</v>
      </c>
      <c r="B72" s="39" t="str">
        <f aca="false">INDEX(PARÁMETROS!$B$70:$B$89,MATCH(A72,PARÁMETROS!$A$70:$A$89,0))</f>
        <v>p²</v>
      </c>
      <c r="C72" s="55" t="n">
        <f aca="false">'LISTA DE COMPRAS'!F19</f>
        <v>731</v>
      </c>
      <c r="D72" s="24" t="n">
        <f aca="false">SUMIFS('AVANCE REAL'!$K$6:$K$405,'AVANCE REAL'!$I$6:$I$405,A72)</f>
        <v>0</v>
      </c>
      <c r="E72" s="24" t="n">
        <f aca="false">SUMIFS('AVANCE REAL'!$L$6:$L$405,'AVANCE REAL'!$I$6:$I$405,A72)</f>
        <v>0</v>
      </c>
      <c r="F72" s="24" t="n">
        <f aca="false">D72-E72</f>
        <v>0</v>
      </c>
      <c r="G72" s="23" t="n">
        <f aca="false">IF(C72&gt;0,D72/C72,0)</f>
        <v>0</v>
      </c>
      <c r="H72" s="23" t="n">
        <f aca="false">IF(C72&gt;0,E72/C72,0)</f>
        <v>0</v>
      </c>
      <c r="I72" s="54" t="str">
        <f aca="false">IF(D72=0,"SIN RECEPCIÓN",IF(AND(C72-E72&gt;0,F72&lt;PARÁMETROS!$B$20*(C72-E72)),"STOCK BAJO","OK"))</f>
        <v>SIN RECEPCIÓN</v>
      </c>
    </row>
    <row r="73" customFormat="false" ht="15" hidden="false" customHeight="false" outlineLevel="0" collapsed="false">
      <c r="A73" s="5" t="s">
        <v>153</v>
      </c>
      <c r="B73" s="39" t="str">
        <f aca="false">INDEX(PARÁMETROS!$B$70:$B$89,MATCH(A73,PARÁMETROS!$A$70:$A$89,0))</f>
        <v>plancha</v>
      </c>
      <c r="C73" s="55" t="n">
        <f aca="false">'LISTA DE COMPRAS'!F20</f>
        <v>64</v>
      </c>
      <c r="D73" s="24" t="n">
        <f aca="false">SUMIFS('AVANCE REAL'!$K$6:$K$405,'AVANCE REAL'!$I$6:$I$405,A73)</f>
        <v>0</v>
      </c>
      <c r="E73" s="24" t="n">
        <f aca="false">SUMIFS('AVANCE REAL'!$L$6:$L$405,'AVANCE REAL'!$I$6:$I$405,A73)</f>
        <v>0</v>
      </c>
      <c r="F73" s="24" t="n">
        <f aca="false">D73-E73</f>
        <v>0</v>
      </c>
      <c r="G73" s="23" t="n">
        <f aca="false">IF(C73&gt;0,D73/C73,0)</f>
        <v>0</v>
      </c>
      <c r="H73" s="23" t="n">
        <f aca="false">IF(C73&gt;0,E73/C73,0)</f>
        <v>0</v>
      </c>
      <c r="I73" s="54" t="str">
        <f aca="false">IF(D73=0,"SIN RECEPCIÓN",IF(AND(C73-E73&gt;0,F73&lt;PARÁMETROS!$B$20*(C73-E73)),"STOCK BAJO","OK"))</f>
        <v>SIN RECEPCIÓN</v>
      </c>
    </row>
    <row r="74" customFormat="false" ht="15" hidden="false" customHeight="false" outlineLevel="0" collapsed="false">
      <c r="A74" s="5" t="s">
        <v>155</v>
      </c>
      <c r="B74" s="39" t="str">
        <f aca="false">INDEX(PARÁMETROS!$B$70:$B$89,MATCH(A74,PARÁMETROS!$A$70:$A$89,0))</f>
        <v>und</v>
      </c>
      <c r="C74" s="55" t="n">
        <f aca="false">'LISTA DE COMPRAS'!F21</f>
        <v>76</v>
      </c>
      <c r="D74" s="24" t="n">
        <f aca="false">SUMIFS('AVANCE REAL'!$K$6:$K$405,'AVANCE REAL'!$I$6:$I$405,A74)</f>
        <v>0</v>
      </c>
      <c r="E74" s="24" t="n">
        <f aca="false">SUMIFS('AVANCE REAL'!$L$6:$L$405,'AVANCE REAL'!$I$6:$I$405,A74)</f>
        <v>0</v>
      </c>
      <c r="F74" s="24" t="n">
        <f aca="false">D74-E74</f>
        <v>0</v>
      </c>
      <c r="G74" s="23" t="n">
        <f aca="false">IF(C74&gt;0,D74/C74,0)</f>
        <v>0</v>
      </c>
      <c r="H74" s="23" t="n">
        <f aca="false">IF(C74&gt;0,E74/C74,0)</f>
        <v>0</v>
      </c>
      <c r="I74" s="54" t="str">
        <f aca="false">IF(D74=0,"SIN RECEPCIÓN",IF(AND(C74-E74&gt;0,F74&lt;PARÁMETROS!$B$20*(C74-E74)),"STOCK BAJO","OK"))</f>
        <v>SIN RECEPCIÓN</v>
      </c>
    </row>
    <row r="75" customFormat="false" ht="15" hidden="false" customHeight="false" outlineLevel="0" collapsed="false">
      <c r="A75" s="5" t="s">
        <v>157</v>
      </c>
      <c r="B75" s="39" t="str">
        <f aca="false">INDEX(PARÁMETROS!$B$70:$B$89,MATCH(A75,PARÁMETROS!$A$70:$A$89,0))</f>
        <v>kg</v>
      </c>
      <c r="C75" s="55" t="n">
        <f aca="false">'LISTA DE COMPRAS'!F22</f>
        <v>152</v>
      </c>
      <c r="D75" s="24" t="n">
        <f aca="false">SUMIFS('AVANCE REAL'!$K$6:$K$405,'AVANCE REAL'!$I$6:$I$405,A75)</f>
        <v>0</v>
      </c>
      <c r="E75" s="24" t="n">
        <f aca="false">SUMIFS('AVANCE REAL'!$L$6:$L$405,'AVANCE REAL'!$I$6:$I$405,A75)</f>
        <v>0</v>
      </c>
      <c r="F75" s="24" t="n">
        <f aca="false">D75-E75</f>
        <v>0</v>
      </c>
      <c r="G75" s="23" t="n">
        <f aca="false">IF(C75&gt;0,D75/C75,0)</f>
        <v>0</v>
      </c>
      <c r="H75" s="23" t="n">
        <f aca="false">IF(C75&gt;0,E75/C75,0)</f>
        <v>0</v>
      </c>
      <c r="I75" s="54" t="str">
        <f aca="false">IF(D75=0,"SIN RECEPCIÓN",IF(AND(C75-E75&gt;0,F75&lt;PARÁMETROS!$B$20*(C75-E75)),"STOCK BAJO","OK"))</f>
        <v>SIN RECEPCIÓN</v>
      </c>
    </row>
    <row r="76" customFormat="false" ht="15" hidden="false" customHeight="false" outlineLevel="0" collapsed="false">
      <c r="A76" s="5" t="s">
        <v>158</v>
      </c>
      <c r="B76" s="39" t="str">
        <f aca="false">INDEX(PARÁMETROS!$B$70:$B$89,MATCH(A76,PARÁMETROS!$A$70:$A$89,0))</f>
        <v>kg</v>
      </c>
      <c r="C76" s="55" t="n">
        <f aca="false">'LISTA DE COMPRAS'!F23</f>
        <v>210</v>
      </c>
      <c r="D76" s="24" t="n">
        <f aca="false">SUMIFS('AVANCE REAL'!$K$6:$K$405,'AVANCE REAL'!$I$6:$I$405,A76)</f>
        <v>0</v>
      </c>
      <c r="E76" s="24" t="n">
        <f aca="false">SUMIFS('AVANCE REAL'!$L$6:$L$405,'AVANCE REAL'!$I$6:$I$405,A76)</f>
        <v>0</v>
      </c>
      <c r="F76" s="24" t="n">
        <f aca="false">D76-E76</f>
        <v>0</v>
      </c>
      <c r="G76" s="23" t="n">
        <f aca="false">IF(C76&gt;0,D76/C76,0)</f>
        <v>0</v>
      </c>
      <c r="H76" s="23" t="n">
        <f aca="false">IF(C76&gt;0,E76/C76,0)</f>
        <v>0</v>
      </c>
      <c r="I76" s="54" t="str">
        <f aca="false">IF(D76=0,"SIN RECEPCIÓN",IF(AND(C76-E76&gt;0,F76&lt;PARÁMETROS!$B$20*(C76-E76)),"STOCK BAJO","OK"))</f>
        <v>SIN RECEPCIÓN</v>
      </c>
    </row>
    <row r="77" customFormat="false" ht="15" hidden="false" customHeight="false" outlineLevel="0" collapsed="false">
      <c r="A77" s="5" t="s">
        <v>160</v>
      </c>
      <c r="B77" s="39" t="str">
        <f aca="false">INDEX(PARÁMETROS!$B$70:$B$89,MATCH(A77,PARÁMETROS!$A$70:$A$89,0))</f>
        <v>gal</v>
      </c>
      <c r="C77" s="55" t="n">
        <f aca="false">'LISTA DE COMPRAS'!F24</f>
        <v>23</v>
      </c>
      <c r="D77" s="24" t="n">
        <f aca="false">SUMIFS('AVANCE REAL'!$K$6:$K$405,'AVANCE REAL'!$I$6:$I$405,A77)</f>
        <v>0</v>
      </c>
      <c r="E77" s="24" t="n">
        <f aca="false">SUMIFS('AVANCE REAL'!$L$6:$L$405,'AVANCE REAL'!$I$6:$I$405,A77)</f>
        <v>0</v>
      </c>
      <c r="F77" s="24" t="n">
        <f aca="false">D77-E77</f>
        <v>0</v>
      </c>
      <c r="G77" s="23" t="n">
        <f aca="false">IF(C77&gt;0,D77/C77,0)</f>
        <v>0</v>
      </c>
      <c r="H77" s="23" t="n">
        <f aca="false">IF(C77&gt;0,E77/C77,0)</f>
        <v>0</v>
      </c>
      <c r="I77" s="54" t="str">
        <f aca="false">IF(D77=0,"SIN RECEPCIÓN",IF(AND(C77-E77&gt;0,F77&lt;PARÁMETROS!$B$20*(C77-E77)),"STOCK BAJO","OK"))</f>
        <v>SIN RECEPCIÓN</v>
      </c>
    </row>
    <row r="78" customFormat="false" ht="15" hidden="false" customHeight="false" outlineLevel="0" collapsed="false">
      <c r="A78" s="5" t="s">
        <v>162</v>
      </c>
      <c r="B78" s="39" t="str">
        <f aca="false">INDEX(PARÁMETROS!$B$70:$B$89,MATCH(A78,PARÁMETROS!$A$70:$A$89,0))</f>
        <v>gal</v>
      </c>
      <c r="C78" s="55" t="n">
        <f aca="false">'LISTA DE COMPRAS'!F25</f>
        <v>61</v>
      </c>
      <c r="D78" s="24" t="n">
        <f aca="false">SUMIFS('AVANCE REAL'!$K$6:$K$405,'AVANCE REAL'!$I$6:$I$405,A78)</f>
        <v>0</v>
      </c>
      <c r="E78" s="24" t="n">
        <f aca="false">SUMIFS('AVANCE REAL'!$L$6:$L$405,'AVANCE REAL'!$I$6:$I$405,A78)</f>
        <v>0</v>
      </c>
      <c r="F78" s="24" t="n">
        <f aca="false">D78-E78</f>
        <v>0</v>
      </c>
      <c r="G78" s="23" t="n">
        <f aca="false">IF(C78&gt;0,D78/C78,0)</f>
        <v>0</v>
      </c>
      <c r="H78" s="23" t="n">
        <f aca="false">IF(C78&gt;0,E78/C78,0)</f>
        <v>0</v>
      </c>
      <c r="I78" s="54" t="str">
        <f aca="false">IF(D78=0,"SIN RECEPCIÓN",IF(AND(C78-E78&gt;0,F78&lt;PARÁMETROS!$B$20*(C78-E78)),"STOCK BAJO","OK"))</f>
        <v>SIN RECEPCIÓN</v>
      </c>
    </row>
  </sheetData>
  <conditionalFormatting sqref="B9">
    <cfRule type="cellIs" priority="2" operator="equal" aboveAverage="0" equalAverage="0" bottom="0" percent="0" rank="0" text="" dxfId="4">
      <formula>"VERDE"</formula>
    </cfRule>
    <cfRule type="cellIs" priority="3" operator="equal" aboveAverage="0" equalAverage="0" bottom="0" percent="0" rank="0" text="" dxfId="5">
      <formula>"ÁMBAR"</formula>
    </cfRule>
    <cfRule type="cellIs" priority="4" operator="equal" aboveAverage="0" equalAverage="0" bottom="0" percent="0" rank="0" text="" dxfId="6">
      <formula>"ROJO"</formula>
    </cfRule>
  </conditionalFormatting>
  <conditionalFormatting sqref="F14:F19">
    <cfRule type="cellIs" priority="5" operator="equal" aboveAverage="0" equalAverage="0" bottom="0" percent="0" rank="0" text="" dxfId="4">
      <formula>"VERDE"</formula>
    </cfRule>
    <cfRule type="cellIs" priority="6" operator="equal" aboveAverage="0" equalAverage="0" bottom="0" percent="0" rank="0" text="" dxfId="5">
      <formula>"ÁMBAR"</formula>
    </cfRule>
    <cfRule type="cellIs" priority="7" operator="equal" aboveAverage="0" equalAverage="0" bottom="0" percent="0" rank="0" text="" dxfId="6">
      <formula>"ROJO"</formula>
    </cfRule>
  </conditionalFormatting>
  <conditionalFormatting sqref="F23:F26">
    <cfRule type="cellIs" priority="8" operator="equal" aboveAverage="0" equalAverage="0" bottom="0" percent="0" rank="0" text="" dxfId="4">
      <formula>"VERDE"</formula>
    </cfRule>
    <cfRule type="cellIs" priority="9" operator="equal" aboveAverage="0" equalAverage="0" bottom="0" percent="0" rank="0" text="" dxfId="5">
      <formula>"ÁMBAR"</formula>
    </cfRule>
    <cfRule type="cellIs" priority="10" operator="equal" aboveAverage="0" equalAverage="0" bottom="0" percent="0" rank="0" text="" dxfId="6">
      <formula>"ROJO"</formula>
    </cfRule>
  </conditionalFormatting>
  <conditionalFormatting sqref="I59:I78">
    <cfRule type="cellIs" priority="11" operator="equal" aboveAverage="0" equalAverage="0" bottom="0" percent="0" rank="0" text="" dxfId="6">
      <formula>"STOCK BAJO"</formula>
    </cfRule>
    <cfRule type="cellIs" priority="12" operator="equal" aboveAverage="0" equalAverage="0" bottom="0" percent="0" rank="0" text="" dxfId="7">
      <formula>"OK"</formula>
    </cfRule>
    <cfRule type="cellIs" priority="13" operator="equal" aboveAverage="0" equalAverage="0" bottom="0" percent="0" rank="0" text="" dxfId="8">
      <formula>"SIN RECEPCIÓN"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30"/>
  </cols>
  <sheetData>
    <row r="1" customFormat="false" ht="17.35" hidden="false" customHeight="false" outlineLevel="0" collapsed="false">
      <c r="A1" s="1" t="s">
        <v>341</v>
      </c>
    </row>
    <row r="2" customFormat="false" ht="15" hidden="false" customHeight="false" outlineLevel="0" collapsed="false">
      <c r="A2" s="2" t="s">
        <v>342</v>
      </c>
    </row>
    <row r="4" customFormat="false" ht="15" hidden="false" customHeight="false" outlineLevel="0" collapsed="false">
      <c r="A4" s="3" t="s">
        <v>343</v>
      </c>
    </row>
    <row r="5" customFormat="false" ht="30" hidden="false" customHeight="true" outlineLevel="0" collapsed="false">
      <c r="A5" s="56" t="s">
        <v>344</v>
      </c>
      <c r="B5" s="57" t="s">
        <v>345</v>
      </c>
    </row>
    <row r="6" customFormat="false" ht="30" hidden="false" customHeight="true" outlineLevel="0" collapsed="false">
      <c r="A6" s="56" t="s">
        <v>346</v>
      </c>
      <c r="B6" s="57" t="s">
        <v>347</v>
      </c>
    </row>
    <row r="7" customFormat="false" ht="45" hidden="false" customHeight="true" outlineLevel="0" collapsed="false">
      <c r="A7" s="56" t="s">
        <v>348</v>
      </c>
      <c r="B7" s="57" t="s">
        <v>349</v>
      </c>
    </row>
    <row r="8" customFormat="false" ht="45" hidden="false" customHeight="true" outlineLevel="0" collapsed="false">
      <c r="A8" s="56" t="s">
        <v>350</v>
      </c>
      <c r="B8" s="57" t="s">
        <v>351</v>
      </c>
    </row>
    <row r="9" customFormat="false" ht="45" hidden="false" customHeight="true" outlineLevel="0" collapsed="false">
      <c r="A9" s="56" t="s">
        <v>352</v>
      </c>
      <c r="B9" s="57" t="s">
        <v>353</v>
      </c>
    </row>
    <row r="10" customFormat="false" ht="15" hidden="false" customHeight="false" outlineLevel="0" collapsed="false">
      <c r="A10" s="3" t="s">
        <v>354</v>
      </c>
    </row>
    <row r="11" customFormat="false" ht="60" hidden="false" customHeight="true" outlineLevel="0" collapsed="false">
      <c r="A11" s="56" t="s">
        <v>355</v>
      </c>
      <c r="B11" s="57" t="s">
        <v>356</v>
      </c>
    </row>
    <row r="12" customFormat="false" ht="30" hidden="false" customHeight="true" outlineLevel="0" collapsed="false">
      <c r="A12" s="56" t="s">
        <v>357</v>
      </c>
      <c r="B12" s="57" t="s">
        <v>358</v>
      </c>
    </row>
    <row r="13" customFormat="false" ht="15" hidden="false" customHeight="false" outlineLevel="0" collapsed="false">
      <c r="A13" s="3" t="s">
        <v>359</v>
      </c>
    </row>
    <row r="14" customFormat="false" ht="30" hidden="false" customHeight="true" outlineLevel="0" collapsed="false">
      <c r="A14" s="56" t="s">
        <v>360</v>
      </c>
      <c r="B14" s="57" t="s">
        <v>361</v>
      </c>
    </row>
    <row r="15" customFormat="false" ht="30" hidden="false" customHeight="true" outlineLevel="0" collapsed="false">
      <c r="A15" s="56" t="s">
        <v>362</v>
      </c>
      <c r="B15" s="57" t="s">
        <v>363</v>
      </c>
    </row>
    <row r="16" customFormat="false" ht="30" hidden="false" customHeight="true" outlineLevel="0" collapsed="false">
      <c r="A16" s="56" t="s">
        <v>364</v>
      </c>
      <c r="B16" s="57" t="s">
        <v>365</v>
      </c>
    </row>
    <row r="17" customFormat="false" ht="30" hidden="false" customHeight="true" outlineLevel="0" collapsed="false">
      <c r="A17" s="56" t="s">
        <v>366</v>
      </c>
      <c r="B17" s="57" t="s">
        <v>367</v>
      </c>
    </row>
    <row r="18" customFormat="false" ht="15" hidden="false" customHeight="false" outlineLevel="0" collapsed="false">
      <c r="A18" s="3" t="s">
        <v>368</v>
      </c>
    </row>
    <row r="19" customFormat="false" ht="45" hidden="false" customHeight="true" outlineLevel="0" collapsed="false">
      <c r="A19" s="56" t="s">
        <v>369</v>
      </c>
      <c r="B19" s="57" t="s">
        <v>370</v>
      </c>
    </row>
    <row r="20" customFormat="false" ht="45" hidden="false" customHeight="true" outlineLevel="0" collapsed="false">
      <c r="A20" s="56" t="s">
        <v>371</v>
      </c>
      <c r="B20" s="57" t="s">
        <v>372</v>
      </c>
    </row>
    <row r="21" customFormat="false" ht="15" hidden="false" customHeight="true" outlineLevel="0" collapsed="false">
      <c r="A21" s="56" t="s">
        <v>373</v>
      </c>
      <c r="B21" s="57" t="s">
        <v>374</v>
      </c>
    </row>
    <row r="22" customFormat="false" ht="30" hidden="false" customHeight="true" outlineLevel="0" collapsed="false">
      <c r="A22" s="56" t="s">
        <v>375</v>
      </c>
      <c r="B22" s="57" t="s">
        <v>376</v>
      </c>
    </row>
    <row r="23" customFormat="false" ht="15" hidden="false" customHeight="false" outlineLevel="0" collapsed="false">
      <c r="A23" s="3" t="s">
        <v>377</v>
      </c>
    </row>
    <row r="24" customFormat="false" ht="45" hidden="false" customHeight="true" outlineLevel="0" collapsed="false">
      <c r="A24" s="56" t="s">
        <v>378</v>
      </c>
      <c r="B24" s="57" t="s">
        <v>379</v>
      </c>
    </row>
    <row r="25" customFormat="false" ht="30" hidden="false" customHeight="true" outlineLevel="0" collapsed="false">
      <c r="A25" s="56" t="s">
        <v>380</v>
      </c>
      <c r="B25" s="57" t="s">
        <v>381</v>
      </c>
    </row>
    <row r="26" customFormat="false" ht="15" hidden="false" customHeight="false" outlineLevel="0" collapsed="false">
      <c r="A26" s="3" t="s">
        <v>382</v>
      </c>
    </row>
    <row r="27" customFormat="false" ht="60" hidden="false" customHeight="true" outlineLevel="0" collapsed="false">
      <c r="A27" s="56" t="s">
        <v>383</v>
      </c>
      <c r="B27" s="57" t="s">
        <v>384</v>
      </c>
    </row>
    <row r="28" customFormat="false" ht="15" hidden="false" customHeight="false" outlineLevel="0" collapsed="false">
      <c r="A28" s="3" t="s">
        <v>385</v>
      </c>
    </row>
    <row r="29" customFormat="false" ht="30" hidden="false" customHeight="true" outlineLevel="0" collapsed="false">
      <c r="A29" s="56" t="s">
        <v>386</v>
      </c>
      <c r="B29" s="57" t="s">
        <v>387</v>
      </c>
    </row>
    <row r="30" customFormat="false" ht="30" hidden="false" customHeight="true" outlineLevel="0" collapsed="false">
      <c r="A30" s="56" t="s">
        <v>388</v>
      </c>
      <c r="B30" s="57" t="s">
        <v>389</v>
      </c>
    </row>
    <row r="31" customFormat="false" ht="30" hidden="false" customHeight="true" outlineLevel="0" collapsed="false">
      <c r="A31" s="56" t="s">
        <v>390</v>
      </c>
      <c r="B31" s="57" t="s">
        <v>391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6"/>
    <col collapsed="false" customWidth="true" hidden="false" outlineLevel="0" max="3" min="3" style="0" width="9"/>
    <col collapsed="false" customWidth="true" hidden="false" outlineLevel="0" max="4" min="4" style="0" width="46"/>
    <col collapsed="false" customWidth="true" hidden="false" outlineLevel="0" max="5" min="5" style="0" width="9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30"/>
    <col collapsed="false" customWidth="true" hidden="false" outlineLevel="0" max="10" min="10" style="0" width="60"/>
  </cols>
  <sheetData>
    <row r="1" customFormat="false" ht="17.35" hidden="false" customHeight="false" outlineLevel="0" collapsed="false">
      <c r="A1" s="1" t="s">
        <v>392</v>
      </c>
    </row>
    <row r="2" customFormat="false" ht="15" hidden="false" customHeight="false" outlineLevel="0" collapsed="false">
      <c r="A2" s="2" t="s">
        <v>393</v>
      </c>
    </row>
    <row r="4" customFormat="false" ht="30" hidden="false" customHeight="true" outlineLevel="0" collapsed="false">
      <c r="A4" s="4" t="s">
        <v>177</v>
      </c>
      <c r="B4" s="4" t="s">
        <v>165</v>
      </c>
      <c r="C4" s="4" t="s">
        <v>394</v>
      </c>
      <c r="D4" s="4" t="s">
        <v>395</v>
      </c>
      <c r="E4" s="4" t="s">
        <v>396</v>
      </c>
      <c r="F4" s="4" t="s">
        <v>397</v>
      </c>
      <c r="G4" s="4" t="s">
        <v>398</v>
      </c>
      <c r="H4" s="4" t="s">
        <v>399</v>
      </c>
      <c r="I4" s="4" t="s">
        <v>400</v>
      </c>
      <c r="J4" s="4" t="s">
        <v>401</v>
      </c>
    </row>
    <row r="5" customFormat="false" ht="15" hidden="false" customHeight="false" outlineLevel="0" collapsed="false">
      <c r="A5" s="5" t="s">
        <v>176</v>
      </c>
      <c r="B5" s="5" t="s">
        <v>169</v>
      </c>
      <c r="C5" s="5" t="n">
        <v>1</v>
      </c>
      <c r="D5" s="5" t="s">
        <v>402</v>
      </c>
      <c r="E5" s="5" t="n">
        <v>7</v>
      </c>
      <c r="F5" s="20" t="n">
        <v>8.76748383845849</v>
      </c>
      <c r="G5" s="20" t="n">
        <f aca="false">9-F5</f>
        <v>0.232516161541511</v>
      </c>
      <c r="H5" s="20" t="n">
        <f aca="false">IF(G5&gt;=1,G5,0)</f>
        <v>0</v>
      </c>
      <c r="I5" s="5" t="s">
        <v>403</v>
      </c>
      <c r="J5" s="5" t="s">
        <v>404</v>
      </c>
    </row>
    <row r="6" customFormat="false" ht="15" hidden="false" customHeight="false" outlineLevel="0" collapsed="false">
      <c r="A6" s="5" t="s">
        <v>176</v>
      </c>
      <c r="B6" s="5" t="s">
        <v>169</v>
      </c>
      <c r="C6" s="5" t="n">
        <v>2</v>
      </c>
      <c r="D6" s="5" t="s">
        <v>405</v>
      </c>
      <c r="E6" s="5" t="n">
        <v>8</v>
      </c>
      <c r="F6" s="20" t="n">
        <v>8.94962020152664</v>
      </c>
      <c r="G6" s="20" t="n">
        <f aca="false">9-F6</f>
        <v>0.0503797984733652</v>
      </c>
      <c r="H6" s="20" t="n">
        <f aca="false">IF(G6&gt;=1,G6,0)</f>
        <v>0</v>
      </c>
      <c r="I6" s="5" t="s">
        <v>406</v>
      </c>
      <c r="J6" s="5" t="s">
        <v>407</v>
      </c>
    </row>
    <row r="7" customFormat="false" ht="15" hidden="false" customHeight="false" outlineLevel="0" collapsed="false">
      <c r="A7" s="5" t="s">
        <v>176</v>
      </c>
      <c r="B7" s="5" t="s">
        <v>169</v>
      </c>
      <c r="C7" s="5" t="n">
        <v>3</v>
      </c>
      <c r="D7" s="5" t="s">
        <v>405</v>
      </c>
      <c r="E7" s="5" t="n">
        <v>8</v>
      </c>
      <c r="F7" s="20" t="n">
        <v>8.94962020152664</v>
      </c>
      <c r="G7" s="20" t="n">
        <f aca="false">9-F7</f>
        <v>0.0503797984733652</v>
      </c>
      <c r="H7" s="20" t="n">
        <f aca="false">IF(G7&gt;=1,G7,0)</f>
        <v>0</v>
      </c>
      <c r="I7" s="5" t="s">
        <v>406</v>
      </c>
      <c r="J7" s="5" t="s">
        <v>408</v>
      </c>
    </row>
    <row r="8" customFormat="false" ht="15" hidden="false" customHeight="false" outlineLevel="0" collapsed="false">
      <c r="A8" s="5" t="s">
        <v>176</v>
      </c>
      <c r="B8" s="5" t="s">
        <v>169</v>
      </c>
      <c r="C8" s="5" t="n">
        <v>4</v>
      </c>
      <c r="D8" s="5" t="s">
        <v>405</v>
      </c>
      <c r="E8" s="5" t="n">
        <v>8</v>
      </c>
      <c r="F8" s="20" t="n">
        <v>8.94962020152664</v>
      </c>
      <c r="G8" s="20" t="n">
        <f aca="false">9-F8</f>
        <v>0.0503797984733652</v>
      </c>
      <c r="H8" s="20" t="n">
        <f aca="false">IF(G8&gt;=1,G8,0)</f>
        <v>0</v>
      </c>
      <c r="I8" s="5" t="s">
        <v>406</v>
      </c>
      <c r="J8" s="5" t="s">
        <v>409</v>
      </c>
    </row>
    <row r="9" customFormat="false" ht="15" hidden="false" customHeight="false" outlineLevel="0" collapsed="false">
      <c r="A9" s="5" t="s">
        <v>176</v>
      </c>
      <c r="B9" s="5" t="s">
        <v>169</v>
      </c>
      <c r="C9" s="5" t="n">
        <v>5</v>
      </c>
      <c r="D9" s="5" t="s">
        <v>405</v>
      </c>
      <c r="E9" s="5" t="n">
        <v>8</v>
      </c>
      <c r="F9" s="20" t="n">
        <v>8.94962020152664</v>
      </c>
      <c r="G9" s="20" t="n">
        <f aca="false">9-F9</f>
        <v>0.0503797984733652</v>
      </c>
      <c r="H9" s="20" t="n">
        <f aca="false">IF(G9&gt;=1,G9,0)</f>
        <v>0</v>
      </c>
      <c r="I9" s="5" t="s">
        <v>406</v>
      </c>
      <c r="J9" s="5" t="s">
        <v>410</v>
      </c>
    </row>
    <row r="10" customFormat="false" ht="15" hidden="false" customHeight="false" outlineLevel="0" collapsed="false">
      <c r="A10" s="5" t="s">
        <v>176</v>
      </c>
      <c r="B10" s="5" t="s">
        <v>169</v>
      </c>
      <c r="C10" s="5" t="n">
        <v>6</v>
      </c>
      <c r="D10" s="5" t="s">
        <v>405</v>
      </c>
      <c r="E10" s="5" t="n">
        <v>8</v>
      </c>
      <c r="F10" s="20" t="n">
        <v>8.94962020152664</v>
      </c>
      <c r="G10" s="20" t="n">
        <f aca="false">9-F10</f>
        <v>0.0503797984733652</v>
      </c>
      <c r="H10" s="20" t="n">
        <f aca="false">IF(G10&gt;=1,G10,0)</f>
        <v>0</v>
      </c>
      <c r="I10" s="5" t="s">
        <v>406</v>
      </c>
      <c r="J10" s="5" t="s">
        <v>411</v>
      </c>
    </row>
    <row r="11" customFormat="false" ht="15" hidden="false" customHeight="false" outlineLevel="0" collapsed="false">
      <c r="A11" s="5" t="s">
        <v>176</v>
      </c>
      <c r="B11" s="5" t="s">
        <v>169</v>
      </c>
      <c r="C11" s="5" t="n">
        <v>7</v>
      </c>
      <c r="D11" s="5" t="s">
        <v>405</v>
      </c>
      <c r="E11" s="5" t="n">
        <v>8</v>
      </c>
      <c r="F11" s="20" t="n">
        <v>8.94962020152664</v>
      </c>
      <c r="G11" s="20" t="n">
        <f aca="false">9-F11</f>
        <v>0.0503797984733652</v>
      </c>
      <c r="H11" s="20" t="n">
        <f aca="false">IF(G11&gt;=1,G11,0)</f>
        <v>0</v>
      </c>
      <c r="I11" s="5" t="s">
        <v>406</v>
      </c>
      <c r="J11" s="5" t="s">
        <v>412</v>
      </c>
    </row>
    <row r="12" customFormat="false" ht="15" hidden="false" customHeight="false" outlineLevel="0" collapsed="false">
      <c r="A12" s="5" t="s">
        <v>176</v>
      </c>
      <c r="B12" s="5" t="s">
        <v>169</v>
      </c>
      <c r="C12" s="5" t="n">
        <v>8</v>
      </c>
      <c r="D12" s="5" t="s">
        <v>405</v>
      </c>
      <c r="E12" s="5" t="n">
        <v>8</v>
      </c>
      <c r="F12" s="20" t="n">
        <v>8.94962020152663</v>
      </c>
      <c r="G12" s="20" t="n">
        <f aca="false">9-F12</f>
        <v>0.0503797984733687</v>
      </c>
      <c r="H12" s="20" t="n">
        <f aca="false">IF(G12&gt;=1,G12,0)</f>
        <v>0</v>
      </c>
      <c r="I12" s="5" t="s">
        <v>406</v>
      </c>
      <c r="J12" s="5" t="s">
        <v>413</v>
      </c>
    </row>
    <row r="13" customFormat="false" ht="15" hidden="false" customHeight="false" outlineLevel="0" collapsed="false">
      <c r="A13" s="5" t="s">
        <v>176</v>
      </c>
      <c r="B13" s="5" t="s">
        <v>169</v>
      </c>
      <c r="C13" s="5" t="n">
        <v>9</v>
      </c>
      <c r="D13" s="5" t="s">
        <v>405</v>
      </c>
      <c r="E13" s="5" t="n">
        <v>8</v>
      </c>
      <c r="F13" s="20" t="n">
        <v>8.94962020152662</v>
      </c>
      <c r="G13" s="20" t="n">
        <f aca="false">9-F13</f>
        <v>0.0503797984733794</v>
      </c>
      <c r="H13" s="20" t="n">
        <f aca="false">IF(G13&gt;=1,G13,0)</f>
        <v>0</v>
      </c>
      <c r="I13" s="5" t="s">
        <v>406</v>
      </c>
      <c r="J13" s="5" t="s">
        <v>414</v>
      </c>
    </row>
    <row r="14" customFormat="false" ht="15" hidden="false" customHeight="false" outlineLevel="0" collapsed="false">
      <c r="A14" s="5" t="s">
        <v>176</v>
      </c>
      <c r="B14" s="5" t="s">
        <v>169</v>
      </c>
      <c r="C14" s="5" t="n">
        <v>10</v>
      </c>
      <c r="D14" s="5" t="s">
        <v>405</v>
      </c>
      <c r="E14" s="5" t="n">
        <v>8</v>
      </c>
      <c r="F14" s="20" t="n">
        <v>8.94962020152662</v>
      </c>
      <c r="G14" s="20" t="n">
        <f aca="false">9-F14</f>
        <v>0.0503797984733794</v>
      </c>
      <c r="H14" s="20" t="n">
        <f aca="false">IF(G14&gt;=1,G14,0)</f>
        <v>0</v>
      </c>
      <c r="I14" s="5" t="s">
        <v>406</v>
      </c>
      <c r="J14" s="5" t="s">
        <v>415</v>
      </c>
    </row>
    <row r="15" customFormat="false" ht="15" hidden="false" customHeight="false" outlineLevel="0" collapsed="false">
      <c r="A15" s="5" t="s">
        <v>176</v>
      </c>
      <c r="B15" s="5" t="s">
        <v>169</v>
      </c>
      <c r="C15" s="5" t="n">
        <v>11</v>
      </c>
      <c r="D15" s="5" t="s">
        <v>405</v>
      </c>
      <c r="E15" s="5" t="n">
        <v>8</v>
      </c>
      <c r="F15" s="20" t="n">
        <v>8.94962020152662</v>
      </c>
      <c r="G15" s="20" t="n">
        <f aca="false">9-F15</f>
        <v>0.0503797984733794</v>
      </c>
      <c r="H15" s="20" t="n">
        <f aca="false">IF(G15&gt;=1,G15,0)</f>
        <v>0</v>
      </c>
      <c r="I15" s="5" t="s">
        <v>406</v>
      </c>
      <c r="J15" s="5" t="s">
        <v>416</v>
      </c>
    </row>
    <row r="16" customFormat="false" ht="15" hidden="false" customHeight="false" outlineLevel="0" collapsed="false">
      <c r="A16" s="5" t="s">
        <v>176</v>
      </c>
      <c r="B16" s="5" t="s">
        <v>169</v>
      </c>
      <c r="C16" s="5" t="n">
        <v>12</v>
      </c>
      <c r="D16" s="5" t="s">
        <v>405</v>
      </c>
      <c r="E16" s="5" t="n">
        <v>8</v>
      </c>
      <c r="F16" s="20" t="n">
        <v>8.94962020152662</v>
      </c>
      <c r="G16" s="20" t="n">
        <f aca="false">9-F16</f>
        <v>0.0503797984733794</v>
      </c>
      <c r="H16" s="20" t="n">
        <f aca="false">IF(G16&gt;=1,G16,0)</f>
        <v>0</v>
      </c>
      <c r="I16" s="5" t="s">
        <v>406</v>
      </c>
      <c r="J16" s="5" t="s">
        <v>417</v>
      </c>
    </row>
    <row r="17" customFormat="false" ht="15" hidden="false" customHeight="false" outlineLevel="0" collapsed="false">
      <c r="A17" s="5" t="s">
        <v>176</v>
      </c>
      <c r="B17" s="5" t="s">
        <v>169</v>
      </c>
      <c r="C17" s="5" t="n">
        <v>13</v>
      </c>
      <c r="D17" s="5" t="s">
        <v>405</v>
      </c>
      <c r="E17" s="5" t="n">
        <v>8</v>
      </c>
      <c r="F17" s="20" t="n">
        <v>8.94962020152662</v>
      </c>
      <c r="G17" s="20" t="n">
        <f aca="false">9-F17</f>
        <v>0.0503797984733829</v>
      </c>
      <c r="H17" s="20" t="n">
        <f aca="false">IF(G17&gt;=1,G17,0)</f>
        <v>0</v>
      </c>
      <c r="I17" s="5" t="s">
        <v>406</v>
      </c>
      <c r="J17" s="5" t="s">
        <v>418</v>
      </c>
    </row>
    <row r="18" customFormat="false" ht="15" hidden="false" customHeight="false" outlineLevel="0" collapsed="false">
      <c r="A18" s="5" t="s">
        <v>176</v>
      </c>
      <c r="B18" s="5" t="s">
        <v>169</v>
      </c>
      <c r="C18" s="5" t="n">
        <v>14</v>
      </c>
      <c r="D18" s="5" t="s">
        <v>405</v>
      </c>
      <c r="E18" s="5" t="n">
        <v>8</v>
      </c>
      <c r="F18" s="20" t="n">
        <v>8.94962020152662</v>
      </c>
      <c r="G18" s="20" t="n">
        <f aca="false">9-F18</f>
        <v>0.0503797984733847</v>
      </c>
      <c r="H18" s="20" t="n">
        <f aca="false">IF(G18&gt;=1,G18,0)</f>
        <v>0</v>
      </c>
      <c r="I18" s="5" t="s">
        <v>406</v>
      </c>
      <c r="J18" s="5" t="s">
        <v>419</v>
      </c>
    </row>
    <row r="19" customFormat="false" ht="15" hidden="false" customHeight="false" outlineLevel="0" collapsed="false">
      <c r="A19" s="5" t="s">
        <v>176</v>
      </c>
      <c r="B19" s="5" t="s">
        <v>169</v>
      </c>
      <c r="C19" s="5" t="n">
        <v>15</v>
      </c>
      <c r="D19" s="5" t="s">
        <v>405</v>
      </c>
      <c r="E19" s="5" t="n">
        <v>8</v>
      </c>
      <c r="F19" s="20" t="n">
        <v>8.94962020152662</v>
      </c>
      <c r="G19" s="20" t="n">
        <f aca="false">9-F19</f>
        <v>0.0503797984733847</v>
      </c>
      <c r="H19" s="20" t="n">
        <f aca="false">IF(G19&gt;=1,G19,0)</f>
        <v>0</v>
      </c>
      <c r="I19" s="5" t="s">
        <v>406</v>
      </c>
      <c r="J19" s="5" t="s">
        <v>420</v>
      </c>
    </row>
    <row r="20" customFormat="false" ht="15" hidden="false" customHeight="false" outlineLevel="0" collapsed="false">
      <c r="A20" s="5" t="s">
        <v>176</v>
      </c>
      <c r="B20" s="5" t="s">
        <v>169</v>
      </c>
      <c r="C20" s="5" t="n">
        <v>16</v>
      </c>
      <c r="D20" s="5" t="s">
        <v>405</v>
      </c>
      <c r="E20" s="5" t="n">
        <v>8</v>
      </c>
      <c r="F20" s="20" t="n">
        <v>8.94962020152661</v>
      </c>
      <c r="G20" s="20" t="n">
        <f aca="false">9-F20</f>
        <v>0.0503797984733865</v>
      </c>
      <c r="H20" s="20" t="n">
        <f aca="false">IF(G20&gt;=1,G20,0)</f>
        <v>0</v>
      </c>
      <c r="I20" s="5" t="s">
        <v>406</v>
      </c>
      <c r="J20" s="5" t="s">
        <v>421</v>
      </c>
    </row>
    <row r="21" customFormat="false" ht="15" hidden="false" customHeight="false" outlineLevel="0" collapsed="false">
      <c r="A21" s="5" t="s">
        <v>176</v>
      </c>
      <c r="B21" s="5" t="s">
        <v>169</v>
      </c>
      <c r="C21" s="5" t="n">
        <v>17</v>
      </c>
      <c r="D21" s="5" t="s">
        <v>405</v>
      </c>
      <c r="E21" s="5" t="n">
        <v>8</v>
      </c>
      <c r="F21" s="20" t="n">
        <v>8.94962020152661</v>
      </c>
      <c r="G21" s="20" t="n">
        <f aca="false">9-F21</f>
        <v>0.0503797984733865</v>
      </c>
      <c r="H21" s="20" t="n">
        <f aca="false">IF(G21&gt;=1,G21,0)</f>
        <v>0</v>
      </c>
      <c r="I21" s="5" t="s">
        <v>406</v>
      </c>
      <c r="J21" s="5" t="s">
        <v>422</v>
      </c>
    </row>
    <row r="22" customFormat="false" ht="15" hidden="false" customHeight="false" outlineLevel="0" collapsed="false">
      <c r="A22" s="5" t="s">
        <v>176</v>
      </c>
      <c r="B22" s="5" t="s">
        <v>169</v>
      </c>
      <c r="C22" s="5" t="n">
        <v>18</v>
      </c>
      <c r="D22" s="5" t="s">
        <v>405</v>
      </c>
      <c r="E22" s="5" t="n">
        <v>8</v>
      </c>
      <c r="F22" s="20" t="n">
        <v>8.94962020152661</v>
      </c>
      <c r="G22" s="20" t="n">
        <f aca="false">9-F22</f>
        <v>0.0503797984733865</v>
      </c>
      <c r="H22" s="20" t="n">
        <f aca="false">IF(G22&gt;=1,G22,0)</f>
        <v>0</v>
      </c>
      <c r="I22" s="5" t="s">
        <v>406</v>
      </c>
      <c r="J22" s="5" t="s">
        <v>423</v>
      </c>
    </row>
    <row r="23" customFormat="false" ht="15" hidden="false" customHeight="false" outlineLevel="0" collapsed="false">
      <c r="A23" s="5" t="s">
        <v>176</v>
      </c>
      <c r="B23" s="5" t="s">
        <v>169</v>
      </c>
      <c r="C23" s="5" t="n">
        <v>19</v>
      </c>
      <c r="D23" s="5" t="s">
        <v>405</v>
      </c>
      <c r="E23" s="5" t="n">
        <v>8</v>
      </c>
      <c r="F23" s="20" t="n">
        <v>8.94962020152661</v>
      </c>
      <c r="G23" s="20" t="n">
        <f aca="false">9-F23</f>
        <v>0.0503797984733865</v>
      </c>
      <c r="H23" s="20" t="n">
        <f aca="false">IF(G23&gt;=1,G23,0)</f>
        <v>0</v>
      </c>
      <c r="I23" s="5" t="s">
        <v>406</v>
      </c>
      <c r="J23" s="5" t="s">
        <v>424</v>
      </c>
    </row>
    <row r="24" customFormat="false" ht="15" hidden="false" customHeight="false" outlineLevel="0" collapsed="false">
      <c r="A24" s="5" t="s">
        <v>176</v>
      </c>
      <c r="B24" s="5" t="s">
        <v>169</v>
      </c>
      <c r="C24" s="5" t="n">
        <v>20</v>
      </c>
      <c r="D24" s="5" t="s">
        <v>405</v>
      </c>
      <c r="E24" s="5" t="n">
        <v>8</v>
      </c>
      <c r="F24" s="20" t="n">
        <v>8.94962020152661</v>
      </c>
      <c r="G24" s="20" t="n">
        <f aca="false">9-F24</f>
        <v>0.0503797984733865</v>
      </c>
      <c r="H24" s="20" t="n">
        <f aca="false">IF(G24&gt;=1,G24,0)</f>
        <v>0</v>
      </c>
      <c r="I24" s="5" t="s">
        <v>406</v>
      </c>
      <c r="J24" s="5" t="s">
        <v>425</v>
      </c>
    </row>
    <row r="25" customFormat="false" ht="15" hidden="false" customHeight="false" outlineLevel="0" collapsed="false">
      <c r="A25" s="5" t="s">
        <v>176</v>
      </c>
      <c r="B25" s="5" t="s">
        <v>169</v>
      </c>
      <c r="C25" s="5" t="n">
        <v>21</v>
      </c>
      <c r="D25" s="5" t="s">
        <v>405</v>
      </c>
      <c r="E25" s="5" t="n">
        <v>8</v>
      </c>
      <c r="F25" s="20" t="n">
        <v>8.94962020152661</v>
      </c>
      <c r="G25" s="20" t="n">
        <f aca="false">9-F25</f>
        <v>0.0503797984733936</v>
      </c>
      <c r="H25" s="20" t="n">
        <f aca="false">IF(G25&gt;=1,G25,0)</f>
        <v>0</v>
      </c>
      <c r="I25" s="5" t="s">
        <v>406</v>
      </c>
      <c r="J25" s="5" t="s">
        <v>426</v>
      </c>
    </row>
    <row r="26" customFormat="false" ht="15" hidden="false" customHeight="false" outlineLevel="0" collapsed="false">
      <c r="A26" s="5" t="s">
        <v>176</v>
      </c>
      <c r="B26" s="5" t="s">
        <v>169</v>
      </c>
      <c r="C26" s="5" t="n">
        <v>22</v>
      </c>
      <c r="D26" s="5" t="s">
        <v>405</v>
      </c>
      <c r="E26" s="5" t="n">
        <v>8</v>
      </c>
      <c r="F26" s="20" t="n">
        <v>8.94962020152661</v>
      </c>
      <c r="G26" s="20" t="n">
        <f aca="false">9-F26</f>
        <v>0.0503797984733936</v>
      </c>
      <c r="H26" s="20" t="n">
        <f aca="false">IF(G26&gt;=1,G26,0)</f>
        <v>0</v>
      </c>
      <c r="I26" s="5" t="s">
        <v>406</v>
      </c>
      <c r="J26" s="5" t="s">
        <v>427</v>
      </c>
    </row>
    <row r="27" customFormat="false" ht="15" hidden="false" customHeight="false" outlineLevel="0" collapsed="false">
      <c r="A27" s="5" t="s">
        <v>176</v>
      </c>
      <c r="B27" s="5" t="s">
        <v>169</v>
      </c>
      <c r="C27" s="5" t="n">
        <v>23</v>
      </c>
      <c r="D27" s="5" t="s">
        <v>405</v>
      </c>
      <c r="E27" s="5" t="n">
        <v>8</v>
      </c>
      <c r="F27" s="20" t="n">
        <v>8.94962020152661</v>
      </c>
      <c r="G27" s="20" t="n">
        <f aca="false">9-F27</f>
        <v>0.0503797984733936</v>
      </c>
      <c r="H27" s="20" t="n">
        <f aca="false">IF(G27&gt;=1,G27,0)</f>
        <v>0</v>
      </c>
      <c r="I27" s="5" t="s">
        <v>406</v>
      </c>
      <c r="J27" s="5" t="s">
        <v>428</v>
      </c>
    </row>
    <row r="28" customFormat="false" ht="15" hidden="false" customHeight="false" outlineLevel="0" collapsed="false">
      <c r="A28" s="5" t="s">
        <v>176</v>
      </c>
      <c r="B28" s="5" t="s">
        <v>169</v>
      </c>
      <c r="C28" s="5" t="n">
        <v>24</v>
      </c>
      <c r="D28" s="5" t="s">
        <v>405</v>
      </c>
      <c r="E28" s="5" t="n">
        <v>8</v>
      </c>
      <c r="F28" s="20" t="n">
        <v>8.94962020152661</v>
      </c>
      <c r="G28" s="20" t="n">
        <f aca="false">9-F28</f>
        <v>0.0503797984733936</v>
      </c>
      <c r="H28" s="20" t="n">
        <f aca="false">IF(G28&gt;=1,G28,0)</f>
        <v>0</v>
      </c>
      <c r="I28" s="5" t="s">
        <v>406</v>
      </c>
      <c r="J28" s="5" t="s">
        <v>429</v>
      </c>
    </row>
    <row r="29" customFormat="false" ht="15" hidden="false" customHeight="false" outlineLevel="0" collapsed="false">
      <c r="A29" s="5" t="s">
        <v>176</v>
      </c>
      <c r="B29" s="5" t="s">
        <v>169</v>
      </c>
      <c r="C29" s="5" t="n">
        <v>25</v>
      </c>
      <c r="D29" s="5" t="s">
        <v>405</v>
      </c>
      <c r="E29" s="5" t="n">
        <v>8</v>
      </c>
      <c r="F29" s="20" t="n">
        <v>8.94962020152661</v>
      </c>
      <c r="G29" s="20" t="n">
        <f aca="false">9-F29</f>
        <v>0.0503797984733936</v>
      </c>
      <c r="H29" s="20" t="n">
        <f aca="false">IF(G29&gt;=1,G29,0)</f>
        <v>0</v>
      </c>
      <c r="I29" s="5" t="s">
        <v>406</v>
      </c>
      <c r="J29" s="5" t="s">
        <v>430</v>
      </c>
    </row>
    <row r="30" customFormat="false" ht="15" hidden="false" customHeight="false" outlineLevel="0" collapsed="false">
      <c r="A30" s="5" t="s">
        <v>176</v>
      </c>
      <c r="B30" s="5" t="s">
        <v>169</v>
      </c>
      <c r="C30" s="5" t="n">
        <v>26</v>
      </c>
      <c r="D30" s="5" t="s">
        <v>405</v>
      </c>
      <c r="E30" s="5" t="n">
        <v>8</v>
      </c>
      <c r="F30" s="20" t="n">
        <v>8.94962020152661</v>
      </c>
      <c r="G30" s="20" t="n">
        <f aca="false">9-F30</f>
        <v>0.0503797984733936</v>
      </c>
      <c r="H30" s="20" t="n">
        <f aca="false">IF(G30&gt;=1,G30,0)</f>
        <v>0</v>
      </c>
      <c r="I30" s="5" t="s">
        <v>406</v>
      </c>
      <c r="J30" s="5" t="s">
        <v>431</v>
      </c>
    </row>
    <row r="31" customFormat="false" ht="15" hidden="false" customHeight="false" outlineLevel="0" collapsed="false">
      <c r="A31" s="5" t="s">
        <v>176</v>
      </c>
      <c r="B31" s="5" t="s">
        <v>169</v>
      </c>
      <c r="C31" s="5" t="n">
        <v>27</v>
      </c>
      <c r="D31" s="5" t="s">
        <v>405</v>
      </c>
      <c r="E31" s="5" t="n">
        <v>8</v>
      </c>
      <c r="F31" s="20" t="n">
        <v>8.94962020152661</v>
      </c>
      <c r="G31" s="20" t="n">
        <f aca="false">9-F31</f>
        <v>0.0503797984733936</v>
      </c>
      <c r="H31" s="20" t="n">
        <f aca="false">IF(G31&gt;=1,G31,0)</f>
        <v>0</v>
      </c>
      <c r="I31" s="5" t="s">
        <v>406</v>
      </c>
      <c r="J31" s="5" t="s">
        <v>432</v>
      </c>
    </row>
    <row r="32" customFormat="false" ht="15" hidden="false" customHeight="false" outlineLevel="0" collapsed="false">
      <c r="A32" s="5" t="s">
        <v>176</v>
      </c>
      <c r="B32" s="5" t="s">
        <v>169</v>
      </c>
      <c r="C32" s="5" t="n">
        <v>28</v>
      </c>
      <c r="D32" s="5" t="s">
        <v>405</v>
      </c>
      <c r="E32" s="5" t="n">
        <v>8</v>
      </c>
      <c r="F32" s="20" t="n">
        <v>8.94962020152661</v>
      </c>
      <c r="G32" s="20" t="n">
        <f aca="false">9-F32</f>
        <v>0.0503797984733936</v>
      </c>
      <c r="H32" s="20" t="n">
        <f aca="false">IF(G32&gt;=1,G32,0)</f>
        <v>0</v>
      </c>
      <c r="I32" s="5" t="s">
        <v>406</v>
      </c>
      <c r="J32" s="5" t="s">
        <v>433</v>
      </c>
    </row>
    <row r="33" customFormat="false" ht="15" hidden="false" customHeight="false" outlineLevel="0" collapsed="false">
      <c r="A33" s="5" t="s">
        <v>176</v>
      </c>
      <c r="B33" s="5" t="s">
        <v>169</v>
      </c>
      <c r="C33" s="5" t="n">
        <v>29</v>
      </c>
      <c r="D33" s="5" t="s">
        <v>405</v>
      </c>
      <c r="E33" s="5" t="n">
        <v>8</v>
      </c>
      <c r="F33" s="20" t="n">
        <v>8.94962020152661</v>
      </c>
      <c r="G33" s="20" t="n">
        <f aca="false">9-F33</f>
        <v>0.0503797984733936</v>
      </c>
      <c r="H33" s="20" t="n">
        <f aca="false">IF(G33&gt;=1,G33,0)</f>
        <v>0</v>
      </c>
      <c r="I33" s="5" t="s">
        <v>406</v>
      </c>
      <c r="J33" s="5" t="s">
        <v>434</v>
      </c>
    </row>
    <row r="34" customFormat="false" ht="15" hidden="false" customHeight="false" outlineLevel="0" collapsed="false">
      <c r="A34" s="5" t="s">
        <v>176</v>
      </c>
      <c r="B34" s="5" t="s">
        <v>169</v>
      </c>
      <c r="C34" s="5" t="n">
        <v>30</v>
      </c>
      <c r="D34" s="5" t="s">
        <v>405</v>
      </c>
      <c r="E34" s="5" t="n">
        <v>8</v>
      </c>
      <c r="F34" s="20" t="n">
        <v>8.94962020152661</v>
      </c>
      <c r="G34" s="20" t="n">
        <f aca="false">9-F34</f>
        <v>0.0503797984733936</v>
      </c>
      <c r="H34" s="20" t="n">
        <f aca="false">IF(G34&gt;=1,G34,0)</f>
        <v>0</v>
      </c>
      <c r="I34" s="5" t="s">
        <v>406</v>
      </c>
      <c r="J34" s="5" t="s">
        <v>435</v>
      </c>
    </row>
    <row r="35" customFormat="false" ht="15" hidden="false" customHeight="false" outlineLevel="0" collapsed="false">
      <c r="A35" s="5" t="s">
        <v>176</v>
      </c>
      <c r="B35" s="5" t="s">
        <v>169</v>
      </c>
      <c r="C35" s="5" t="n">
        <v>31</v>
      </c>
      <c r="D35" s="5" t="s">
        <v>405</v>
      </c>
      <c r="E35" s="5" t="n">
        <v>8</v>
      </c>
      <c r="F35" s="20" t="n">
        <v>8.94962020152661</v>
      </c>
      <c r="G35" s="20" t="n">
        <f aca="false">9-F35</f>
        <v>0.0503797984733936</v>
      </c>
      <c r="H35" s="20" t="n">
        <f aca="false">IF(G35&gt;=1,G35,0)</f>
        <v>0</v>
      </c>
      <c r="I35" s="5" t="s">
        <v>406</v>
      </c>
      <c r="J35" s="5" t="s">
        <v>436</v>
      </c>
    </row>
    <row r="36" customFormat="false" ht="15" hidden="false" customHeight="false" outlineLevel="0" collapsed="false">
      <c r="A36" s="5" t="s">
        <v>176</v>
      </c>
      <c r="B36" s="5" t="s">
        <v>169</v>
      </c>
      <c r="C36" s="5" t="n">
        <v>32</v>
      </c>
      <c r="D36" s="5" t="s">
        <v>405</v>
      </c>
      <c r="E36" s="5" t="n">
        <v>8</v>
      </c>
      <c r="F36" s="20" t="n">
        <v>8.94962020152661</v>
      </c>
      <c r="G36" s="20" t="n">
        <f aca="false">9-F36</f>
        <v>0.0503797984733936</v>
      </c>
      <c r="H36" s="20" t="n">
        <f aca="false">IF(G36&gt;=1,G36,0)</f>
        <v>0</v>
      </c>
      <c r="I36" s="5" t="s">
        <v>406</v>
      </c>
      <c r="J36" s="5" t="s">
        <v>437</v>
      </c>
    </row>
    <row r="37" customFormat="false" ht="15" hidden="false" customHeight="false" outlineLevel="0" collapsed="false">
      <c r="A37" s="5" t="s">
        <v>176</v>
      </c>
      <c r="B37" s="5" t="s">
        <v>169</v>
      </c>
      <c r="C37" s="5" t="n">
        <v>33</v>
      </c>
      <c r="D37" s="5" t="s">
        <v>405</v>
      </c>
      <c r="E37" s="5" t="n">
        <v>8</v>
      </c>
      <c r="F37" s="20" t="n">
        <v>8.94962020152656</v>
      </c>
      <c r="G37" s="20" t="n">
        <f aca="false">9-F37</f>
        <v>0.0503797984734362</v>
      </c>
      <c r="H37" s="20" t="n">
        <f aca="false">IF(G37&gt;=1,G37,0)</f>
        <v>0</v>
      </c>
      <c r="I37" s="5" t="s">
        <v>406</v>
      </c>
      <c r="J37" s="5" t="s">
        <v>438</v>
      </c>
    </row>
    <row r="38" customFormat="false" ht="15" hidden="false" customHeight="false" outlineLevel="0" collapsed="false">
      <c r="A38" s="5" t="s">
        <v>176</v>
      </c>
      <c r="B38" s="5" t="s">
        <v>169</v>
      </c>
      <c r="C38" s="5" t="n">
        <v>34</v>
      </c>
      <c r="D38" s="5" t="s">
        <v>405</v>
      </c>
      <c r="E38" s="5" t="n">
        <v>8</v>
      </c>
      <c r="F38" s="20" t="n">
        <v>8.94962020152656</v>
      </c>
      <c r="G38" s="20" t="n">
        <f aca="false">9-F38</f>
        <v>0.0503797984734362</v>
      </c>
      <c r="H38" s="20" t="n">
        <f aca="false">IF(G38&gt;=1,G38,0)</f>
        <v>0</v>
      </c>
      <c r="I38" s="5" t="s">
        <v>406</v>
      </c>
      <c r="J38" s="5" t="s">
        <v>439</v>
      </c>
    </row>
    <row r="39" customFormat="false" ht="15" hidden="false" customHeight="false" outlineLevel="0" collapsed="false">
      <c r="A39" s="5" t="s">
        <v>176</v>
      </c>
      <c r="B39" s="5" t="s">
        <v>169</v>
      </c>
      <c r="C39" s="5" t="n">
        <v>35</v>
      </c>
      <c r="D39" s="5" t="s">
        <v>405</v>
      </c>
      <c r="E39" s="5" t="n">
        <v>8</v>
      </c>
      <c r="F39" s="20" t="n">
        <v>8.94962020152656</v>
      </c>
      <c r="G39" s="20" t="n">
        <f aca="false">9-F39</f>
        <v>0.0503797984734362</v>
      </c>
      <c r="H39" s="20" t="n">
        <f aca="false">IF(G39&gt;=1,G39,0)</f>
        <v>0</v>
      </c>
      <c r="I39" s="5" t="s">
        <v>406</v>
      </c>
      <c r="J39" s="5" t="s">
        <v>440</v>
      </c>
    </row>
    <row r="40" customFormat="false" ht="15" hidden="false" customHeight="false" outlineLevel="0" collapsed="false">
      <c r="A40" s="5" t="s">
        <v>176</v>
      </c>
      <c r="B40" s="5" t="s">
        <v>169</v>
      </c>
      <c r="C40" s="5" t="n">
        <v>36</v>
      </c>
      <c r="D40" s="5" t="s">
        <v>405</v>
      </c>
      <c r="E40" s="5" t="n">
        <v>8</v>
      </c>
      <c r="F40" s="20" t="n">
        <v>8.94962020152656</v>
      </c>
      <c r="G40" s="20" t="n">
        <f aca="false">9-F40</f>
        <v>0.0503797984734362</v>
      </c>
      <c r="H40" s="20" t="n">
        <f aca="false">IF(G40&gt;=1,G40,0)</f>
        <v>0</v>
      </c>
      <c r="I40" s="5" t="s">
        <v>406</v>
      </c>
      <c r="J40" s="5" t="s">
        <v>441</v>
      </c>
    </row>
    <row r="41" customFormat="false" ht="15" hidden="false" customHeight="false" outlineLevel="0" collapsed="false">
      <c r="A41" s="5" t="s">
        <v>176</v>
      </c>
      <c r="B41" s="5" t="s">
        <v>169</v>
      </c>
      <c r="C41" s="5" t="n">
        <v>37</v>
      </c>
      <c r="D41" s="5" t="s">
        <v>405</v>
      </c>
      <c r="E41" s="5" t="n">
        <v>8</v>
      </c>
      <c r="F41" s="20" t="n">
        <v>8.94962020152656</v>
      </c>
      <c r="G41" s="20" t="n">
        <f aca="false">9-F41</f>
        <v>0.0503797984734362</v>
      </c>
      <c r="H41" s="20" t="n">
        <f aca="false">IF(G41&gt;=1,G41,0)</f>
        <v>0</v>
      </c>
      <c r="I41" s="5" t="s">
        <v>406</v>
      </c>
      <c r="J41" s="5" t="s">
        <v>442</v>
      </c>
    </row>
    <row r="42" customFormat="false" ht="15" hidden="false" customHeight="false" outlineLevel="0" collapsed="false">
      <c r="A42" s="5" t="s">
        <v>176</v>
      </c>
      <c r="B42" s="5" t="s">
        <v>169</v>
      </c>
      <c r="C42" s="5" t="n">
        <v>38</v>
      </c>
      <c r="D42" s="5" t="s">
        <v>405</v>
      </c>
      <c r="E42" s="5" t="n">
        <v>8</v>
      </c>
      <c r="F42" s="20" t="n">
        <v>8.94962020152656</v>
      </c>
      <c r="G42" s="20" t="n">
        <f aca="false">9-F42</f>
        <v>0.0503797984734362</v>
      </c>
      <c r="H42" s="20" t="n">
        <f aca="false">IF(G42&gt;=1,G42,0)</f>
        <v>0</v>
      </c>
      <c r="I42" s="5" t="s">
        <v>406</v>
      </c>
      <c r="J42" s="5" t="s">
        <v>443</v>
      </c>
    </row>
    <row r="43" customFormat="false" ht="15" hidden="false" customHeight="false" outlineLevel="0" collapsed="false">
      <c r="A43" s="5" t="s">
        <v>176</v>
      </c>
      <c r="B43" s="5" t="s">
        <v>169</v>
      </c>
      <c r="C43" s="5" t="n">
        <v>39</v>
      </c>
      <c r="D43" s="5" t="s">
        <v>405</v>
      </c>
      <c r="E43" s="5" t="n">
        <v>8</v>
      </c>
      <c r="F43" s="20" t="n">
        <v>8.94962020152656</v>
      </c>
      <c r="G43" s="20" t="n">
        <f aca="false">9-F43</f>
        <v>0.0503797984734362</v>
      </c>
      <c r="H43" s="20" t="n">
        <f aca="false">IF(G43&gt;=1,G43,0)</f>
        <v>0</v>
      </c>
      <c r="I43" s="5" t="s">
        <v>406</v>
      </c>
      <c r="J43" s="5" t="s">
        <v>444</v>
      </c>
    </row>
    <row r="44" customFormat="false" ht="15" hidden="false" customHeight="false" outlineLevel="0" collapsed="false">
      <c r="A44" s="5" t="s">
        <v>176</v>
      </c>
      <c r="B44" s="5" t="s">
        <v>169</v>
      </c>
      <c r="C44" s="5" t="n">
        <v>40</v>
      </c>
      <c r="D44" s="5" t="s">
        <v>405</v>
      </c>
      <c r="E44" s="5" t="n">
        <v>8</v>
      </c>
      <c r="F44" s="20" t="n">
        <v>8.94962020152656</v>
      </c>
      <c r="G44" s="20" t="n">
        <f aca="false">9-F44</f>
        <v>0.0503797984734362</v>
      </c>
      <c r="H44" s="20" t="n">
        <f aca="false">IF(G44&gt;=1,G44,0)</f>
        <v>0</v>
      </c>
      <c r="I44" s="5" t="s">
        <v>406</v>
      </c>
      <c r="J44" s="5" t="s">
        <v>445</v>
      </c>
    </row>
    <row r="45" customFormat="false" ht="15" hidden="false" customHeight="false" outlineLevel="0" collapsed="false">
      <c r="A45" s="5" t="s">
        <v>176</v>
      </c>
      <c r="B45" s="5" t="s">
        <v>169</v>
      </c>
      <c r="C45" s="5" t="n">
        <v>41</v>
      </c>
      <c r="D45" s="5" t="s">
        <v>405</v>
      </c>
      <c r="E45" s="5" t="n">
        <v>8</v>
      </c>
      <c r="F45" s="20" t="n">
        <v>8.94962020152656</v>
      </c>
      <c r="G45" s="20" t="n">
        <f aca="false">9-F45</f>
        <v>0.0503797984734362</v>
      </c>
      <c r="H45" s="20" t="n">
        <f aca="false">IF(G45&gt;=1,G45,0)</f>
        <v>0</v>
      </c>
      <c r="I45" s="5" t="s">
        <v>406</v>
      </c>
      <c r="J45" s="5" t="s">
        <v>446</v>
      </c>
    </row>
    <row r="46" customFormat="false" ht="15" hidden="false" customHeight="false" outlineLevel="0" collapsed="false">
      <c r="A46" s="5" t="s">
        <v>176</v>
      </c>
      <c r="B46" s="5" t="s">
        <v>169</v>
      </c>
      <c r="C46" s="5" t="n">
        <v>42</v>
      </c>
      <c r="D46" s="5" t="s">
        <v>405</v>
      </c>
      <c r="E46" s="5" t="n">
        <v>8</v>
      </c>
      <c r="F46" s="20" t="n">
        <v>8.94962020152656</v>
      </c>
      <c r="G46" s="20" t="n">
        <f aca="false">9-F46</f>
        <v>0.0503797984734362</v>
      </c>
      <c r="H46" s="20" t="n">
        <f aca="false">IF(G46&gt;=1,G46,0)</f>
        <v>0</v>
      </c>
      <c r="I46" s="5" t="s">
        <v>406</v>
      </c>
      <c r="J46" s="5" t="s">
        <v>447</v>
      </c>
    </row>
    <row r="47" customFormat="false" ht="15" hidden="false" customHeight="false" outlineLevel="0" collapsed="false">
      <c r="A47" s="5" t="s">
        <v>176</v>
      </c>
      <c r="B47" s="5" t="s">
        <v>169</v>
      </c>
      <c r="C47" s="5" t="n">
        <v>43</v>
      </c>
      <c r="D47" s="5" t="s">
        <v>405</v>
      </c>
      <c r="E47" s="5" t="n">
        <v>8</v>
      </c>
      <c r="F47" s="20" t="n">
        <v>8.94962020152656</v>
      </c>
      <c r="G47" s="20" t="n">
        <f aca="false">9-F47</f>
        <v>0.0503797984734362</v>
      </c>
      <c r="H47" s="20" t="n">
        <f aca="false">IF(G47&gt;=1,G47,0)</f>
        <v>0</v>
      </c>
      <c r="I47" s="5" t="s">
        <v>406</v>
      </c>
      <c r="J47" s="5" t="s">
        <v>448</v>
      </c>
    </row>
    <row r="48" customFormat="false" ht="15" hidden="false" customHeight="false" outlineLevel="0" collapsed="false">
      <c r="A48" s="5" t="s">
        <v>176</v>
      </c>
      <c r="B48" s="5" t="s">
        <v>169</v>
      </c>
      <c r="C48" s="5" t="n">
        <v>44</v>
      </c>
      <c r="D48" s="5" t="s">
        <v>405</v>
      </c>
      <c r="E48" s="5" t="n">
        <v>8</v>
      </c>
      <c r="F48" s="20" t="n">
        <v>8.94962020152656</v>
      </c>
      <c r="G48" s="20" t="n">
        <f aca="false">9-F48</f>
        <v>0.0503797984734362</v>
      </c>
      <c r="H48" s="20" t="n">
        <f aca="false">IF(G48&gt;=1,G48,0)</f>
        <v>0</v>
      </c>
      <c r="I48" s="5" t="s">
        <v>406</v>
      </c>
      <c r="J48" s="5" t="s">
        <v>449</v>
      </c>
    </row>
    <row r="49" customFormat="false" ht="15" hidden="false" customHeight="false" outlineLevel="0" collapsed="false">
      <c r="A49" s="5" t="s">
        <v>176</v>
      </c>
      <c r="B49" s="5" t="s">
        <v>169</v>
      </c>
      <c r="C49" s="5" t="n">
        <v>45</v>
      </c>
      <c r="D49" s="5" t="s">
        <v>405</v>
      </c>
      <c r="E49" s="5" t="n">
        <v>8</v>
      </c>
      <c r="F49" s="20" t="n">
        <v>8.94962020152656</v>
      </c>
      <c r="G49" s="20" t="n">
        <f aca="false">9-F49</f>
        <v>0.0503797984734362</v>
      </c>
      <c r="H49" s="20" t="n">
        <f aca="false">IF(G49&gt;=1,G49,0)</f>
        <v>0</v>
      </c>
      <c r="I49" s="5" t="s">
        <v>406</v>
      </c>
      <c r="J49" s="5" t="s">
        <v>450</v>
      </c>
    </row>
    <row r="50" customFormat="false" ht="15" hidden="false" customHeight="false" outlineLevel="0" collapsed="false">
      <c r="A50" s="5" t="s">
        <v>176</v>
      </c>
      <c r="B50" s="5" t="s">
        <v>169</v>
      </c>
      <c r="C50" s="5" t="n">
        <v>46</v>
      </c>
      <c r="D50" s="5" t="s">
        <v>405</v>
      </c>
      <c r="E50" s="5" t="n">
        <v>8</v>
      </c>
      <c r="F50" s="20" t="n">
        <v>8.94962020152656</v>
      </c>
      <c r="G50" s="20" t="n">
        <f aca="false">9-F50</f>
        <v>0.0503797984734362</v>
      </c>
      <c r="H50" s="20" t="n">
        <f aca="false">IF(G50&gt;=1,G50,0)</f>
        <v>0</v>
      </c>
      <c r="I50" s="5" t="s">
        <v>406</v>
      </c>
      <c r="J50" s="5" t="s">
        <v>451</v>
      </c>
    </row>
    <row r="51" customFormat="false" ht="15" hidden="false" customHeight="false" outlineLevel="0" collapsed="false">
      <c r="A51" s="5" t="s">
        <v>176</v>
      </c>
      <c r="B51" s="5" t="s">
        <v>169</v>
      </c>
      <c r="C51" s="5" t="n">
        <v>47</v>
      </c>
      <c r="D51" s="5" t="s">
        <v>405</v>
      </c>
      <c r="E51" s="5" t="n">
        <v>8</v>
      </c>
      <c r="F51" s="20" t="n">
        <v>8.94962020152656</v>
      </c>
      <c r="G51" s="20" t="n">
        <f aca="false">9-F51</f>
        <v>0.0503797984734362</v>
      </c>
      <c r="H51" s="20" t="n">
        <f aca="false">IF(G51&gt;=1,G51,0)</f>
        <v>0</v>
      </c>
      <c r="I51" s="5" t="s">
        <v>406</v>
      </c>
      <c r="J51" s="5" t="s">
        <v>452</v>
      </c>
    </row>
    <row r="52" customFormat="false" ht="15" hidden="false" customHeight="false" outlineLevel="0" collapsed="false">
      <c r="A52" s="5" t="s">
        <v>176</v>
      </c>
      <c r="B52" s="5" t="s">
        <v>169</v>
      </c>
      <c r="C52" s="5" t="n">
        <v>48</v>
      </c>
      <c r="D52" s="5" t="s">
        <v>405</v>
      </c>
      <c r="E52" s="5" t="n">
        <v>8</v>
      </c>
      <c r="F52" s="20" t="n">
        <v>8.94962020152656</v>
      </c>
      <c r="G52" s="20" t="n">
        <f aca="false">9-F52</f>
        <v>0.0503797984734362</v>
      </c>
      <c r="H52" s="20" t="n">
        <f aca="false">IF(G52&gt;=1,G52,0)</f>
        <v>0</v>
      </c>
      <c r="I52" s="5" t="s">
        <v>406</v>
      </c>
      <c r="J52" s="5" t="s">
        <v>453</v>
      </c>
    </row>
    <row r="53" customFormat="false" ht="15" hidden="false" customHeight="false" outlineLevel="0" collapsed="false">
      <c r="A53" s="5" t="s">
        <v>176</v>
      </c>
      <c r="B53" s="5" t="s">
        <v>169</v>
      </c>
      <c r="C53" s="5" t="n">
        <v>49</v>
      </c>
      <c r="D53" s="5" t="s">
        <v>454</v>
      </c>
      <c r="E53" s="5" t="n">
        <v>4</v>
      </c>
      <c r="F53" s="20" t="n">
        <v>4.47481010076328</v>
      </c>
      <c r="G53" s="20" t="n">
        <f aca="false">9-F53</f>
        <v>4.52518989923672</v>
      </c>
      <c r="H53" s="20" t="n">
        <f aca="false">IF(G53&gt;=1,G53,0)</f>
        <v>4.52518989923672</v>
      </c>
      <c r="I53" s="5" t="s">
        <v>406</v>
      </c>
      <c r="J53" s="5" t="s">
        <v>455</v>
      </c>
    </row>
    <row r="54" customFormat="false" ht="15" hidden="false" customHeight="false" outlineLevel="0" collapsed="false">
      <c r="A54" s="5" t="s">
        <v>176</v>
      </c>
      <c r="B54" s="5" t="s">
        <v>170</v>
      </c>
      <c r="C54" s="5" t="n">
        <v>1</v>
      </c>
      <c r="D54" s="5" t="s">
        <v>456</v>
      </c>
      <c r="E54" s="5" t="n">
        <v>6</v>
      </c>
      <c r="F54" s="20" t="n">
        <v>8.39486276071242</v>
      </c>
      <c r="G54" s="20" t="n">
        <f aca="false">9-F54</f>
        <v>0.605137239287576</v>
      </c>
      <c r="H54" s="20" t="n">
        <f aca="false">IF(G54&gt;=1,G54,0)</f>
        <v>0</v>
      </c>
      <c r="I54" s="5" t="s">
        <v>70</v>
      </c>
      <c r="J54" s="5" t="s">
        <v>457</v>
      </c>
    </row>
    <row r="55" customFormat="false" ht="15" hidden="false" customHeight="false" outlineLevel="0" collapsed="false">
      <c r="A55" s="5" t="s">
        <v>176</v>
      </c>
      <c r="B55" s="5" t="s">
        <v>170</v>
      </c>
      <c r="C55" s="5" t="n">
        <v>2</v>
      </c>
      <c r="D55" s="5" t="s">
        <v>456</v>
      </c>
      <c r="E55" s="5" t="n">
        <v>6</v>
      </c>
      <c r="F55" s="20" t="n">
        <v>8.39486276071241</v>
      </c>
      <c r="G55" s="20" t="n">
        <f aca="false">9-F55</f>
        <v>0.605137239287593</v>
      </c>
      <c r="H55" s="20" t="n">
        <f aca="false">IF(G55&gt;=1,G55,0)</f>
        <v>0</v>
      </c>
      <c r="I55" s="5" t="s">
        <v>70</v>
      </c>
      <c r="J55" s="5" t="s">
        <v>458</v>
      </c>
    </row>
    <row r="56" customFormat="false" ht="15" hidden="false" customHeight="false" outlineLevel="0" collapsed="false">
      <c r="A56" s="5" t="s">
        <v>176</v>
      </c>
      <c r="B56" s="5" t="s">
        <v>170</v>
      </c>
      <c r="C56" s="5" t="n">
        <v>3</v>
      </c>
      <c r="D56" s="5" t="s">
        <v>456</v>
      </c>
      <c r="E56" s="5" t="n">
        <v>6</v>
      </c>
      <c r="F56" s="20" t="n">
        <v>8.3948627607124</v>
      </c>
      <c r="G56" s="20" t="n">
        <f aca="false">9-F56</f>
        <v>0.605137239287604</v>
      </c>
      <c r="H56" s="20" t="n">
        <f aca="false">IF(G56&gt;=1,G56,0)</f>
        <v>0</v>
      </c>
      <c r="I56" s="5" t="s">
        <v>70</v>
      </c>
      <c r="J56" s="5" t="s">
        <v>459</v>
      </c>
    </row>
    <row r="57" customFormat="false" ht="15" hidden="false" customHeight="false" outlineLevel="0" collapsed="false">
      <c r="A57" s="5" t="s">
        <v>176</v>
      </c>
      <c r="B57" s="5" t="s">
        <v>170</v>
      </c>
      <c r="C57" s="5" t="n">
        <v>4</v>
      </c>
      <c r="D57" s="5" t="s">
        <v>456</v>
      </c>
      <c r="E57" s="5" t="n">
        <v>6</v>
      </c>
      <c r="F57" s="20" t="n">
        <v>8.39486276071239</v>
      </c>
      <c r="G57" s="20" t="n">
        <f aca="false">9-F57</f>
        <v>0.605137239287606</v>
      </c>
      <c r="H57" s="20" t="n">
        <f aca="false">IF(G57&gt;=1,G57,0)</f>
        <v>0</v>
      </c>
      <c r="I57" s="5" t="s">
        <v>70</v>
      </c>
      <c r="J57" s="5" t="s">
        <v>460</v>
      </c>
    </row>
    <row r="58" customFormat="false" ht="15" hidden="false" customHeight="false" outlineLevel="0" collapsed="false">
      <c r="A58" s="5" t="s">
        <v>176</v>
      </c>
      <c r="B58" s="5" t="s">
        <v>170</v>
      </c>
      <c r="C58" s="5" t="n">
        <v>5</v>
      </c>
      <c r="D58" s="5" t="s">
        <v>456</v>
      </c>
      <c r="E58" s="5" t="n">
        <v>6</v>
      </c>
      <c r="F58" s="20" t="n">
        <v>8.39486276071239</v>
      </c>
      <c r="G58" s="20" t="n">
        <f aca="false">9-F58</f>
        <v>0.605137239287608</v>
      </c>
      <c r="H58" s="20" t="n">
        <f aca="false">IF(G58&gt;=1,G58,0)</f>
        <v>0</v>
      </c>
      <c r="I58" s="5" t="s">
        <v>70</v>
      </c>
      <c r="J58" s="5" t="s">
        <v>461</v>
      </c>
    </row>
    <row r="59" customFormat="false" ht="15" hidden="false" customHeight="false" outlineLevel="0" collapsed="false">
      <c r="A59" s="5" t="s">
        <v>176</v>
      </c>
      <c r="B59" s="5" t="s">
        <v>170</v>
      </c>
      <c r="C59" s="5" t="n">
        <v>6</v>
      </c>
      <c r="D59" s="5" t="s">
        <v>462</v>
      </c>
      <c r="E59" s="5" t="n">
        <v>2</v>
      </c>
      <c r="F59" s="20" t="n">
        <v>2.79828758690413</v>
      </c>
      <c r="G59" s="20" t="n">
        <f aca="false">9-F59</f>
        <v>6.20171241309587</v>
      </c>
      <c r="H59" s="20" t="n">
        <f aca="false">IF(G59&gt;=1,G59,0)</f>
        <v>6.20171241309587</v>
      </c>
      <c r="I59" s="5" t="s">
        <v>70</v>
      </c>
      <c r="J59" s="5" t="s">
        <v>463</v>
      </c>
    </row>
    <row r="60" customFormat="false" ht="15" hidden="false" customHeight="false" outlineLevel="0" collapsed="false">
      <c r="A60" s="5" t="s">
        <v>176</v>
      </c>
      <c r="B60" s="5" t="s">
        <v>171</v>
      </c>
      <c r="C60" s="5" t="n">
        <v>1</v>
      </c>
      <c r="D60" s="5" t="s">
        <v>464</v>
      </c>
      <c r="E60" s="5" t="n">
        <v>4</v>
      </c>
      <c r="F60" s="20" t="n">
        <v>8.94571896726034</v>
      </c>
      <c r="G60" s="20" t="n">
        <f aca="false">9-F60</f>
        <v>0.0542810327396559</v>
      </c>
      <c r="H60" s="20" t="n">
        <f aca="false">IF(G60&gt;=1,G60,0)</f>
        <v>0</v>
      </c>
      <c r="I60" s="5" t="s">
        <v>70</v>
      </c>
      <c r="J60" s="5" t="s">
        <v>465</v>
      </c>
    </row>
    <row r="61" customFormat="false" ht="15" hidden="false" customHeight="false" outlineLevel="0" collapsed="false">
      <c r="A61" s="5" t="s">
        <v>176</v>
      </c>
      <c r="B61" s="5" t="s">
        <v>171</v>
      </c>
      <c r="C61" s="5" t="n">
        <v>2</v>
      </c>
      <c r="D61" s="5" t="s">
        <v>464</v>
      </c>
      <c r="E61" s="5" t="n">
        <v>4</v>
      </c>
      <c r="F61" s="20" t="n">
        <v>8.94571896726034</v>
      </c>
      <c r="G61" s="20" t="n">
        <f aca="false">9-F61</f>
        <v>0.0542810327396559</v>
      </c>
      <c r="H61" s="20" t="n">
        <f aca="false">IF(G61&gt;=1,G61,0)</f>
        <v>0</v>
      </c>
      <c r="I61" s="5" t="s">
        <v>70</v>
      </c>
      <c r="J61" s="5" t="s">
        <v>465</v>
      </c>
    </row>
    <row r="62" customFormat="false" ht="15" hidden="false" customHeight="false" outlineLevel="0" collapsed="false">
      <c r="A62" s="5" t="s">
        <v>176</v>
      </c>
      <c r="B62" s="5" t="s">
        <v>171</v>
      </c>
      <c r="C62" s="5" t="n">
        <v>3</v>
      </c>
      <c r="D62" s="5" t="s">
        <v>464</v>
      </c>
      <c r="E62" s="5" t="n">
        <v>4</v>
      </c>
      <c r="F62" s="20" t="n">
        <v>8.94571896726034</v>
      </c>
      <c r="G62" s="20" t="n">
        <f aca="false">9-F62</f>
        <v>0.0542810327396559</v>
      </c>
      <c r="H62" s="20" t="n">
        <f aca="false">IF(G62&gt;=1,G62,0)</f>
        <v>0</v>
      </c>
      <c r="I62" s="5" t="s">
        <v>70</v>
      </c>
      <c r="J62" s="5" t="s">
        <v>465</v>
      </c>
    </row>
    <row r="63" customFormat="false" ht="15" hidden="false" customHeight="false" outlineLevel="0" collapsed="false">
      <c r="A63" s="5" t="s">
        <v>176</v>
      </c>
      <c r="B63" s="5" t="s">
        <v>171</v>
      </c>
      <c r="C63" s="5" t="n">
        <v>4</v>
      </c>
      <c r="D63" s="5" t="s">
        <v>464</v>
      </c>
      <c r="E63" s="5" t="n">
        <v>4</v>
      </c>
      <c r="F63" s="20" t="n">
        <v>8.94571896726034</v>
      </c>
      <c r="G63" s="20" t="n">
        <f aca="false">9-F63</f>
        <v>0.0542810327396559</v>
      </c>
      <c r="H63" s="20" t="n">
        <f aca="false">IF(G63&gt;=1,G63,0)</f>
        <v>0</v>
      </c>
      <c r="I63" s="5" t="s">
        <v>70</v>
      </c>
      <c r="J63" s="5" t="s">
        <v>466</v>
      </c>
    </row>
    <row r="64" customFormat="false" ht="15" hidden="false" customHeight="false" outlineLevel="0" collapsed="false">
      <c r="A64" s="5" t="s">
        <v>176</v>
      </c>
      <c r="B64" s="5" t="s">
        <v>171</v>
      </c>
      <c r="C64" s="5" t="n">
        <v>5</v>
      </c>
      <c r="D64" s="5" t="s">
        <v>464</v>
      </c>
      <c r="E64" s="5" t="n">
        <v>4</v>
      </c>
      <c r="F64" s="20" t="n">
        <v>8.94571896726034</v>
      </c>
      <c r="G64" s="20" t="n">
        <f aca="false">9-F64</f>
        <v>0.0542810327396559</v>
      </c>
      <c r="H64" s="20" t="n">
        <f aca="false">IF(G64&gt;=1,G64,0)</f>
        <v>0</v>
      </c>
      <c r="I64" s="5" t="s">
        <v>70</v>
      </c>
      <c r="J64" s="5" t="s">
        <v>467</v>
      </c>
    </row>
    <row r="65" customFormat="false" ht="15" hidden="false" customHeight="false" outlineLevel="0" collapsed="false">
      <c r="A65" s="5" t="s">
        <v>176</v>
      </c>
      <c r="B65" s="5" t="s">
        <v>171</v>
      </c>
      <c r="C65" s="5" t="n">
        <v>6</v>
      </c>
      <c r="D65" s="5" t="s">
        <v>464</v>
      </c>
      <c r="E65" s="5" t="n">
        <v>4</v>
      </c>
      <c r="F65" s="20" t="n">
        <v>8.94571896726034</v>
      </c>
      <c r="G65" s="20" t="n">
        <f aca="false">9-F65</f>
        <v>0.0542810327396559</v>
      </c>
      <c r="H65" s="20" t="n">
        <f aca="false">IF(G65&gt;=1,G65,0)</f>
        <v>0</v>
      </c>
      <c r="I65" s="5" t="s">
        <v>70</v>
      </c>
      <c r="J65" s="5" t="s">
        <v>467</v>
      </c>
    </row>
    <row r="66" customFormat="false" ht="15" hidden="false" customHeight="false" outlineLevel="0" collapsed="false">
      <c r="A66" s="5" t="s">
        <v>176</v>
      </c>
      <c r="B66" s="5" t="s">
        <v>171</v>
      </c>
      <c r="C66" s="5" t="n">
        <v>7</v>
      </c>
      <c r="D66" s="5" t="s">
        <v>464</v>
      </c>
      <c r="E66" s="5" t="n">
        <v>4</v>
      </c>
      <c r="F66" s="20" t="n">
        <v>8.94571896726034</v>
      </c>
      <c r="G66" s="20" t="n">
        <f aca="false">9-F66</f>
        <v>0.0542810327396559</v>
      </c>
      <c r="H66" s="20" t="n">
        <f aca="false">IF(G66&gt;=1,G66,0)</f>
        <v>0</v>
      </c>
      <c r="I66" s="5" t="s">
        <v>70</v>
      </c>
      <c r="J66" s="5" t="s">
        <v>467</v>
      </c>
    </row>
    <row r="67" customFormat="false" ht="15" hidden="false" customHeight="false" outlineLevel="0" collapsed="false">
      <c r="A67" s="5" t="s">
        <v>176</v>
      </c>
      <c r="B67" s="5" t="s">
        <v>171</v>
      </c>
      <c r="C67" s="5" t="n">
        <v>8</v>
      </c>
      <c r="D67" s="5" t="s">
        <v>464</v>
      </c>
      <c r="E67" s="5" t="n">
        <v>4</v>
      </c>
      <c r="F67" s="20" t="n">
        <v>8.94571896726034</v>
      </c>
      <c r="G67" s="20" t="n">
        <f aca="false">9-F67</f>
        <v>0.0542810327396648</v>
      </c>
      <c r="H67" s="20" t="n">
        <f aca="false">IF(G67&gt;=1,G67,0)</f>
        <v>0</v>
      </c>
      <c r="I67" s="5" t="s">
        <v>70</v>
      </c>
      <c r="J67" s="5" t="s">
        <v>468</v>
      </c>
    </row>
    <row r="68" customFormat="false" ht="15" hidden="false" customHeight="false" outlineLevel="0" collapsed="false">
      <c r="A68" s="5" t="s">
        <v>176</v>
      </c>
      <c r="B68" s="5" t="s">
        <v>171</v>
      </c>
      <c r="C68" s="5" t="n">
        <v>9</v>
      </c>
      <c r="D68" s="5" t="s">
        <v>464</v>
      </c>
      <c r="E68" s="5" t="n">
        <v>4</v>
      </c>
      <c r="F68" s="20" t="n">
        <v>8.94571896726033</v>
      </c>
      <c r="G68" s="20" t="n">
        <f aca="false">9-F68</f>
        <v>0.0542810327396701</v>
      </c>
      <c r="H68" s="20" t="n">
        <f aca="false">IF(G68&gt;=1,G68,0)</f>
        <v>0</v>
      </c>
      <c r="I68" s="5" t="s">
        <v>70</v>
      </c>
      <c r="J68" s="5" t="s">
        <v>469</v>
      </c>
    </row>
    <row r="69" customFormat="false" ht="15" hidden="false" customHeight="false" outlineLevel="0" collapsed="false">
      <c r="A69" s="5" t="s">
        <v>176</v>
      </c>
      <c r="B69" s="5" t="s">
        <v>171</v>
      </c>
      <c r="C69" s="5" t="n">
        <v>10</v>
      </c>
      <c r="D69" s="5" t="s">
        <v>464</v>
      </c>
      <c r="E69" s="5" t="n">
        <v>4</v>
      </c>
      <c r="F69" s="20" t="n">
        <v>8.94571896726033</v>
      </c>
      <c r="G69" s="20" t="n">
        <f aca="false">9-F69</f>
        <v>0.0542810327396701</v>
      </c>
      <c r="H69" s="20" t="n">
        <f aca="false">IF(G69&gt;=1,G69,0)</f>
        <v>0</v>
      </c>
      <c r="I69" s="5" t="s">
        <v>70</v>
      </c>
      <c r="J69" s="5" t="s">
        <v>469</v>
      </c>
    </row>
    <row r="70" customFormat="false" ht="15" hidden="false" customHeight="false" outlineLevel="0" collapsed="false">
      <c r="A70" s="5" t="s">
        <v>176</v>
      </c>
      <c r="B70" s="5" t="s">
        <v>171</v>
      </c>
      <c r="C70" s="5" t="n">
        <v>11</v>
      </c>
      <c r="D70" s="5" t="s">
        <v>464</v>
      </c>
      <c r="E70" s="5" t="n">
        <v>4</v>
      </c>
      <c r="F70" s="20" t="n">
        <v>8.94571896726033</v>
      </c>
      <c r="G70" s="20" t="n">
        <f aca="false">9-F70</f>
        <v>0.0542810327396701</v>
      </c>
      <c r="H70" s="20" t="n">
        <f aca="false">IF(G70&gt;=1,G70,0)</f>
        <v>0</v>
      </c>
      <c r="I70" s="5" t="s">
        <v>70</v>
      </c>
      <c r="J70" s="5" t="s">
        <v>470</v>
      </c>
    </row>
    <row r="71" customFormat="false" ht="15" hidden="false" customHeight="false" outlineLevel="0" collapsed="false">
      <c r="A71" s="5" t="s">
        <v>176</v>
      </c>
      <c r="B71" s="5" t="s">
        <v>171</v>
      </c>
      <c r="C71" s="5" t="n">
        <v>12</v>
      </c>
      <c r="D71" s="5" t="s">
        <v>464</v>
      </c>
      <c r="E71" s="5" t="n">
        <v>4</v>
      </c>
      <c r="F71" s="20" t="n">
        <v>8.94571896726033</v>
      </c>
      <c r="G71" s="20" t="n">
        <f aca="false">9-F71</f>
        <v>0.0542810327396701</v>
      </c>
      <c r="H71" s="20" t="n">
        <f aca="false">IF(G71&gt;=1,G71,0)</f>
        <v>0</v>
      </c>
      <c r="I71" s="5" t="s">
        <v>70</v>
      </c>
      <c r="J71" s="5" t="s">
        <v>471</v>
      </c>
    </row>
    <row r="72" customFormat="false" ht="15" hidden="false" customHeight="false" outlineLevel="0" collapsed="false">
      <c r="A72" s="5" t="s">
        <v>176</v>
      </c>
      <c r="B72" s="5" t="s">
        <v>171</v>
      </c>
      <c r="C72" s="5" t="n">
        <v>13</v>
      </c>
      <c r="D72" s="5" t="s">
        <v>464</v>
      </c>
      <c r="E72" s="5" t="n">
        <v>4</v>
      </c>
      <c r="F72" s="20" t="n">
        <v>8.94571896726033</v>
      </c>
      <c r="G72" s="20" t="n">
        <f aca="false">9-F72</f>
        <v>0.0542810327396701</v>
      </c>
      <c r="H72" s="20" t="n">
        <f aca="false">IF(G72&gt;=1,G72,0)</f>
        <v>0</v>
      </c>
      <c r="I72" s="5" t="s">
        <v>70</v>
      </c>
      <c r="J72" s="5" t="s">
        <v>471</v>
      </c>
    </row>
    <row r="73" customFormat="false" ht="15" hidden="false" customHeight="false" outlineLevel="0" collapsed="false">
      <c r="A73" s="5" t="s">
        <v>176</v>
      </c>
      <c r="B73" s="5" t="s">
        <v>171</v>
      </c>
      <c r="C73" s="5" t="n">
        <v>14</v>
      </c>
      <c r="D73" s="5" t="s">
        <v>464</v>
      </c>
      <c r="E73" s="5" t="n">
        <v>4</v>
      </c>
      <c r="F73" s="20" t="n">
        <v>8.94571896726033</v>
      </c>
      <c r="G73" s="20" t="n">
        <f aca="false">9-F73</f>
        <v>0.0542810327396701</v>
      </c>
      <c r="H73" s="20" t="n">
        <f aca="false">IF(G73&gt;=1,G73,0)</f>
        <v>0</v>
      </c>
      <c r="I73" s="5" t="s">
        <v>70</v>
      </c>
      <c r="J73" s="5" t="s">
        <v>471</v>
      </c>
    </row>
    <row r="74" customFormat="false" ht="15" hidden="false" customHeight="false" outlineLevel="0" collapsed="false">
      <c r="A74" s="5" t="s">
        <v>176</v>
      </c>
      <c r="B74" s="5" t="s">
        <v>171</v>
      </c>
      <c r="C74" s="5" t="n">
        <v>15</v>
      </c>
      <c r="D74" s="5" t="s">
        <v>464</v>
      </c>
      <c r="E74" s="5" t="n">
        <v>4</v>
      </c>
      <c r="F74" s="20" t="n">
        <v>8.94571896726033</v>
      </c>
      <c r="G74" s="20" t="n">
        <f aca="false">9-F74</f>
        <v>0.0542810327396701</v>
      </c>
      <c r="H74" s="20" t="n">
        <f aca="false">IF(G74&gt;=1,G74,0)</f>
        <v>0</v>
      </c>
      <c r="I74" s="5" t="s">
        <v>70</v>
      </c>
      <c r="J74" s="5" t="s">
        <v>472</v>
      </c>
    </row>
    <row r="75" customFormat="false" ht="15" hidden="false" customHeight="false" outlineLevel="0" collapsed="false">
      <c r="A75" s="5" t="s">
        <v>176</v>
      </c>
      <c r="B75" s="5" t="s">
        <v>171</v>
      </c>
      <c r="C75" s="5" t="n">
        <v>16</v>
      </c>
      <c r="D75" s="5" t="s">
        <v>464</v>
      </c>
      <c r="E75" s="5" t="n">
        <v>4</v>
      </c>
      <c r="F75" s="20" t="n">
        <v>8.94571896726033</v>
      </c>
      <c r="G75" s="20" t="n">
        <f aca="false">9-F75</f>
        <v>0.0542810327396701</v>
      </c>
      <c r="H75" s="20" t="n">
        <f aca="false">IF(G75&gt;=1,G75,0)</f>
        <v>0</v>
      </c>
      <c r="I75" s="5" t="s">
        <v>70</v>
      </c>
      <c r="J75" s="5" t="s">
        <v>473</v>
      </c>
    </row>
    <row r="76" customFormat="false" ht="15" hidden="false" customHeight="false" outlineLevel="0" collapsed="false">
      <c r="A76" s="5" t="s">
        <v>176</v>
      </c>
      <c r="B76" s="5" t="s">
        <v>171</v>
      </c>
      <c r="C76" s="5" t="n">
        <v>17</v>
      </c>
      <c r="D76" s="5" t="s">
        <v>464</v>
      </c>
      <c r="E76" s="5" t="n">
        <v>4</v>
      </c>
      <c r="F76" s="20" t="n">
        <v>8.94571896726033</v>
      </c>
      <c r="G76" s="20" t="n">
        <f aca="false">9-F76</f>
        <v>0.0542810327396701</v>
      </c>
      <c r="H76" s="20" t="n">
        <f aca="false">IF(G76&gt;=1,G76,0)</f>
        <v>0</v>
      </c>
      <c r="I76" s="5" t="s">
        <v>70</v>
      </c>
      <c r="J76" s="5" t="s">
        <v>473</v>
      </c>
    </row>
    <row r="77" customFormat="false" ht="15" hidden="false" customHeight="false" outlineLevel="0" collapsed="false">
      <c r="A77" s="5" t="s">
        <v>176</v>
      </c>
      <c r="B77" s="5" t="s">
        <v>171</v>
      </c>
      <c r="C77" s="5" t="n">
        <v>18</v>
      </c>
      <c r="D77" s="5" t="s">
        <v>464</v>
      </c>
      <c r="E77" s="5" t="n">
        <v>4</v>
      </c>
      <c r="F77" s="20" t="n">
        <v>8.94571896726033</v>
      </c>
      <c r="G77" s="20" t="n">
        <f aca="false">9-F77</f>
        <v>0.0542810327396701</v>
      </c>
      <c r="H77" s="20" t="n">
        <f aca="false">IF(G77&gt;=1,G77,0)</f>
        <v>0</v>
      </c>
      <c r="I77" s="5" t="s">
        <v>70</v>
      </c>
      <c r="J77" s="5" t="s">
        <v>473</v>
      </c>
    </row>
    <row r="78" customFormat="false" ht="15" hidden="false" customHeight="false" outlineLevel="0" collapsed="false">
      <c r="A78" s="5" t="s">
        <v>176</v>
      </c>
      <c r="B78" s="5" t="s">
        <v>171</v>
      </c>
      <c r="C78" s="5" t="n">
        <v>19</v>
      </c>
      <c r="D78" s="5" t="s">
        <v>464</v>
      </c>
      <c r="E78" s="5" t="n">
        <v>4</v>
      </c>
      <c r="F78" s="20" t="n">
        <v>8.94571896726033</v>
      </c>
      <c r="G78" s="20" t="n">
        <f aca="false">9-F78</f>
        <v>0.0542810327396701</v>
      </c>
      <c r="H78" s="20" t="n">
        <f aca="false">IF(G78&gt;=1,G78,0)</f>
        <v>0</v>
      </c>
      <c r="I78" s="5" t="s">
        <v>70</v>
      </c>
      <c r="J78" s="5" t="s">
        <v>474</v>
      </c>
    </row>
    <row r="79" customFormat="false" ht="15" hidden="false" customHeight="false" outlineLevel="0" collapsed="false">
      <c r="A79" s="5" t="s">
        <v>176</v>
      </c>
      <c r="B79" s="5" t="s">
        <v>171</v>
      </c>
      <c r="C79" s="5" t="n">
        <v>20</v>
      </c>
      <c r="D79" s="5" t="s">
        <v>464</v>
      </c>
      <c r="E79" s="5" t="n">
        <v>4</v>
      </c>
      <c r="F79" s="20" t="n">
        <v>8.94571896726033</v>
      </c>
      <c r="G79" s="20" t="n">
        <f aca="false">9-F79</f>
        <v>0.0542810327396701</v>
      </c>
      <c r="H79" s="20" t="n">
        <f aca="false">IF(G79&gt;=1,G79,0)</f>
        <v>0</v>
      </c>
      <c r="I79" s="5" t="s">
        <v>70</v>
      </c>
      <c r="J79" s="5" t="s">
        <v>475</v>
      </c>
    </row>
    <row r="80" customFormat="false" ht="15" hidden="false" customHeight="false" outlineLevel="0" collapsed="false">
      <c r="A80" s="5" t="s">
        <v>176</v>
      </c>
      <c r="B80" s="5" t="s">
        <v>171</v>
      </c>
      <c r="C80" s="5" t="n">
        <v>21</v>
      </c>
      <c r="D80" s="5" t="s">
        <v>464</v>
      </c>
      <c r="E80" s="5" t="n">
        <v>4</v>
      </c>
      <c r="F80" s="20" t="n">
        <v>8.94571896726033</v>
      </c>
      <c r="G80" s="20" t="n">
        <f aca="false">9-F80</f>
        <v>0.0542810327396701</v>
      </c>
      <c r="H80" s="20" t="n">
        <f aca="false">IF(G80&gt;=1,G80,0)</f>
        <v>0</v>
      </c>
      <c r="I80" s="5" t="s">
        <v>70</v>
      </c>
      <c r="J80" s="5" t="s">
        <v>476</v>
      </c>
    </row>
    <row r="81" customFormat="false" ht="15" hidden="false" customHeight="false" outlineLevel="0" collapsed="false">
      <c r="A81" s="5" t="s">
        <v>176</v>
      </c>
      <c r="B81" s="5" t="s">
        <v>171</v>
      </c>
      <c r="C81" s="5" t="n">
        <v>22</v>
      </c>
      <c r="D81" s="5" t="s">
        <v>464</v>
      </c>
      <c r="E81" s="5" t="n">
        <v>4</v>
      </c>
      <c r="F81" s="20" t="n">
        <v>8.94571896726033</v>
      </c>
      <c r="G81" s="20" t="n">
        <f aca="false">9-F81</f>
        <v>0.0542810327396701</v>
      </c>
      <c r="H81" s="20" t="n">
        <f aca="false">IF(G81&gt;=1,G81,0)</f>
        <v>0</v>
      </c>
      <c r="I81" s="5" t="s">
        <v>70</v>
      </c>
      <c r="J81" s="5" t="s">
        <v>476</v>
      </c>
    </row>
    <row r="82" customFormat="false" ht="15" hidden="false" customHeight="false" outlineLevel="0" collapsed="false">
      <c r="A82" s="5" t="s">
        <v>176</v>
      </c>
      <c r="B82" s="5" t="s">
        <v>171</v>
      </c>
      <c r="C82" s="5" t="n">
        <v>23</v>
      </c>
      <c r="D82" s="5" t="s">
        <v>464</v>
      </c>
      <c r="E82" s="5" t="n">
        <v>4</v>
      </c>
      <c r="F82" s="20" t="n">
        <v>8.94571896726033</v>
      </c>
      <c r="G82" s="20" t="n">
        <f aca="false">9-F82</f>
        <v>0.0542810327396701</v>
      </c>
      <c r="H82" s="20" t="n">
        <f aca="false">IF(G82&gt;=1,G82,0)</f>
        <v>0</v>
      </c>
      <c r="I82" s="5" t="s">
        <v>70</v>
      </c>
      <c r="J82" s="5" t="s">
        <v>477</v>
      </c>
    </row>
    <row r="83" customFormat="false" ht="15" hidden="false" customHeight="false" outlineLevel="0" collapsed="false">
      <c r="A83" s="5" t="s">
        <v>176</v>
      </c>
      <c r="B83" s="5" t="s">
        <v>171</v>
      </c>
      <c r="C83" s="5" t="n">
        <v>24</v>
      </c>
      <c r="D83" s="5" t="s">
        <v>464</v>
      </c>
      <c r="E83" s="5" t="n">
        <v>4</v>
      </c>
      <c r="F83" s="20" t="n">
        <v>8.94571896726033</v>
      </c>
      <c r="G83" s="20" t="n">
        <f aca="false">9-F83</f>
        <v>0.0542810327396701</v>
      </c>
      <c r="H83" s="20" t="n">
        <f aca="false">IF(G83&gt;=1,G83,0)</f>
        <v>0</v>
      </c>
      <c r="I83" s="5" t="s">
        <v>70</v>
      </c>
      <c r="J83" s="5" t="s">
        <v>477</v>
      </c>
    </row>
    <row r="84" customFormat="false" ht="15" hidden="false" customHeight="false" outlineLevel="0" collapsed="false">
      <c r="A84" s="5" t="s">
        <v>176</v>
      </c>
      <c r="B84" s="5" t="s">
        <v>171</v>
      </c>
      <c r="C84" s="5" t="n">
        <v>25</v>
      </c>
      <c r="D84" s="5" t="s">
        <v>464</v>
      </c>
      <c r="E84" s="5" t="n">
        <v>4</v>
      </c>
      <c r="F84" s="20" t="n">
        <v>8.94571896726033</v>
      </c>
      <c r="G84" s="20" t="n">
        <f aca="false">9-F84</f>
        <v>0.0542810327396701</v>
      </c>
      <c r="H84" s="20" t="n">
        <f aca="false">IF(G84&gt;=1,G84,0)</f>
        <v>0</v>
      </c>
      <c r="I84" s="5" t="s">
        <v>70</v>
      </c>
      <c r="J84" s="5" t="s">
        <v>477</v>
      </c>
    </row>
    <row r="85" customFormat="false" ht="15" hidden="false" customHeight="false" outlineLevel="0" collapsed="false">
      <c r="A85" s="5" t="s">
        <v>176</v>
      </c>
      <c r="B85" s="5" t="s">
        <v>171</v>
      </c>
      <c r="C85" s="5" t="n">
        <v>26</v>
      </c>
      <c r="D85" s="5" t="s">
        <v>464</v>
      </c>
      <c r="E85" s="5" t="n">
        <v>4</v>
      </c>
      <c r="F85" s="20" t="n">
        <v>8.94571896726033</v>
      </c>
      <c r="G85" s="20" t="n">
        <f aca="false">9-F85</f>
        <v>0.0542810327396701</v>
      </c>
      <c r="H85" s="20" t="n">
        <f aca="false">IF(G85&gt;=1,G85,0)</f>
        <v>0</v>
      </c>
      <c r="I85" s="5" t="s">
        <v>70</v>
      </c>
      <c r="J85" s="5" t="s">
        <v>478</v>
      </c>
    </row>
    <row r="86" customFormat="false" ht="15" hidden="false" customHeight="false" outlineLevel="0" collapsed="false">
      <c r="A86" s="5" t="s">
        <v>176</v>
      </c>
      <c r="B86" s="5" t="s">
        <v>171</v>
      </c>
      <c r="C86" s="5" t="n">
        <v>27</v>
      </c>
      <c r="D86" s="5" t="s">
        <v>464</v>
      </c>
      <c r="E86" s="5" t="n">
        <v>4</v>
      </c>
      <c r="F86" s="20" t="n">
        <v>8.94571896726033</v>
      </c>
      <c r="G86" s="20" t="n">
        <f aca="false">9-F86</f>
        <v>0.0542810327396701</v>
      </c>
      <c r="H86" s="20" t="n">
        <f aca="false">IF(G86&gt;=1,G86,0)</f>
        <v>0</v>
      </c>
      <c r="I86" s="5" t="s">
        <v>70</v>
      </c>
      <c r="J86" s="5" t="s">
        <v>479</v>
      </c>
    </row>
    <row r="87" customFormat="false" ht="15" hidden="false" customHeight="false" outlineLevel="0" collapsed="false">
      <c r="A87" s="5" t="s">
        <v>176</v>
      </c>
      <c r="B87" s="5" t="s">
        <v>171</v>
      </c>
      <c r="C87" s="5" t="n">
        <v>28</v>
      </c>
      <c r="D87" s="5" t="s">
        <v>464</v>
      </c>
      <c r="E87" s="5" t="n">
        <v>4</v>
      </c>
      <c r="F87" s="20" t="n">
        <v>8.94571896726033</v>
      </c>
      <c r="G87" s="20" t="n">
        <f aca="false">9-F87</f>
        <v>0.0542810327396701</v>
      </c>
      <c r="H87" s="20" t="n">
        <f aca="false">IF(G87&gt;=1,G87,0)</f>
        <v>0</v>
      </c>
      <c r="I87" s="5" t="s">
        <v>70</v>
      </c>
      <c r="J87" s="5" t="s">
        <v>479</v>
      </c>
    </row>
    <row r="88" customFormat="false" ht="15" hidden="false" customHeight="false" outlineLevel="0" collapsed="false">
      <c r="A88" s="5" t="s">
        <v>176</v>
      </c>
      <c r="B88" s="5" t="s">
        <v>171</v>
      </c>
      <c r="C88" s="5" t="n">
        <v>29</v>
      </c>
      <c r="D88" s="5" t="s">
        <v>464</v>
      </c>
      <c r="E88" s="5" t="n">
        <v>4</v>
      </c>
      <c r="F88" s="20" t="n">
        <v>8.94571896726033</v>
      </c>
      <c r="G88" s="20" t="n">
        <f aca="false">9-F88</f>
        <v>0.0542810327396701</v>
      </c>
      <c r="H88" s="20" t="n">
        <f aca="false">IF(G88&gt;=1,G88,0)</f>
        <v>0</v>
      </c>
      <c r="I88" s="5" t="s">
        <v>70</v>
      </c>
      <c r="J88" s="5" t="s">
        <v>479</v>
      </c>
    </row>
    <row r="89" customFormat="false" ht="15" hidden="false" customHeight="false" outlineLevel="0" collapsed="false">
      <c r="A89" s="5" t="s">
        <v>176</v>
      </c>
      <c r="B89" s="5" t="s">
        <v>171</v>
      </c>
      <c r="C89" s="5" t="n">
        <v>30</v>
      </c>
      <c r="D89" s="5" t="s">
        <v>464</v>
      </c>
      <c r="E89" s="5" t="n">
        <v>4</v>
      </c>
      <c r="F89" s="20" t="n">
        <v>8.94571896726033</v>
      </c>
      <c r="G89" s="20" t="n">
        <f aca="false">9-F89</f>
        <v>0.0542810327396719</v>
      </c>
      <c r="H89" s="20" t="n">
        <f aca="false">IF(G89&gt;=1,G89,0)</f>
        <v>0</v>
      </c>
      <c r="I89" s="5" t="s">
        <v>70</v>
      </c>
      <c r="J89" s="5" t="s">
        <v>480</v>
      </c>
    </row>
    <row r="90" customFormat="false" ht="15" hidden="false" customHeight="false" outlineLevel="0" collapsed="false">
      <c r="A90" s="5" t="s">
        <v>176</v>
      </c>
      <c r="B90" s="5" t="s">
        <v>171</v>
      </c>
      <c r="C90" s="5" t="n">
        <v>31</v>
      </c>
      <c r="D90" s="5" t="s">
        <v>464</v>
      </c>
      <c r="E90" s="5" t="n">
        <v>4</v>
      </c>
      <c r="F90" s="20" t="n">
        <v>8.94571896726033</v>
      </c>
      <c r="G90" s="20" t="n">
        <f aca="false">9-F90</f>
        <v>0.0542810327396737</v>
      </c>
      <c r="H90" s="20" t="n">
        <f aca="false">IF(G90&gt;=1,G90,0)</f>
        <v>0</v>
      </c>
      <c r="I90" s="5" t="s">
        <v>70</v>
      </c>
      <c r="J90" s="5" t="s">
        <v>481</v>
      </c>
    </row>
    <row r="91" customFormat="false" ht="15" hidden="false" customHeight="false" outlineLevel="0" collapsed="false">
      <c r="A91" s="5" t="s">
        <v>176</v>
      </c>
      <c r="B91" s="5" t="s">
        <v>171</v>
      </c>
      <c r="C91" s="5" t="n">
        <v>32</v>
      </c>
      <c r="D91" s="5" t="s">
        <v>464</v>
      </c>
      <c r="E91" s="5" t="n">
        <v>4</v>
      </c>
      <c r="F91" s="20" t="n">
        <v>8.94571896726033</v>
      </c>
      <c r="G91" s="20" t="n">
        <f aca="false">9-F91</f>
        <v>0.0542810327396737</v>
      </c>
      <c r="H91" s="20" t="n">
        <f aca="false">IF(G91&gt;=1,G91,0)</f>
        <v>0</v>
      </c>
      <c r="I91" s="5" t="s">
        <v>70</v>
      </c>
      <c r="J91" s="5" t="s">
        <v>481</v>
      </c>
    </row>
    <row r="92" customFormat="false" ht="15" hidden="false" customHeight="false" outlineLevel="0" collapsed="false">
      <c r="A92" s="5" t="s">
        <v>176</v>
      </c>
      <c r="B92" s="5" t="s">
        <v>171</v>
      </c>
      <c r="C92" s="5" t="n">
        <v>33</v>
      </c>
      <c r="D92" s="5" t="s">
        <v>464</v>
      </c>
      <c r="E92" s="5" t="n">
        <v>4</v>
      </c>
      <c r="F92" s="20" t="n">
        <v>8.94571896726033</v>
      </c>
      <c r="G92" s="20" t="n">
        <f aca="false">9-F92</f>
        <v>0.0542810327396737</v>
      </c>
      <c r="H92" s="20" t="n">
        <f aca="false">IF(G92&gt;=1,G92,0)</f>
        <v>0</v>
      </c>
      <c r="I92" s="5" t="s">
        <v>70</v>
      </c>
      <c r="J92" s="5" t="s">
        <v>481</v>
      </c>
    </row>
    <row r="93" customFormat="false" ht="15" hidden="false" customHeight="false" outlineLevel="0" collapsed="false">
      <c r="A93" s="5" t="s">
        <v>176</v>
      </c>
      <c r="B93" s="5" t="s">
        <v>171</v>
      </c>
      <c r="C93" s="5" t="n">
        <v>34</v>
      </c>
      <c r="D93" s="5" t="s">
        <v>464</v>
      </c>
      <c r="E93" s="5" t="n">
        <v>4</v>
      </c>
      <c r="F93" s="20" t="n">
        <v>8.94571896726033</v>
      </c>
      <c r="G93" s="20" t="n">
        <f aca="false">9-F93</f>
        <v>0.0542810327396754</v>
      </c>
      <c r="H93" s="20" t="n">
        <f aca="false">IF(G93&gt;=1,G93,0)</f>
        <v>0</v>
      </c>
      <c r="I93" s="5" t="s">
        <v>70</v>
      </c>
      <c r="J93" s="5" t="s">
        <v>482</v>
      </c>
    </row>
    <row r="94" customFormat="false" ht="15" hidden="false" customHeight="false" outlineLevel="0" collapsed="false">
      <c r="A94" s="5" t="s">
        <v>176</v>
      </c>
      <c r="B94" s="5" t="s">
        <v>171</v>
      </c>
      <c r="C94" s="5" t="n">
        <v>35</v>
      </c>
      <c r="D94" s="5" t="s">
        <v>464</v>
      </c>
      <c r="E94" s="5" t="n">
        <v>4</v>
      </c>
      <c r="F94" s="20" t="n">
        <v>8.94571896726033</v>
      </c>
      <c r="G94" s="20" t="n">
        <f aca="false">9-F94</f>
        <v>0.0542810327396754</v>
      </c>
      <c r="H94" s="20" t="n">
        <f aca="false">IF(G94&gt;=1,G94,0)</f>
        <v>0</v>
      </c>
      <c r="I94" s="5" t="s">
        <v>70</v>
      </c>
      <c r="J94" s="5" t="s">
        <v>482</v>
      </c>
    </row>
    <row r="95" customFormat="false" ht="15" hidden="false" customHeight="false" outlineLevel="0" collapsed="false">
      <c r="A95" s="5" t="s">
        <v>176</v>
      </c>
      <c r="B95" s="5" t="s">
        <v>171</v>
      </c>
      <c r="C95" s="5" t="n">
        <v>36</v>
      </c>
      <c r="D95" s="5" t="s">
        <v>464</v>
      </c>
      <c r="E95" s="5" t="n">
        <v>4</v>
      </c>
      <c r="F95" s="20" t="n">
        <v>8.94571896726033</v>
      </c>
      <c r="G95" s="20" t="n">
        <f aca="false">9-F95</f>
        <v>0.0542810327396754</v>
      </c>
      <c r="H95" s="20" t="n">
        <f aca="false">IF(G95&gt;=1,G95,0)</f>
        <v>0</v>
      </c>
      <c r="I95" s="5" t="s">
        <v>70</v>
      </c>
      <c r="J95" s="5" t="s">
        <v>482</v>
      </c>
    </row>
    <row r="96" customFormat="false" ht="15" hidden="false" customHeight="false" outlineLevel="0" collapsed="false">
      <c r="A96" s="5" t="s">
        <v>176</v>
      </c>
      <c r="B96" s="5" t="s">
        <v>171</v>
      </c>
      <c r="C96" s="5" t="n">
        <v>37</v>
      </c>
      <c r="D96" s="5" t="s">
        <v>483</v>
      </c>
      <c r="E96" s="5" t="n">
        <v>4</v>
      </c>
      <c r="F96" s="20" t="n">
        <v>8.74571896726033</v>
      </c>
      <c r="G96" s="20" t="n">
        <f aca="false">9-F96</f>
        <v>0.254281032739675</v>
      </c>
      <c r="H96" s="20" t="n">
        <f aca="false">IF(G96&gt;=1,G96,0)</f>
        <v>0</v>
      </c>
      <c r="I96" s="5" t="s">
        <v>70</v>
      </c>
      <c r="J96" s="5" t="s">
        <v>484</v>
      </c>
    </row>
    <row r="97" customFormat="false" ht="15" hidden="false" customHeight="false" outlineLevel="0" collapsed="false">
      <c r="A97" s="5" t="s">
        <v>176</v>
      </c>
      <c r="B97" s="5" t="s">
        <v>171</v>
      </c>
      <c r="C97" s="5" t="n">
        <v>38</v>
      </c>
      <c r="D97" s="5" t="s">
        <v>485</v>
      </c>
      <c r="E97" s="5" t="n">
        <v>4</v>
      </c>
      <c r="F97" s="20" t="n">
        <v>8.34571896726033</v>
      </c>
      <c r="G97" s="20" t="n">
        <f aca="false">9-F97</f>
        <v>0.654281032739672</v>
      </c>
      <c r="H97" s="20" t="n">
        <f aca="false">IF(G97&gt;=1,G97,0)</f>
        <v>0</v>
      </c>
      <c r="I97" s="5" t="s">
        <v>70</v>
      </c>
      <c r="J97" s="5" t="s">
        <v>486</v>
      </c>
    </row>
    <row r="98" customFormat="false" ht="15" hidden="false" customHeight="false" outlineLevel="0" collapsed="false">
      <c r="A98" s="5" t="s">
        <v>176</v>
      </c>
      <c r="B98" s="5" t="s">
        <v>171</v>
      </c>
      <c r="C98" s="5" t="n">
        <v>39</v>
      </c>
      <c r="D98" s="5" t="s">
        <v>485</v>
      </c>
      <c r="E98" s="5" t="n">
        <v>4</v>
      </c>
      <c r="F98" s="20" t="n">
        <v>8.34571896726033</v>
      </c>
      <c r="G98" s="20" t="n">
        <f aca="false">9-F98</f>
        <v>0.654281032739672</v>
      </c>
      <c r="H98" s="20" t="n">
        <f aca="false">IF(G98&gt;=1,G98,0)</f>
        <v>0</v>
      </c>
      <c r="I98" s="5" t="s">
        <v>70</v>
      </c>
      <c r="J98" s="5" t="s">
        <v>487</v>
      </c>
    </row>
    <row r="99" customFormat="false" ht="15" hidden="false" customHeight="false" outlineLevel="0" collapsed="false">
      <c r="A99" s="5" t="s">
        <v>176</v>
      </c>
      <c r="B99" s="5" t="s">
        <v>171</v>
      </c>
      <c r="C99" s="5" t="n">
        <v>40</v>
      </c>
      <c r="D99" s="5" t="s">
        <v>485</v>
      </c>
      <c r="E99" s="5" t="n">
        <v>4</v>
      </c>
      <c r="F99" s="20" t="n">
        <v>8.34571896726033</v>
      </c>
      <c r="G99" s="20" t="n">
        <f aca="false">9-F99</f>
        <v>0.654281032739672</v>
      </c>
      <c r="H99" s="20" t="n">
        <f aca="false">IF(G99&gt;=1,G99,0)</f>
        <v>0</v>
      </c>
      <c r="I99" s="5" t="s">
        <v>70</v>
      </c>
      <c r="J99" s="5" t="s">
        <v>487</v>
      </c>
    </row>
    <row r="100" customFormat="false" ht="15" hidden="false" customHeight="false" outlineLevel="0" collapsed="false">
      <c r="A100" s="5" t="s">
        <v>176</v>
      </c>
      <c r="B100" s="5" t="s">
        <v>171</v>
      </c>
      <c r="C100" s="5" t="n">
        <v>41</v>
      </c>
      <c r="D100" s="5" t="s">
        <v>485</v>
      </c>
      <c r="E100" s="5" t="n">
        <v>4</v>
      </c>
      <c r="F100" s="20" t="n">
        <v>8.34571896726033</v>
      </c>
      <c r="G100" s="20" t="n">
        <f aca="false">9-F100</f>
        <v>0.654281032739675</v>
      </c>
      <c r="H100" s="20" t="n">
        <f aca="false">IF(G100&gt;=1,G100,0)</f>
        <v>0</v>
      </c>
      <c r="I100" s="5" t="s">
        <v>70</v>
      </c>
      <c r="J100" s="5" t="s">
        <v>488</v>
      </c>
    </row>
    <row r="101" customFormat="false" ht="15" hidden="false" customHeight="false" outlineLevel="0" collapsed="false">
      <c r="A101" s="5" t="s">
        <v>176</v>
      </c>
      <c r="B101" s="5" t="s">
        <v>171</v>
      </c>
      <c r="C101" s="5" t="n">
        <v>42</v>
      </c>
      <c r="D101" s="5" t="s">
        <v>485</v>
      </c>
      <c r="E101" s="5" t="n">
        <v>4</v>
      </c>
      <c r="F101" s="20" t="n">
        <v>8.34571896726033</v>
      </c>
      <c r="G101" s="20" t="n">
        <f aca="false">9-F101</f>
        <v>0.654281032739675</v>
      </c>
      <c r="H101" s="20" t="n">
        <f aca="false">IF(G101&gt;=1,G101,0)</f>
        <v>0</v>
      </c>
      <c r="I101" s="5" t="s">
        <v>70</v>
      </c>
      <c r="J101" s="5" t="s">
        <v>488</v>
      </c>
    </row>
    <row r="102" customFormat="false" ht="15" hidden="false" customHeight="false" outlineLevel="0" collapsed="false">
      <c r="A102" s="5" t="s">
        <v>176</v>
      </c>
      <c r="B102" s="5" t="s">
        <v>171</v>
      </c>
      <c r="C102" s="5" t="n">
        <v>43</v>
      </c>
      <c r="D102" s="5" t="s">
        <v>485</v>
      </c>
      <c r="E102" s="5" t="n">
        <v>4</v>
      </c>
      <c r="F102" s="20" t="n">
        <v>8.34571896726032</v>
      </c>
      <c r="G102" s="20" t="n">
        <f aca="false">9-F102</f>
        <v>0.654281032739682</v>
      </c>
      <c r="H102" s="20" t="n">
        <f aca="false">IF(G102&gt;=1,G102,0)</f>
        <v>0</v>
      </c>
      <c r="I102" s="5" t="s">
        <v>70</v>
      </c>
      <c r="J102" s="5" t="s">
        <v>489</v>
      </c>
    </row>
    <row r="103" customFormat="false" ht="15" hidden="false" customHeight="false" outlineLevel="0" collapsed="false">
      <c r="A103" s="5" t="s">
        <v>176</v>
      </c>
      <c r="B103" s="5" t="s">
        <v>171</v>
      </c>
      <c r="C103" s="5" t="n">
        <v>44</v>
      </c>
      <c r="D103" s="5" t="s">
        <v>485</v>
      </c>
      <c r="E103" s="5" t="n">
        <v>4</v>
      </c>
      <c r="F103" s="20" t="n">
        <v>8.34571896726031</v>
      </c>
      <c r="G103" s="20" t="n">
        <f aca="false">9-F103</f>
        <v>0.654281032739689</v>
      </c>
      <c r="H103" s="20" t="n">
        <f aca="false">IF(G103&gt;=1,G103,0)</f>
        <v>0</v>
      </c>
      <c r="I103" s="5" t="s">
        <v>70</v>
      </c>
      <c r="J103" s="5" t="s">
        <v>490</v>
      </c>
    </row>
    <row r="104" customFormat="false" ht="15" hidden="false" customHeight="false" outlineLevel="0" collapsed="false">
      <c r="A104" s="5" t="s">
        <v>176</v>
      </c>
      <c r="B104" s="5" t="s">
        <v>171</v>
      </c>
      <c r="C104" s="5" t="n">
        <v>45</v>
      </c>
      <c r="D104" s="5" t="s">
        <v>485</v>
      </c>
      <c r="E104" s="5" t="n">
        <v>4</v>
      </c>
      <c r="F104" s="20" t="n">
        <v>8.34571896726031</v>
      </c>
      <c r="G104" s="20" t="n">
        <f aca="false">9-F104</f>
        <v>0.654281032739689</v>
      </c>
      <c r="H104" s="20" t="n">
        <f aca="false">IF(G104&gt;=1,G104,0)</f>
        <v>0</v>
      </c>
      <c r="I104" s="5" t="s">
        <v>70</v>
      </c>
      <c r="J104" s="5" t="s">
        <v>490</v>
      </c>
    </row>
    <row r="105" customFormat="false" ht="15" hidden="false" customHeight="false" outlineLevel="0" collapsed="false">
      <c r="A105" s="5" t="s">
        <v>176</v>
      </c>
      <c r="B105" s="5" t="s">
        <v>171</v>
      </c>
      <c r="C105" s="5" t="n">
        <v>46</v>
      </c>
      <c r="D105" s="5" t="s">
        <v>485</v>
      </c>
      <c r="E105" s="5" t="n">
        <v>4</v>
      </c>
      <c r="F105" s="20" t="n">
        <v>8.34571896726031</v>
      </c>
      <c r="G105" s="20" t="n">
        <f aca="false">9-F105</f>
        <v>0.654281032739689</v>
      </c>
      <c r="H105" s="20" t="n">
        <f aca="false">IF(G105&gt;=1,G105,0)</f>
        <v>0</v>
      </c>
      <c r="I105" s="5" t="s">
        <v>70</v>
      </c>
      <c r="J105" s="5" t="s">
        <v>491</v>
      </c>
    </row>
    <row r="106" customFormat="false" ht="15" hidden="false" customHeight="false" outlineLevel="0" collapsed="false">
      <c r="A106" s="5" t="s">
        <v>176</v>
      </c>
      <c r="B106" s="5" t="s">
        <v>171</v>
      </c>
      <c r="C106" s="5" t="n">
        <v>47</v>
      </c>
      <c r="D106" s="5" t="s">
        <v>485</v>
      </c>
      <c r="E106" s="5" t="n">
        <v>4</v>
      </c>
      <c r="F106" s="20" t="n">
        <v>8.34571896726031</v>
      </c>
      <c r="G106" s="20" t="n">
        <f aca="false">9-F106</f>
        <v>0.654281032739689</v>
      </c>
      <c r="H106" s="20" t="n">
        <f aca="false">IF(G106&gt;=1,G106,0)</f>
        <v>0</v>
      </c>
      <c r="I106" s="5" t="s">
        <v>70</v>
      </c>
      <c r="J106" s="5" t="s">
        <v>491</v>
      </c>
    </row>
    <row r="107" customFormat="false" ht="15" hidden="false" customHeight="false" outlineLevel="0" collapsed="false">
      <c r="A107" s="5" t="s">
        <v>176</v>
      </c>
      <c r="B107" s="5" t="s">
        <v>171</v>
      </c>
      <c r="C107" s="5" t="n">
        <v>48</v>
      </c>
      <c r="D107" s="5" t="s">
        <v>492</v>
      </c>
      <c r="E107" s="5" t="n">
        <v>4</v>
      </c>
      <c r="F107" s="20" t="n">
        <v>7.94571896726033</v>
      </c>
      <c r="G107" s="20" t="n">
        <f aca="false">9-F107</f>
        <v>1.05428103273968</v>
      </c>
      <c r="H107" s="20" t="n">
        <f aca="false">IF(G107&gt;=1,G107,0)</f>
        <v>1.05428103273968</v>
      </c>
      <c r="I107" s="5" t="s">
        <v>70</v>
      </c>
      <c r="J107" s="5" t="s">
        <v>493</v>
      </c>
    </row>
    <row r="108" customFormat="false" ht="15" hidden="false" customHeight="false" outlineLevel="0" collapsed="false">
      <c r="A108" s="5" t="s">
        <v>176</v>
      </c>
      <c r="B108" s="5" t="s">
        <v>171</v>
      </c>
      <c r="C108" s="5" t="n">
        <v>49</v>
      </c>
      <c r="D108" s="5" t="s">
        <v>494</v>
      </c>
      <c r="E108" s="5" t="n">
        <v>4</v>
      </c>
      <c r="F108" s="20" t="n">
        <v>7.54571896726034</v>
      </c>
      <c r="G108" s="20" t="n">
        <f aca="false">9-F108</f>
        <v>1.45428103273966</v>
      </c>
      <c r="H108" s="20" t="n">
        <f aca="false">IF(G108&gt;=1,G108,0)</f>
        <v>1.45428103273966</v>
      </c>
      <c r="I108" s="5" t="s">
        <v>70</v>
      </c>
      <c r="J108" s="5" t="s">
        <v>495</v>
      </c>
    </row>
    <row r="109" customFormat="false" ht="15" hidden="false" customHeight="false" outlineLevel="0" collapsed="false">
      <c r="A109" s="5" t="s">
        <v>176</v>
      </c>
      <c r="B109" s="5" t="s">
        <v>171</v>
      </c>
      <c r="C109" s="5" t="n">
        <v>50</v>
      </c>
      <c r="D109" s="5" t="s">
        <v>494</v>
      </c>
      <c r="E109" s="5" t="n">
        <v>4</v>
      </c>
      <c r="F109" s="20" t="n">
        <v>7.54571896726034</v>
      </c>
      <c r="G109" s="20" t="n">
        <f aca="false">9-F109</f>
        <v>1.45428103273966</v>
      </c>
      <c r="H109" s="20" t="n">
        <f aca="false">IF(G109&gt;=1,G109,0)</f>
        <v>1.45428103273966</v>
      </c>
      <c r="I109" s="5" t="s">
        <v>70</v>
      </c>
      <c r="J109" s="5" t="s">
        <v>496</v>
      </c>
    </row>
    <row r="110" customFormat="false" ht="15" hidden="false" customHeight="false" outlineLevel="0" collapsed="false">
      <c r="A110" s="5" t="s">
        <v>176</v>
      </c>
      <c r="B110" s="5" t="s">
        <v>171</v>
      </c>
      <c r="C110" s="5" t="n">
        <v>51</v>
      </c>
      <c r="D110" s="5" t="s">
        <v>494</v>
      </c>
      <c r="E110" s="5" t="n">
        <v>4</v>
      </c>
      <c r="F110" s="20" t="n">
        <v>7.54571896726034</v>
      </c>
      <c r="G110" s="20" t="n">
        <f aca="false">9-F110</f>
        <v>1.45428103273966</v>
      </c>
      <c r="H110" s="20" t="n">
        <f aca="false">IF(G110&gt;=1,G110,0)</f>
        <v>1.45428103273966</v>
      </c>
      <c r="I110" s="5" t="s">
        <v>70</v>
      </c>
      <c r="J110" s="5" t="s">
        <v>497</v>
      </c>
    </row>
    <row r="111" customFormat="false" ht="15" hidden="false" customHeight="false" outlineLevel="0" collapsed="false">
      <c r="A111" s="5" t="s">
        <v>176</v>
      </c>
      <c r="B111" s="5" t="s">
        <v>171</v>
      </c>
      <c r="C111" s="5" t="n">
        <v>52</v>
      </c>
      <c r="D111" s="5" t="s">
        <v>494</v>
      </c>
      <c r="E111" s="5" t="n">
        <v>4</v>
      </c>
      <c r="F111" s="20" t="n">
        <v>7.54571896726034</v>
      </c>
      <c r="G111" s="20" t="n">
        <f aca="false">9-F111</f>
        <v>1.45428103273966</v>
      </c>
      <c r="H111" s="20" t="n">
        <f aca="false">IF(G111&gt;=1,G111,0)</f>
        <v>1.45428103273966</v>
      </c>
      <c r="I111" s="5" t="s">
        <v>70</v>
      </c>
      <c r="J111" s="5" t="s">
        <v>497</v>
      </c>
    </row>
    <row r="112" customFormat="false" ht="15" hidden="false" customHeight="false" outlineLevel="0" collapsed="false">
      <c r="A112" s="5" t="s">
        <v>176</v>
      </c>
      <c r="B112" s="5" t="s">
        <v>171</v>
      </c>
      <c r="C112" s="5" t="n">
        <v>53</v>
      </c>
      <c r="D112" s="5" t="s">
        <v>494</v>
      </c>
      <c r="E112" s="5" t="n">
        <v>4</v>
      </c>
      <c r="F112" s="20" t="n">
        <v>7.54571896726034</v>
      </c>
      <c r="G112" s="20" t="n">
        <f aca="false">9-F112</f>
        <v>1.45428103273966</v>
      </c>
      <c r="H112" s="20" t="n">
        <f aca="false">IF(G112&gt;=1,G112,0)</f>
        <v>1.45428103273966</v>
      </c>
      <c r="I112" s="5" t="s">
        <v>70</v>
      </c>
      <c r="J112" s="5" t="s">
        <v>498</v>
      </c>
    </row>
    <row r="113" customFormat="false" ht="15" hidden="false" customHeight="false" outlineLevel="0" collapsed="false">
      <c r="A113" s="5" t="s">
        <v>176</v>
      </c>
      <c r="B113" s="5" t="s">
        <v>171</v>
      </c>
      <c r="C113" s="5" t="n">
        <v>54</v>
      </c>
      <c r="D113" s="5" t="s">
        <v>494</v>
      </c>
      <c r="E113" s="5" t="n">
        <v>4</v>
      </c>
      <c r="F113" s="20" t="n">
        <v>7.54571896726034</v>
      </c>
      <c r="G113" s="20" t="n">
        <f aca="false">9-F113</f>
        <v>1.45428103273966</v>
      </c>
      <c r="H113" s="20" t="n">
        <f aca="false">IF(G113&gt;=1,G113,0)</f>
        <v>1.45428103273966</v>
      </c>
      <c r="I113" s="5" t="s">
        <v>70</v>
      </c>
      <c r="J113" s="5" t="s">
        <v>498</v>
      </c>
    </row>
    <row r="114" customFormat="false" ht="15" hidden="false" customHeight="false" outlineLevel="0" collapsed="false">
      <c r="A114" s="5" t="s">
        <v>176</v>
      </c>
      <c r="B114" s="5" t="s">
        <v>171</v>
      </c>
      <c r="C114" s="5" t="n">
        <v>55</v>
      </c>
      <c r="D114" s="5" t="s">
        <v>494</v>
      </c>
      <c r="E114" s="5" t="n">
        <v>4</v>
      </c>
      <c r="F114" s="20" t="n">
        <v>7.54571896726034</v>
      </c>
      <c r="G114" s="20" t="n">
        <f aca="false">9-F114</f>
        <v>1.45428103273966</v>
      </c>
      <c r="H114" s="20" t="n">
        <f aca="false">IF(G114&gt;=1,G114,0)</f>
        <v>1.45428103273966</v>
      </c>
      <c r="I114" s="5" t="s">
        <v>70</v>
      </c>
      <c r="J114" s="5" t="s">
        <v>499</v>
      </c>
    </row>
    <row r="115" customFormat="false" ht="15" hidden="false" customHeight="false" outlineLevel="0" collapsed="false">
      <c r="A115" s="5" t="s">
        <v>176</v>
      </c>
      <c r="B115" s="5" t="s">
        <v>171</v>
      </c>
      <c r="C115" s="5" t="n">
        <v>56</v>
      </c>
      <c r="D115" s="5" t="s">
        <v>494</v>
      </c>
      <c r="E115" s="5" t="n">
        <v>4</v>
      </c>
      <c r="F115" s="20" t="n">
        <v>7.54571896726034</v>
      </c>
      <c r="G115" s="20" t="n">
        <f aca="false">9-F115</f>
        <v>1.45428103273967</v>
      </c>
      <c r="H115" s="20" t="n">
        <f aca="false">IF(G115&gt;=1,G115,0)</f>
        <v>1.45428103273967</v>
      </c>
      <c r="I115" s="5" t="s">
        <v>70</v>
      </c>
      <c r="J115" s="5" t="s">
        <v>500</v>
      </c>
    </row>
    <row r="116" customFormat="false" ht="15" hidden="false" customHeight="false" outlineLevel="0" collapsed="false">
      <c r="A116" s="5" t="s">
        <v>176</v>
      </c>
      <c r="B116" s="5" t="s">
        <v>171</v>
      </c>
      <c r="C116" s="5" t="n">
        <v>57</v>
      </c>
      <c r="D116" s="5" t="s">
        <v>494</v>
      </c>
      <c r="E116" s="5" t="n">
        <v>4</v>
      </c>
      <c r="F116" s="20" t="n">
        <v>7.54571896726033</v>
      </c>
      <c r="G116" s="20" t="n">
        <f aca="false">9-F116</f>
        <v>1.45428103273967</v>
      </c>
      <c r="H116" s="20" t="n">
        <f aca="false">IF(G116&gt;=1,G116,0)</f>
        <v>1.45428103273967</v>
      </c>
      <c r="I116" s="5" t="s">
        <v>70</v>
      </c>
      <c r="J116" s="5" t="s">
        <v>501</v>
      </c>
    </row>
    <row r="117" customFormat="false" ht="15" hidden="false" customHeight="false" outlineLevel="0" collapsed="false">
      <c r="A117" s="5" t="s">
        <v>176</v>
      </c>
      <c r="B117" s="5" t="s">
        <v>171</v>
      </c>
      <c r="C117" s="5" t="n">
        <v>58</v>
      </c>
      <c r="D117" s="5" t="s">
        <v>494</v>
      </c>
      <c r="E117" s="5" t="n">
        <v>4</v>
      </c>
      <c r="F117" s="20" t="n">
        <v>7.54571896726033</v>
      </c>
      <c r="G117" s="20" t="n">
        <f aca="false">9-F117</f>
        <v>1.45428103273967</v>
      </c>
      <c r="H117" s="20" t="n">
        <f aca="false">IF(G117&gt;=1,G117,0)</f>
        <v>1.45428103273967</v>
      </c>
      <c r="I117" s="5" t="s">
        <v>70</v>
      </c>
      <c r="J117" s="5" t="s">
        <v>502</v>
      </c>
    </row>
    <row r="118" customFormat="false" ht="15" hidden="false" customHeight="false" outlineLevel="0" collapsed="false">
      <c r="A118" s="5" t="s">
        <v>176</v>
      </c>
      <c r="B118" s="5" t="s">
        <v>171</v>
      </c>
      <c r="C118" s="5" t="n">
        <v>59</v>
      </c>
      <c r="D118" s="5" t="s">
        <v>494</v>
      </c>
      <c r="E118" s="5" t="n">
        <v>4</v>
      </c>
      <c r="F118" s="20" t="n">
        <v>7.54571896726033</v>
      </c>
      <c r="G118" s="20" t="n">
        <f aca="false">9-F118</f>
        <v>1.45428103273967</v>
      </c>
      <c r="H118" s="20" t="n">
        <f aca="false">IF(G118&gt;=1,G118,0)</f>
        <v>1.45428103273967</v>
      </c>
      <c r="I118" s="5" t="s">
        <v>70</v>
      </c>
      <c r="J118" s="5" t="s">
        <v>503</v>
      </c>
    </row>
    <row r="119" customFormat="false" ht="15" hidden="false" customHeight="false" outlineLevel="0" collapsed="false">
      <c r="A119" s="5" t="s">
        <v>176</v>
      </c>
      <c r="B119" s="5" t="s">
        <v>171</v>
      </c>
      <c r="C119" s="5" t="n">
        <v>60</v>
      </c>
      <c r="D119" s="5" t="s">
        <v>494</v>
      </c>
      <c r="E119" s="5" t="n">
        <v>4</v>
      </c>
      <c r="F119" s="20" t="n">
        <v>7.54571896726033</v>
      </c>
      <c r="G119" s="20" t="n">
        <f aca="false">9-F119</f>
        <v>1.45428103273967</v>
      </c>
      <c r="H119" s="20" t="n">
        <f aca="false">IF(G119&gt;=1,G119,0)</f>
        <v>1.45428103273967</v>
      </c>
      <c r="I119" s="5" t="s">
        <v>70</v>
      </c>
      <c r="J119" s="5" t="s">
        <v>504</v>
      </c>
    </row>
    <row r="120" customFormat="false" ht="15" hidden="false" customHeight="false" outlineLevel="0" collapsed="false">
      <c r="A120" s="5" t="s">
        <v>176</v>
      </c>
      <c r="B120" s="5" t="s">
        <v>171</v>
      </c>
      <c r="C120" s="5" t="n">
        <v>61</v>
      </c>
      <c r="D120" s="5" t="s">
        <v>494</v>
      </c>
      <c r="E120" s="5" t="n">
        <v>4</v>
      </c>
      <c r="F120" s="20" t="n">
        <v>7.54571896726033</v>
      </c>
      <c r="G120" s="20" t="n">
        <f aca="false">9-F120</f>
        <v>1.45428103273967</v>
      </c>
      <c r="H120" s="20" t="n">
        <f aca="false">IF(G120&gt;=1,G120,0)</f>
        <v>1.45428103273967</v>
      </c>
      <c r="I120" s="5" t="s">
        <v>70</v>
      </c>
      <c r="J120" s="5" t="s">
        <v>504</v>
      </c>
    </row>
    <row r="121" customFormat="false" ht="15" hidden="false" customHeight="false" outlineLevel="0" collapsed="false">
      <c r="A121" s="5" t="s">
        <v>176</v>
      </c>
      <c r="B121" s="5" t="s">
        <v>172</v>
      </c>
      <c r="C121" s="5" t="n">
        <v>1</v>
      </c>
      <c r="D121" s="5" t="s">
        <v>505</v>
      </c>
      <c r="E121" s="5" t="n">
        <v>1</v>
      </c>
      <c r="F121" s="20" t="n">
        <v>9</v>
      </c>
      <c r="G121" s="20" t="n">
        <f aca="false">9-F121</f>
        <v>0</v>
      </c>
      <c r="H121" s="20" t="n">
        <f aca="false">IF(G121&gt;=1,G121,0)</f>
        <v>0</v>
      </c>
      <c r="I121" s="5" t="s">
        <v>406</v>
      </c>
      <c r="J121" s="5" t="s">
        <v>506</v>
      </c>
    </row>
    <row r="122" customFormat="false" ht="15" hidden="false" customHeight="false" outlineLevel="0" collapsed="false">
      <c r="A122" s="5" t="s">
        <v>176</v>
      </c>
      <c r="B122" s="5" t="s">
        <v>172</v>
      </c>
      <c r="C122" s="5" t="n">
        <v>2</v>
      </c>
      <c r="D122" s="5" t="s">
        <v>505</v>
      </c>
      <c r="E122" s="5" t="n">
        <v>1</v>
      </c>
      <c r="F122" s="20" t="n">
        <v>9</v>
      </c>
      <c r="G122" s="20" t="n">
        <f aca="false">9-F122</f>
        <v>0</v>
      </c>
      <c r="H122" s="20" t="n">
        <f aca="false">IF(G122&gt;=1,G122,0)</f>
        <v>0</v>
      </c>
      <c r="I122" s="5" t="s">
        <v>406</v>
      </c>
      <c r="J122" s="5" t="s">
        <v>507</v>
      </c>
    </row>
    <row r="123" customFormat="false" ht="15" hidden="false" customHeight="false" outlineLevel="0" collapsed="false">
      <c r="A123" s="5" t="s">
        <v>176</v>
      </c>
      <c r="B123" s="5" t="s">
        <v>172</v>
      </c>
      <c r="C123" s="5" t="n">
        <v>3</v>
      </c>
      <c r="D123" s="5" t="s">
        <v>505</v>
      </c>
      <c r="E123" s="5" t="n">
        <v>1</v>
      </c>
      <c r="F123" s="20" t="n">
        <v>9</v>
      </c>
      <c r="G123" s="20" t="n">
        <f aca="false">9-F123</f>
        <v>0</v>
      </c>
      <c r="H123" s="20" t="n">
        <f aca="false">IF(G123&gt;=1,G123,0)</f>
        <v>0</v>
      </c>
      <c r="I123" s="5" t="s">
        <v>406</v>
      </c>
      <c r="J123" s="5" t="s">
        <v>508</v>
      </c>
    </row>
    <row r="124" customFormat="false" ht="15" hidden="false" customHeight="false" outlineLevel="0" collapsed="false">
      <c r="A124" s="5" t="s">
        <v>176</v>
      </c>
      <c r="B124" s="5" t="s">
        <v>172</v>
      </c>
      <c r="C124" s="5" t="n">
        <v>4</v>
      </c>
      <c r="D124" s="5" t="s">
        <v>505</v>
      </c>
      <c r="E124" s="5" t="n">
        <v>1</v>
      </c>
      <c r="F124" s="20" t="n">
        <v>9</v>
      </c>
      <c r="G124" s="20" t="n">
        <f aca="false">9-F124</f>
        <v>0</v>
      </c>
      <c r="H124" s="20" t="n">
        <f aca="false">IF(G124&gt;=1,G124,0)</f>
        <v>0</v>
      </c>
      <c r="I124" s="5" t="s">
        <v>406</v>
      </c>
      <c r="J124" s="5" t="s">
        <v>509</v>
      </c>
    </row>
    <row r="125" customFormat="false" ht="15" hidden="false" customHeight="false" outlineLevel="0" collapsed="false">
      <c r="A125" s="5" t="s">
        <v>176</v>
      </c>
      <c r="B125" s="5" t="s">
        <v>172</v>
      </c>
      <c r="C125" s="5" t="n">
        <v>5</v>
      </c>
      <c r="D125" s="5" t="s">
        <v>505</v>
      </c>
      <c r="E125" s="5" t="n">
        <v>1</v>
      </c>
      <c r="F125" s="20" t="n">
        <v>9</v>
      </c>
      <c r="G125" s="20" t="n">
        <f aca="false">9-F125</f>
        <v>0</v>
      </c>
      <c r="H125" s="20" t="n">
        <f aca="false">IF(G125&gt;=1,G125,0)</f>
        <v>0</v>
      </c>
      <c r="I125" s="5" t="s">
        <v>406</v>
      </c>
      <c r="J125" s="5" t="s">
        <v>510</v>
      </c>
    </row>
    <row r="126" customFormat="false" ht="15" hidden="false" customHeight="false" outlineLevel="0" collapsed="false">
      <c r="A126" s="5" t="s">
        <v>176</v>
      </c>
      <c r="B126" s="5" t="s">
        <v>172</v>
      </c>
      <c r="C126" s="5" t="n">
        <v>6</v>
      </c>
      <c r="D126" s="5" t="s">
        <v>505</v>
      </c>
      <c r="E126" s="5" t="n">
        <v>1</v>
      </c>
      <c r="F126" s="20" t="n">
        <v>9</v>
      </c>
      <c r="G126" s="20" t="n">
        <f aca="false">9-F126</f>
        <v>0</v>
      </c>
      <c r="H126" s="20" t="n">
        <f aca="false">IF(G126&gt;=1,G126,0)</f>
        <v>0</v>
      </c>
      <c r="I126" s="5" t="s">
        <v>406</v>
      </c>
      <c r="J126" s="5" t="s">
        <v>511</v>
      </c>
    </row>
    <row r="127" customFormat="false" ht="15" hidden="false" customHeight="false" outlineLevel="0" collapsed="false">
      <c r="A127" s="5" t="s">
        <v>176</v>
      </c>
      <c r="B127" s="5" t="s">
        <v>172</v>
      </c>
      <c r="C127" s="5" t="n">
        <v>7</v>
      </c>
      <c r="D127" s="5" t="s">
        <v>512</v>
      </c>
      <c r="E127" s="5" t="n">
        <v>1</v>
      </c>
      <c r="F127" s="20" t="n">
        <v>8.72454196056548</v>
      </c>
      <c r="G127" s="20" t="n">
        <f aca="false">9-F127</f>
        <v>0.275458039434522</v>
      </c>
      <c r="H127" s="20" t="n">
        <f aca="false">IF(G127&gt;=1,G127,0)</f>
        <v>0</v>
      </c>
      <c r="I127" s="5" t="s">
        <v>406</v>
      </c>
      <c r="J127" s="5" t="s">
        <v>513</v>
      </c>
    </row>
    <row r="128" customFormat="false" ht="15" hidden="false" customHeight="false" outlineLevel="0" collapsed="false">
      <c r="A128" s="5" t="s">
        <v>176</v>
      </c>
      <c r="B128" s="5" t="s">
        <v>172</v>
      </c>
      <c r="C128" s="5" t="n">
        <v>8</v>
      </c>
      <c r="D128" s="5" t="s">
        <v>512</v>
      </c>
      <c r="E128" s="5" t="n">
        <v>1</v>
      </c>
      <c r="F128" s="20" t="n">
        <v>8.72454196056548</v>
      </c>
      <c r="G128" s="20" t="n">
        <f aca="false">9-F128</f>
        <v>0.275458039434524</v>
      </c>
      <c r="H128" s="20" t="n">
        <f aca="false">IF(G128&gt;=1,G128,0)</f>
        <v>0</v>
      </c>
      <c r="I128" s="5" t="s">
        <v>406</v>
      </c>
      <c r="J128" s="5" t="s">
        <v>514</v>
      </c>
    </row>
    <row r="129" customFormat="false" ht="15" hidden="false" customHeight="false" outlineLevel="0" collapsed="false">
      <c r="A129" s="5" t="s">
        <v>176</v>
      </c>
      <c r="B129" s="5" t="s">
        <v>172</v>
      </c>
      <c r="C129" s="5" t="n">
        <v>9</v>
      </c>
      <c r="D129" s="5" t="s">
        <v>512</v>
      </c>
      <c r="E129" s="5" t="n">
        <v>1</v>
      </c>
      <c r="F129" s="20" t="n">
        <v>8.72454196056548</v>
      </c>
      <c r="G129" s="20" t="n">
        <f aca="false">9-F129</f>
        <v>0.275458039434524</v>
      </c>
      <c r="H129" s="20" t="n">
        <f aca="false">IF(G129&gt;=1,G129,0)</f>
        <v>0</v>
      </c>
      <c r="I129" s="5" t="s">
        <v>406</v>
      </c>
      <c r="J129" s="5" t="s">
        <v>515</v>
      </c>
    </row>
    <row r="130" customFormat="false" ht="15" hidden="false" customHeight="false" outlineLevel="0" collapsed="false">
      <c r="A130" s="5" t="s">
        <v>176</v>
      </c>
      <c r="B130" s="5" t="s">
        <v>172</v>
      </c>
      <c r="C130" s="5" t="n">
        <v>10</v>
      </c>
      <c r="D130" s="5" t="s">
        <v>512</v>
      </c>
      <c r="E130" s="5" t="n">
        <v>1</v>
      </c>
      <c r="F130" s="20" t="n">
        <v>8.72454196056547</v>
      </c>
      <c r="G130" s="20" t="n">
        <f aca="false">9-F130</f>
        <v>0.275458039434527</v>
      </c>
      <c r="H130" s="20" t="n">
        <f aca="false">IF(G130&gt;=1,G130,0)</f>
        <v>0</v>
      </c>
      <c r="I130" s="5" t="s">
        <v>406</v>
      </c>
      <c r="J130" s="5" t="s">
        <v>516</v>
      </c>
    </row>
    <row r="131" customFormat="false" ht="15" hidden="false" customHeight="false" outlineLevel="0" collapsed="false">
      <c r="A131" s="5" t="s">
        <v>176</v>
      </c>
      <c r="B131" s="5" t="s">
        <v>172</v>
      </c>
      <c r="C131" s="5" t="n">
        <v>11</v>
      </c>
      <c r="D131" s="5" t="s">
        <v>512</v>
      </c>
      <c r="E131" s="5" t="n">
        <v>1</v>
      </c>
      <c r="F131" s="20" t="n">
        <v>8.72454196056547</v>
      </c>
      <c r="G131" s="20" t="n">
        <f aca="false">9-F131</f>
        <v>0.275458039434531</v>
      </c>
      <c r="H131" s="20" t="n">
        <f aca="false">IF(G131&gt;=1,G131,0)</f>
        <v>0</v>
      </c>
      <c r="I131" s="5" t="s">
        <v>406</v>
      </c>
      <c r="J131" s="5" t="s">
        <v>517</v>
      </c>
    </row>
    <row r="132" customFormat="false" ht="15" hidden="false" customHeight="false" outlineLevel="0" collapsed="false">
      <c r="A132" s="5" t="s">
        <v>176</v>
      </c>
      <c r="B132" s="5" t="s">
        <v>172</v>
      </c>
      <c r="C132" s="5" t="n">
        <v>12</v>
      </c>
      <c r="D132" s="5" t="s">
        <v>512</v>
      </c>
      <c r="E132" s="5" t="n">
        <v>1</v>
      </c>
      <c r="F132" s="20" t="n">
        <v>8.72454196056547</v>
      </c>
      <c r="G132" s="20" t="n">
        <f aca="false">9-F132</f>
        <v>0.275458039434531</v>
      </c>
      <c r="H132" s="20" t="n">
        <f aca="false">IF(G132&gt;=1,G132,0)</f>
        <v>0</v>
      </c>
      <c r="I132" s="5" t="s">
        <v>406</v>
      </c>
      <c r="J132" s="5" t="s">
        <v>518</v>
      </c>
    </row>
    <row r="133" customFormat="false" ht="15" hidden="false" customHeight="false" outlineLevel="0" collapsed="false">
      <c r="A133" s="5" t="s">
        <v>176</v>
      </c>
      <c r="B133" s="5" t="s">
        <v>172</v>
      </c>
      <c r="C133" s="5" t="n">
        <v>13</v>
      </c>
      <c r="D133" s="5" t="s">
        <v>519</v>
      </c>
      <c r="E133" s="5" t="n">
        <v>1</v>
      </c>
      <c r="F133" s="20" t="n">
        <v>8.57454196056538</v>
      </c>
      <c r="G133" s="20" t="n">
        <f aca="false">9-F133</f>
        <v>0.425458039434625</v>
      </c>
      <c r="H133" s="20" t="n">
        <f aca="false">IF(G133&gt;=1,G133,0)</f>
        <v>0</v>
      </c>
      <c r="I133" s="5" t="s">
        <v>406</v>
      </c>
      <c r="J133" s="5" t="s">
        <v>520</v>
      </c>
    </row>
    <row r="134" customFormat="false" ht="15" hidden="false" customHeight="false" outlineLevel="0" collapsed="false">
      <c r="A134" s="5" t="s">
        <v>176</v>
      </c>
      <c r="B134" s="5" t="s">
        <v>172</v>
      </c>
      <c r="C134" s="5" t="n">
        <v>14</v>
      </c>
      <c r="D134" s="5" t="s">
        <v>519</v>
      </c>
      <c r="E134" s="5" t="n">
        <v>1</v>
      </c>
      <c r="F134" s="20" t="n">
        <v>8.57454196056538</v>
      </c>
      <c r="G134" s="20" t="n">
        <f aca="false">9-F134</f>
        <v>0.425458039434625</v>
      </c>
      <c r="H134" s="20" t="n">
        <f aca="false">IF(G134&gt;=1,G134,0)</f>
        <v>0</v>
      </c>
      <c r="I134" s="5" t="s">
        <v>406</v>
      </c>
      <c r="J134" s="5" t="s">
        <v>521</v>
      </c>
    </row>
    <row r="135" customFormat="false" ht="15" hidden="false" customHeight="false" outlineLevel="0" collapsed="false">
      <c r="A135" s="5" t="s">
        <v>176</v>
      </c>
      <c r="B135" s="5" t="s">
        <v>172</v>
      </c>
      <c r="C135" s="5" t="n">
        <v>15</v>
      </c>
      <c r="D135" s="5" t="s">
        <v>519</v>
      </c>
      <c r="E135" s="5" t="n">
        <v>1</v>
      </c>
      <c r="F135" s="20" t="n">
        <v>8.57454196056538</v>
      </c>
      <c r="G135" s="20" t="n">
        <f aca="false">9-F135</f>
        <v>0.425458039434625</v>
      </c>
      <c r="H135" s="20" t="n">
        <f aca="false">IF(G135&gt;=1,G135,0)</f>
        <v>0</v>
      </c>
      <c r="I135" s="5" t="s">
        <v>406</v>
      </c>
      <c r="J135" s="5" t="s">
        <v>522</v>
      </c>
    </row>
    <row r="136" customFormat="false" ht="15" hidden="false" customHeight="false" outlineLevel="0" collapsed="false">
      <c r="A136" s="5" t="s">
        <v>176</v>
      </c>
      <c r="B136" s="5" t="s">
        <v>172</v>
      </c>
      <c r="C136" s="5" t="n">
        <v>16</v>
      </c>
      <c r="D136" s="5" t="s">
        <v>523</v>
      </c>
      <c r="E136" s="5" t="n">
        <v>1</v>
      </c>
      <c r="F136" s="20" t="n">
        <v>8.1785656901781</v>
      </c>
      <c r="G136" s="20" t="n">
        <f aca="false">9-F136</f>
        <v>0.8214343098219</v>
      </c>
      <c r="H136" s="20" t="n">
        <f aca="false">IF(G136&gt;=1,G136,0)</f>
        <v>0</v>
      </c>
      <c r="I136" s="5" t="s">
        <v>406</v>
      </c>
      <c r="J136" s="5" t="s">
        <v>524</v>
      </c>
    </row>
    <row r="137" customFormat="false" ht="15" hidden="false" customHeight="false" outlineLevel="0" collapsed="false">
      <c r="A137" s="5" t="s">
        <v>176</v>
      </c>
      <c r="B137" s="5" t="s">
        <v>172</v>
      </c>
      <c r="C137" s="5" t="n">
        <v>17</v>
      </c>
      <c r="D137" s="5" t="s">
        <v>523</v>
      </c>
      <c r="E137" s="5" t="n">
        <v>1</v>
      </c>
      <c r="F137" s="20" t="n">
        <v>8.1785656901781</v>
      </c>
      <c r="G137" s="20" t="n">
        <f aca="false">9-F137</f>
        <v>0.821434309821902</v>
      </c>
      <c r="H137" s="20" t="n">
        <f aca="false">IF(G137&gt;=1,G137,0)</f>
        <v>0</v>
      </c>
      <c r="I137" s="5" t="s">
        <v>406</v>
      </c>
      <c r="J137" s="5" t="s">
        <v>525</v>
      </c>
    </row>
    <row r="138" customFormat="false" ht="15" hidden="false" customHeight="false" outlineLevel="0" collapsed="false">
      <c r="A138" s="5" t="s">
        <v>176</v>
      </c>
      <c r="B138" s="5" t="s">
        <v>172</v>
      </c>
      <c r="C138" s="5" t="n">
        <v>18</v>
      </c>
      <c r="D138" s="5" t="s">
        <v>523</v>
      </c>
      <c r="E138" s="5" t="n">
        <v>1</v>
      </c>
      <c r="F138" s="20" t="n">
        <v>8.1785656901781</v>
      </c>
      <c r="G138" s="20" t="n">
        <f aca="false">9-F138</f>
        <v>0.821434309821903</v>
      </c>
      <c r="H138" s="20" t="n">
        <f aca="false">IF(G138&gt;=1,G138,0)</f>
        <v>0</v>
      </c>
      <c r="I138" s="5" t="s">
        <v>406</v>
      </c>
      <c r="J138" s="5" t="s">
        <v>526</v>
      </c>
    </row>
    <row r="139" customFormat="false" ht="15" hidden="false" customHeight="false" outlineLevel="0" collapsed="false">
      <c r="A139" s="5" t="s">
        <v>176</v>
      </c>
      <c r="B139" s="5" t="s">
        <v>172</v>
      </c>
      <c r="C139" s="5" t="n">
        <v>19</v>
      </c>
      <c r="D139" s="5" t="s">
        <v>527</v>
      </c>
      <c r="E139" s="5" t="n">
        <v>1</v>
      </c>
      <c r="F139" s="20" t="n">
        <v>8.1545656901781</v>
      </c>
      <c r="G139" s="20" t="n">
        <f aca="false">9-F139</f>
        <v>0.845434309821897</v>
      </c>
      <c r="H139" s="20" t="n">
        <f aca="false">IF(G139&gt;=1,G139,0)</f>
        <v>0</v>
      </c>
      <c r="I139" s="5" t="s">
        <v>406</v>
      </c>
      <c r="J139" s="5" t="s">
        <v>528</v>
      </c>
    </row>
    <row r="140" customFormat="false" ht="15" hidden="false" customHeight="false" outlineLevel="0" collapsed="false">
      <c r="A140" s="5" t="s">
        <v>176</v>
      </c>
      <c r="B140" s="5" t="s">
        <v>172</v>
      </c>
      <c r="C140" s="5" t="n">
        <v>20</v>
      </c>
      <c r="D140" s="5" t="s">
        <v>529</v>
      </c>
      <c r="E140" s="5" t="n">
        <v>1</v>
      </c>
      <c r="F140" s="20" t="n">
        <v>8.1385656901781</v>
      </c>
      <c r="G140" s="20" t="n">
        <f aca="false">9-F140</f>
        <v>0.861434309821899</v>
      </c>
      <c r="H140" s="20" t="n">
        <f aca="false">IF(G140&gt;=1,G140,0)</f>
        <v>0</v>
      </c>
      <c r="I140" s="5" t="s">
        <v>406</v>
      </c>
      <c r="J140" s="5" t="s">
        <v>530</v>
      </c>
    </row>
    <row r="141" customFormat="false" ht="15" hidden="false" customHeight="false" outlineLevel="0" collapsed="false">
      <c r="A141" s="5" t="s">
        <v>176</v>
      </c>
      <c r="B141" s="5" t="s">
        <v>172</v>
      </c>
      <c r="C141" s="5" t="n">
        <v>21</v>
      </c>
      <c r="D141" s="5" t="s">
        <v>529</v>
      </c>
      <c r="E141" s="5" t="n">
        <v>1</v>
      </c>
      <c r="F141" s="20" t="n">
        <v>8.1385656901781</v>
      </c>
      <c r="G141" s="20" t="n">
        <f aca="false">9-F141</f>
        <v>0.861434309821899</v>
      </c>
      <c r="H141" s="20" t="n">
        <f aca="false">IF(G141&gt;=1,G141,0)</f>
        <v>0</v>
      </c>
      <c r="I141" s="5" t="s">
        <v>406</v>
      </c>
      <c r="J141" s="5" t="s">
        <v>531</v>
      </c>
    </row>
    <row r="142" customFormat="false" ht="15" hidden="false" customHeight="false" outlineLevel="0" collapsed="false">
      <c r="A142" s="5" t="s">
        <v>176</v>
      </c>
      <c r="B142" s="5" t="s">
        <v>172</v>
      </c>
      <c r="C142" s="5" t="n">
        <v>22</v>
      </c>
      <c r="D142" s="5" t="s">
        <v>529</v>
      </c>
      <c r="E142" s="5" t="n">
        <v>1</v>
      </c>
      <c r="F142" s="20" t="n">
        <v>8.1385656901781</v>
      </c>
      <c r="G142" s="20" t="n">
        <f aca="false">9-F142</f>
        <v>0.861434309821899</v>
      </c>
      <c r="H142" s="20" t="n">
        <f aca="false">IF(G142&gt;=1,G142,0)</f>
        <v>0</v>
      </c>
      <c r="I142" s="5" t="s">
        <v>406</v>
      </c>
      <c r="J142" s="5" t="s">
        <v>532</v>
      </c>
    </row>
    <row r="143" customFormat="false" ht="15" hidden="false" customHeight="false" outlineLevel="0" collapsed="false">
      <c r="A143" s="5" t="s">
        <v>176</v>
      </c>
      <c r="B143" s="5" t="s">
        <v>172</v>
      </c>
      <c r="C143" s="5" t="n">
        <v>23</v>
      </c>
      <c r="D143" s="5" t="s">
        <v>529</v>
      </c>
      <c r="E143" s="5" t="n">
        <v>1</v>
      </c>
      <c r="F143" s="20" t="n">
        <v>8.1385656901781</v>
      </c>
      <c r="G143" s="20" t="n">
        <f aca="false">9-F143</f>
        <v>0.861434309821899</v>
      </c>
      <c r="H143" s="20" t="n">
        <f aca="false">IF(G143&gt;=1,G143,0)</f>
        <v>0</v>
      </c>
      <c r="I143" s="5" t="s">
        <v>406</v>
      </c>
      <c r="J143" s="5" t="s">
        <v>533</v>
      </c>
    </row>
    <row r="144" customFormat="false" ht="15" hidden="false" customHeight="false" outlineLevel="0" collapsed="false">
      <c r="A144" s="5" t="s">
        <v>176</v>
      </c>
      <c r="B144" s="5" t="s">
        <v>172</v>
      </c>
      <c r="C144" s="5" t="n">
        <v>24</v>
      </c>
      <c r="D144" s="5" t="s">
        <v>529</v>
      </c>
      <c r="E144" s="5" t="n">
        <v>1</v>
      </c>
      <c r="F144" s="20" t="n">
        <v>8.1385656901781</v>
      </c>
      <c r="G144" s="20" t="n">
        <f aca="false">9-F144</f>
        <v>0.861434309821899</v>
      </c>
      <c r="H144" s="20" t="n">
        <f aca="false">IF(G144&gt;=1,G144,0)</f>
        <v>0</v>
      </c>
      <c r="I144" s="5" t="s">
        <v>406</v>
      </c>
      <c r="J144" s="5" t="s">
        <v>534</v>
      </c>
    </row>
    <row r="145" customFormat="false" ht="15" hidden="false" customHeight="false" outlineLevel="0" collapsed="false">
      <c r="A145" s="5" t="s">
        <v>176</v>
      </c>
      <c r="B145" s="5" t="s">
        <v>172</v>
      </c>
      <c r="C145" s="5" t="n">
        <v>25</v>
      </c>
      <c r="D145" s="5" t="s">
        <v>529</v>
      </c>
      <c r="E145" s="5" t="n">
        <v>1</v>
      </c>
      <c r="F145" s="20" t="n">
        <v>8.1385656901781</v>
      </c>
      <c r="G145" s="20" t="n">
        <f aca="false">9-F145</f>
        <v>0.861434309821901</v>
      </c>
      <c r="H145" s="20" t="n">
        <f aca="false">IF(G145&gt;=1,G145,0)</f>
        <v>0</v>
      </c>
      <c r="I145" s="5" t="s">
        <v>406</v>
      </c>
      <c r="J145" s="5" t="s">
        <v>535</v>
      </c>
    </row>
    <row r="146" customFormat="false" ht="15" hidden="false" customHeight="false" outlineLevel="0" collapsed="false">
      <c r="A146" s="5" t="s">
        <v>176</v>
      </c>
      <c r="B146" s="5" t="s">
        <v>172</v>
      </c>
      <c r="C146" s="5" t="n">
        <v>26</v>
      </c>
      <c r="D146" s="5" t="s">
        <v>536</v>
      </c>
      <c r="E146" s="5" t="n">
        <v>1</v>
      </c>
      <c r="F146" s="20" t="n">
        <v>8.1305656901781</v>
      </c>
      <c r="G146" s="20" t="n">
        <f aca="false">9-F146</f>
        <v>0.869434309821903</v>
      </c>
      <c r="H146" s="20" t="n">
        <f aca="false">IF(G146&gt;=1,G146,0)</f>
        <v>0</v>
      </c>
      <c r="I146" s="5" t="s">
        <v>406</v>
      </c>
      <c r="J146" s="5" t="s">
        <v>537</v>
      </c>
    </row>
    <row r="147" customFormat="false" ht="15" hidden="false" customHeight="false" outlineLevel="0" collapsed="false">
      <c r="A147" s="5" t="s">
        <v>176</v>
      </c>
      <c r="B147" s="5" t="s">
        <v>172</v>
      </c>
      <c r="C147" s="5" t="n">
        <v>27</v>
      </c>
      <c r="D147" s="5" t="s">
        <v>538</v>
      </c>
      <c r="E147" s="5" t="n">
        <v>1</v>
      </c>
      <c r="F147" s="20" t="n">
        <v>8.1225656901781</v>
      </c>
      <c r="G147" s="20" t="n">
        <f aca="false">9-F147</f>
        <v>0.877434309821904</v>
      </c>
      <c r="H147" s="20" t="n">
        <f aca="false">IF(G147&gt;=1,G147,0)</f>
        <v>0</v>
      </c>
      <c r="I147" s="5" t="s">
        <v>406</v>
      </c>
      <c r="J147" s="5" t="s">
        <v>539</v>
      </c>
    </row>
    <row r="148" customFormat="false" ht="15" hidden="false" customHeight="false" outlineLevel="0" collapsed="false">
      <c r="A148" s="5" t="s">
        <v>176</v>
      </c>
      <c r="B148" s="5" t="s">
        <v>172</v>
      </c>
      <c r="C148" s="5" t="n">
        <v>28</v>
      </c>
      <c r="D148" s="5" t="s">
        <v>540</v>
      </c>
      <c r="E148" s="5" t="n">
        <v>1</v>
      </c>
      <c r="F148" s="20" t="n">
        <v>8.1145656901781</v>
      </c>
      <c r="G148" s="20" t="n">
        <f aca="false">9-F148</f>
        <v>0.885434309821898</v>
      </c>
      <c r="H148" s="20" t="n">
        <f aca="false">IF(G148&gt;=1,G148,0)</f>
        <v>0</v>
      </c>
      <c r="I148" s="5" t="s">
        <v>406</v>
      </c>
      <c r="J148" s="5" t="s">
        <v>541</v>
      </c>
    </row>
    <row r="149" customFormat="false" ht="15" hidden="false" customHeight="false" outlineLevel="0" collapsed="false">
      <c r="A149" s="5" t="s">
        <v>176</v>
      </c>
      <c r="B149" s="5" t="s">
        <v>172</v>
      </c>
      <c r="C149" s="5" t="n">
        <v>29</v>
      </c>
      <c r="D149" s="5" t="s">
        <v>542</v>
      </c>
      <c r="E149" s="5" t="n">
        <v>1</v>
      </c>
      <c r="F149" s="20" t="n">
        <v>8.0905656901781</v>
      </c>
      <c r="G149" s="20" t="n">
        <f aca="false">9-F149</f>
        <v>0.909434309821899</v>
      </c>
      <c r="H149" s="20" t="n">
        <f aca="false">IF(G149&gt;=1,G149,0)</f>
        <v>0</v>
      </c>
      <c r="I149" s="5" t="s">
        <v>406</v>
      </c>
      <c r="J149" s="5" t="s">
        <v>543</v>
      </c>
    </row>
    <row r="150" customFormat="false" ht="15" hidden="false" customHeight="false" outlineLevel="0" collapsed="false">
      <c r="A150" s="5" t="s">
        <v>176</v>
      </c>
      <c r="B150" s="5" t="s">
        <v>172</v>
      </c>
      <c r="C150" s="5" t="n">
        <v>30</v>
      </c>
      <c r="D150" s="5" t="s">
        <v>544</v>
      </c>
      <c r="E150" s="5" t="n">
        <v>1</v>
      </c>
      <c r="F150" s="20" t="n">
        <v>8.0185656901781</v>
      </c>
      <c r="G150" s="20" t="n">
        <f aca="false">9-F150</f>
        <v>0.981434309821898</v>
      </c>
      <c r="H150" s="20" t="n">
        <f aca="false">IF(G150&gt;=1,G150,0)</f>
        <v>0</v>
      </c>
      <c r="I150" s="5" t="s">
        <v>406</v>
      </c>
      <c r="J150" s="5" t="s">
        <v>545</v>
      </c>
    </row>
    <row r="151" customFormat="false" ht="15" hidden="false" customHeight="false" outlineLevel="0" collapsed="false">
      <c r="A151" s="5" t="s">
        <v>176</v>
      </c>
      <c r="B151" s="5" t="s">
        <v>172</v>
      </c>
      <c r="C151" s="5" t="n">
        <v>31</v>
      </c>
      <c r="D151" s="5" t="s">
        <v>544</v>
      </c>
      <c r="E151" s="5" t="n">
        <v>1</v>
      </c>
      <c r="F151" s="20" t="n">
        <v>8.0185656901781</v>
      </c>
      <c r="G151" s="20" t="n">
        <f aca="false">9-F151</f>
        <v>0.9814343098219</v>
      </c>
      <c r="H151" s="20" t="n">
        <f aca="false">IF(G151&gt;=1,G151,0)</f>
        <v>0</v>
      </c>
      <c r="I151" s="5" t="s">
        <v>406</v>
      </c>
      <c r="J151" s="5" t="s">
        <v>546</v>
      </c>
    </row>
    <row r="152" customFormat="false" ht="15" hidden="false" customHeight="false" outlineLevel="0" collapsed="false">
      <c r="A152" s="5" t="s">
        <v>176</v>
      </c>
      <c r="B152" s="5" t="s">
        <v>172</v>
      </c>
      <c r="C152" s="5" t="n">
        <v>32</v>
      </c>
      <c r="D152" s="5" t="s">
        <v>547</v>
      </c>
      <c r="E152" s="5" t="n">
        <v>2</v>
      </c>
      <c r="F152" s="20" t="n">
        <v>8.80662480565445</v>
      </c>
      <c r="G152" s="20" t="n">
        <f aca="false">9-F152</f>
        <v>0.193375194345553</v>
      </c>
      <c r="H152" s="20" t="n">
        <f aca="false">IF(G152&gt;=1,G152,0)</f>
        <v>0</v>
      </c>
      <c r="I152" s="5" t="s">
        <v>406</v>
      </c>
      <c r="J152" s="5" t="s">
        <v>548</v>
      </c>
    </row>
    <row r="153" customFormat="false" ht="15" hidden="false" customHeight="false" outlineLevel="0" collapsed="false">
      <c r="A153" s="5" t="s">
        <v>176</v>
      </c>
      <c r="B153" s="5" t="s">
        <v>172</v>
      </c>
      <c r="C153" s="5" t="n">
        <v>33</v>
      </c>
      <c r="D153" s="5" t="s">
        <v>549</v>
      </c>
      <c r="E153" s="5" t="n">
        <v>2</v>
      </c>
      <c r="F153" s="20" t="n">
        <v>8.79957480565443</v>
      </c>
      <c r="G153" s="20" t="n">
        <f aca="false">9-F153</f>
        <v>0.200425194345566</v>
      </c>
      <c r="H153" s="20" t="n">
        <f aca="false">IF(G153&gt;=1,G153,0)</f>
        <v>0</v>
      </c>
      <c r="I153" s="5" t="s">
        <v>406</v>
      </c>
      <c r="J153" s="5" t="s">
        <v>550</v>
      </c>
    </row>
    <row r="154" customFormat="false" ht="15" hidden="false" customHeight="false" outlineLevel="0" collapsed="false">
      <c r="A154" s="5" t="s">
        <v>176</v>
      </c>
      <c r="B154" s="5" t="s">
        <v>172</v>
      </c>
      <c r="C154" s="5" t="n">
        <v>34</v>
      </c>
      <c r="D154" s="5" t="s">
        <v>551</v>
      </c>
      <c r="E154" s="5" t="n">
        <v>2</v>
      </c>
      <c r="F154" s="20" t="n">
        <v>8.73667480565453</v>
      </c>
      <c r="G154" s="20" t="n">
        <f aca="false">9-F154</f>
        <v>0.263325194345471</v>
      </c>
      <c r="H154" s="20" t="n">
        <f aca="false">IF(G154&gt;=1,G154,0)</f>
        <v>0</v>
      </c>
      <c r="I154" s="5" t="s">
        <v>406</v>
      </c>
      <c r="J154" s="5" t="s">
        <v>552</v>
      </c>
    </row>
    <row r="155" customFormat="false" ht="15" hidden="false" customHeight="false" outlineLevel="0" collapsed="false">
      <c r="A155" s="5" t="s">
        <v>176</v>
      </c>
      <c r="B155" s="5" t="s">
        <v>172</v>
      </c>
      <c r="C155" s="5" t="n">
        <v>35</v>
      </c>
      <c r="D155" s="5" t="s">
        <v>551</v>
      </c>
      <c r="E155" s="5" t="n">
        <v>2</v>
      </c>
      <c r="F155" s="20" t="n">
        <v>8.73667480565452</v>
      </c>
      <c r="G155" s="20" t="n">
        <f aca="false">9-F155</f>
        <v>0.26332519434548</v>
      </c>
      <c r="H155" s="20" t="n">
        <f aca="false">IF(G155&gt;=1,G155,0)</f>
        <v>0</v>
      </c>
      <c r="I155" s="5" t="s">
        <v>406</v>
      </c>
      <c r="J155" s="5" t="s">
        <v>553</v>
      </c>
    </row>
    <row r="156" customFormat="false" ht="15" hidden="false" customHeight="false" outlineLevel="0" collapsed="false">
      <c r="A156" s="5" t="s">
        <v>176</v>
      </c>
      <c r="B156" s="5" t="s">
        <v>172</v>
      </c>
      <c r="C156" s="5" t="n">
        <v>36</v>
      </c>
      <c r="D156" s="5" t="s">
        <v>554</v>
      </c>
      <c r="E156" s="5" t="n">
        <v>2</v>
      </c>
      <c r="F156" s="20" t="n">
        <v>8.71667480565453</v>
      </c>
      <c r="G156" s="20" t="n">
        <f aca="false">9-F156</f>
        <v>0.283325194345473</v>
      </c>
      <c r="H156" s="20" t="n">
        <f aca="false">IF(G156&gt;=1,G156,0)</f>
        <v>0</v>
      </c>
      <c r="I156" s="5" t="s">
        <v>406</v>
      </c>
      <c r="J156" s="5" t="s">
        <v>555</v>
      </c>
    </row>
    <row r="157" customFormat="false" ht="15" hidden="false" customHeight="false" outlineLevel="0" collapsed="false">
      <c r="A157" s="5" t="s">
        <v>176</v>
      </c>
      <c r="B157" s="5" t="s">
        <v>172</v>
      </c>
      <c r="C157" s="5" t="n">
        <v>37</v>
      </c>
      <c r="D157" s="5" t="s">
        <v>556</v>
      </c>
      <c r="E157" s="5" t="n">
        <v>1</v>
      </c>
      <c r="F157" s="20" t="n">
        <v>7.3457</v>
      </c>
      <c r="G157" s="20" t="n">
        <f aca="false">9-F157</f>
        <v>1.6543</v>
      </c>
      <c r="H157" s="20" t="n">
        <f aca="false">IF(G157&gt;=1,G157,0)</f>
        <v>1.6543</v>
      </c>
      <c r="I157" s="5" t="s">
        <v>406</v>
      </c>
      <c r="J157" s="5" t="s">
        <v>557</v>
      </c>
    </row>
    <row r="158" customFormat="false" ht="15" hidden="false" customHeight="false" outlineLevel="0" collapsed="false">
      <c r="A158" s="5" t="s">
        <v>176</v>
      </c>
      <c r="B158" s="5" t="s">
        <v>172</v>
      </c>
      <c r="C158" s="5" t="n">
        <v>38</v>
      </c>
      <c r="D158" s="5" t="s">
        <v>556</v>
      </c>
      <c r="E158" s="5" t="n">
        <v>1</v>
      </c>
      <c r="F158" s="20" t="n">
        <v>7.3457</v>
      </c>
      <c r="G158" s="20" t="n">
        <f aca="false">9-F158</f>
        <v>1.6543</v>
      </c>
      <c r="H158" s="20" t="n">
        <f aca="false">IF(G158&gt;=1,G158,0)</f>
        <v>1.6543</v>
      </c>
      <c r="I158" s="5" t="s">
        <v>406</v>
      </c>
      <c r="J158" s="5" t="s">
        <v>558</v>
      </c>
    </row>
    <row r="159" customFormat="false" ht="15" hidden="false" customHeight="false" outlineLevel="0" collapsed="false">
      <c r="A159" s="5" t="s">
        <v>176</v>
      </c>
      <c r="B159" s="5" t="s">
        <v>172</v>
      </c>
      <c r="C159" s="5" t="n">
        <v>39</v>
      </c>
      <c r="D159" s="5" t="s">
        <v>556</v>
      </c>
      <c r="E159" s="5" t="n">
        <v>1</v>
      </c>
      <c r="F159" s="20" t="n">
        <v>7.3457</v>
      </c>
      <c r="G159" s="20" t="n">
        <f aca="false">9-F159</f>
        <v>1.6543</v>
      </c>
      <c r="H159" s="20" t="n">
        <f aca="false">IF(G159&gt;=1,G159,0)</f>
        <v>1.6543</v>
      </c>
      <c r="I159" s="5" t="s">
        <v>406</v>
      </c>
      <c r="J159" s="5" t="s">
        <v>559</v>
      </c>
    </row>
    <row r="160" customFormat="false" ht="15" hidden="false" customHeight="false" outlineLevel="0" collapsed="false">
      <c r="A160" s="5" t="s">
        <v>176</v>
      </c>
      <c r="B160" s="5" t="s">
        <v>172</v>
      </c>
      <c r="C160" s="5" t="n">
        <v>40</v>
      </c>
      <c r="D160" s="5" t="s">
        <v>556</v>
      </c>
      <c r="E160" s="5" t="n">
        <v>1</v>
      </c>
      <c r="F160" s="20" t="n">
        <v>7.3457</v>
      </c>
      <c r="G160" s="20" t="n">
        <f aca="false">9-F160</f>
        <v>1.6543</v>
      </c>
      <c r="H160" s="20" t="n">
        <f aca="false">IF(G160&gt;=1,G160,0)</f>
        <v>1.6543</v>
      </c>
      <c r="I160" s="5" t="s">
        <v>406</v>
      </c>
      <c r="J160" s="5" t="s">
        <v>560</v>
      </c>
    </row>
    <row r="161" customFormat="false" ht="15" hidden="false" customHeight="false" outlineLevel="0" collapsed="false">
      <c r="A161" s="5" t="s">
        <v>176</v>
      </c>
      <c r="B161" s="5" t="s">
        <v>172</v>
      </c>
      <c r="C161" s="5" t="n">
        <v>41</v>
      </c>
      <c r="D161" s="5" t="s">
        <v>556</v>
      </c>
      <c r="E161" s="5" t="n">
        <v>1</v>
      </c>
      <c r="F161" s="20" t="n">
        <v>7.3457</v>
      </c>
      <c r="G161" s="20" t="n">
        <f aca="false">9-F161</f>
        <v>1.6543</v>
      </c>
      <c r="H161" s="20" t="n">
        <f aca="false">IF(G161&gt;=1,G161,0)</f>
        <v>1.6543</v>
      </c>
      <c r="I161" s="5" t="s">
        <v>406</v>
      </c>
      <c r="J161" s="5" t="s">
        <v>561</v>
      </c>
    </row>
    <row r="162" customFormat="false" ht="15" hidden="false" customHeight="false" outlineLevel="0" collapsed="false">
      <c r="A162" s="5" t="s">
        <v>176</v>
      </c>
      <c r="B162" s="5" t="s">
        <v>172</v>
      </c>
      <c r="C162" s="5" t="n">
        <v>42</v>
      </c>
      <c r="D162" s="5" t="s">
        <v>556</v>
      </c>
      <c r="E162" s="5" t="n">
        <v>1</v>
      </c>
      <c r="F162" s="20" t="n">
        <v>7.3457</v>
      </c>
      <c r="G162" s="20" t="n">
        <f aca="false">9-F162</f>
        <v>1.6543</v>
      </c>
      <c r="H162" s="20" t="n">
        <f aca="false">IF(G162&gt;=1,G162,0)</f>
        <v>1.6543</v>
      </c>
      <c r="I162" s="5" t="s">
        <v>406</v>
      </c>
      <c r="J162" s="5" t="s">
        <v>562</v>
      </c>
    </row>
    <row r="163" customFormat="false" ht="15" hidden="false" customHeight="false" outlineLevel="0" collapsed="false">
      <c r="A163" s="5" t="s">
        <v>176</v>
      </c>
      <c r="B163" s="5" t="s">
        <v>172</v>
      </c>
      <c r="C163" s="5" t="n">
        <v>43</v>
      </c>
      <c r="D163" s="5" t="s">
        <v>556</v>
      </c>
      <c r="E163" s="5" t="n">
        <v>1</v>
      </c>
      <c r="F163" s="20" t="n">
        <v>7.3457</v>
      </c>
      <c r="G163" s="20" t="n">
        <f aca="false">9-F163</f>
        <v>1.6543</v>
      </c>
      <c r="H163" s="20" t="n">
        <f aca="false">IF(G163&gt;=1,G163,0)</f>
        <v>1.6543</v>
      </c>
      <c r="I163" s="5" t="s">
        <v>406</v>
      </c>
      <c r="J163" s="5" t="s">
        <v>563</v>
      </c>
    </row>
    <row r="164" customFormat="false" ht="15" hidden="false" customHeight="false" outlineLevel="0" collapsed="false">
      <c r="A164" s="5" t="s">
        <v>176</v>
      </c>
      <c r="B164" s="5" t="s">
        <v>172</v>
      </c>
      <c r="C164" s="5" t="n">
        <v>44</v>
      </c>
      <c r="D164" s="5" t="s">
        <v>556</v>
      </c>
      <c r="E164" s="5" t="n">
        <v>1</v>
      </c>
      <c r="F164" s="20" t="n">
        <v>7.3457</v>
      </c>
      <c r="G164" s="20" t="n">
        <f aca="false">9-F164</f>
        <v>1.6543</v>
      </c>
      <c r="H164" s="20" t="n">
        <f aca="false">IF(G164&gt;=1,G164,0)</f>
        <v>1.6543</v>
      </c>
      <c r="I164" s="5" t="s">
        <v>406</v>
      </c>
      <c r="J164" s="5" t="s">
        <v>564</v>
      </c>
    </row>
    <row r="165" customFormat="false" ht="15" hidden="false" customHeight="false" outlineLevel="0" collapsed="false">
      <c r="A165" s="5" t="s">
        <v>176</v>
      </c>
      <c r="B165" s="5" t="s">
        <v>172</v>
      </c>
      <c r="C165" s="5" t="n">
        <v>45</v>
      </c>
      <c r="D165" s="5" t="s">
        <v>556</v>
      </c>
      <c r="E165" s="5" t="n">
        <v>1</v>
      </c>
      <c r="F165" s="20" t="n">
        <v>7.3457</v>
      </c>
      <c r="G165" s="20" t="n">
        <f aca="false">9-F165</f>
        <v>1.6543</v>
      </c>
      <c r="H165" s="20" t="n">
        <f aca="false">IF(G165&gt;=1,G165,0)</f>
        <v>1.6543</v>
      </c>
      <c r="I165" s="5" t="s">
        <v>406</v>
      </c>
      <c r="J165" s="5" t="s">
        <v>565</v>
      </c>
    </row>
    <row r="166" customFormat="false" ht="15" hidden="false" customHeight="false" outlineLevel="0" collapsed="false">
      <c r="A166" s="5" t="s">
        <v>176</v>
      </c>
      <c r="B166" s="5" t="s">
        <v>172</v>
      </c>
      <c r="C166" s="5" t="n">
        <v>46</v>
      </c>
      <c r="D166" s="5" t="s">
        <v>556</v>
      </c>
      <c r="E166" s="5" t="n">
        <v>1</v>
      </c>
      <c r="F166" s="20" t="n">
        <v>7.3457</v>
      </c>
      <c r="G166" s="20" t="n">
        <f aca="false">9-F166</f>
        <v>1.6543</v>
      </c>
      <c r="H166" s="20" t="n">
        <f aca="false">IF(G166&gt;=1,G166,0)</f>
        <v>1.6543</v>
      </c>
      <c r="I166" s="5" t="s">
        <v>406</v>
      </c>
      <c r="J166" s="5" t="s">
        <v>566</v>
      </c>
    </row>
    <row r="167" customFormat="false" ht="15" hidden="false" customHeight="false" outlineLevel="0" collapsed="false">
      <c r="A167" s="5" t="s">
        <v>176</v>
      </c>
      <c r="B167" s="5" t="s">
        <v>172</v>
      </c>
      <c r="C167" s="5" t="n">
        <v>47</v>
      </c>
      <c r="D167" s="5" t="s">
        <v>556</v>
      </c>
      <c r="E167" s="5" t="n">
        <v>1</v>
      </c>
      <c r="F167" s="20" t="n">
        <v>7.3457</v>
      </c>
      <c r="G167" s="20" t="n">
        <f aca="false">9-F167</f>
        <v>1.6543</v>
      </c>
      <c r="H167" s="20" t="n">
        <f aca="false">IF(G167&gt;=1,G167,0)</f>
        <v>1.6543</v>
      </c>
      <c r="I167" s="5" t="s">
        <v>406</v>
      </c>
      <c r="J167" s="5" t="s">
        <v>567</v>
      </c>
    </row>
    <row r="168" customFormat="false" ht="15" hidden="false" customHeight="false" outlineLevel="0" collapsed="false">
      <c r="A168" s="5" t="s">
        <v>176</v>
      </c>
      <c r="B168" s="5" t="s">
        <v>172</v>
      </c>
      <c r="C168" s="5" t="n">
        <v>48</v>
      </c>
      <c r="D168" s="5" t="s">
        <v>556</v>
      </c>
      <c r="E168" s="5" t="n">
        <v>1</v>
      </c>
      <c r="F168" s="20" t="n">
        <v>7.3457</v>
      </c>
      <c r="G168" s="20" t="n">
        <f aca="false">9-F168</f>
        <v>1.6543</v>
      </c>
      <c r="H168" s="20" t="n">
        <f aca="false">IF(G168&gt;=1,G168,0)</f>
        <v>1.6543</v>
      </c>
      <c r="I168" s="5" t="s">
        <v>406</v>
      </c>
      <c r="J168" s="5" t="s">
        <v>568</v>
      </c>
    </row>
    <row r="169" customFormat="false" ht="15" hidden="false" customHeight="false" outlineLevel="0" collapsed="false">
      <c r="A169" s="5" t="s">
        <v>176</v>
      </c>
      <c r="B169" s="5" t="s">
        <v>172</v>
      </c>
      <c r="C169" s="5" t="n">
        <v>49</v>
      </c>
      <c r="D169" s="5" t="s">
        <v>556</v>
      </c>
      <c r="E169" s="5" t="n">
        <v>1</v>
      </c>
      <c r="F169" s="20" t="n">
        <v>7.3457</v>
      </c>
      <c r="G169" s="20" t="n">
        <f aca="false">9-F169</f>
        <v>1.65430000000001</v>
      </c>
      <c r="H169" s="20" t="n">
        <f aca="false">IF(G169&gt;=1,G169,0)</f>
        <v>1.65430000000001</v>
      </c>
      <c r="I169" s="5" t="s">
        <v>406</v>
      </c>
      <c r="J169" s="5" t="s">
        <v>569</v>
      </c>
    </row>
    <row r="170" customFormat="false" ht="15" hidden="false" customHeight="false" outlineLevel="0" collapsed="false">
      <c r="A170" s="5" t="s">
        <v>176</v>
      </c>
      <c r="B170" s="5" t="s">
        <v>172</v>
      </c>
      <c r="C170" s="5" t="n">
        <v>50</v>
      </c>
      <c r="D170" s="5" t="s">
        <v>556</v>
      </c>
      <c r="E170" s="5" t="n">
        <v>1</v>
      </c>
      <c r="F170" s="20" t="n">
        <v>7.3457</v>
      </c>
      <c r="G170" s="20" t="n">
        <f aca="false">9-F170</f>
        <v>1.65430000000001</v>
      </c>
      <c r="H170" s="20" t="n">
        <f aca="false">IF(G170&gt;=1,G170,0)</f>
        <v>1.65430000000001</v>
      </c>
      <c r="I170" s="5" t="s">
        <v>406</v>
      </c>
      <c r="J170" s="5" t="s">
        <v>570</v>
      </c>
    </row>
    <row r="171" customFormat="false" ht="15" hidden="false" customHeight="false" outlineLevel="0" collapsed="false">
      <c r="A171" s="5" t="s">
        <v>176</v>
      </c>
      <c r="B171" s="5" t="s">
        <v>172</v>
      </c>
      <c r="C171" s="5" t="n">
        <v>51</v>
      </c>
      <c r="D171" s="5" t="s">
        <v>556</v>
      </c>
      <c r="E171" s="5" t="n">
        <v>1</v>
      </c>
      <c r="F171" s="20" t="n">
        <v>7.3457</v>
      </c>
      <c r="G171" s="20" t="n">
        <f aca="false">9-F171</f>
        <v>1.65430000000001</v>
      </c>
      <c r="H171" s="20" t="n">
        <f aca="false">IF(G171&gt;=1,G171,0)</f>
        <v>1.65430000000001</v>
      </c>
      <c r="I171" s="5" t="s">
        <v>406</v>
      </c>
      <c r="J171" s="5" t="s">
        <v>571</v>
      </c>
    </row>
    <row r="172" customFormat="false" ht="15" hidden="false" customHeight="false" outlineLevel="0" collapsed="false">
      <c r="A172" s="5" t="s">
        <v>176</v>
      </c>
      <c r="B172" s="5" t="s">
        <v>172</v>
      </c>
      <c r="C172" s="5" t="n">
        <v>52</v>
      </c>
      <c r="D172" s="5" t="s">
        <v>572</v>
      </c>
      <c r="E172" s="5" t="n">
        <v>2</v>
      </c>
      <c r="F172" s="20" t="n">
        <v>8.70525765074365</v>
      </c>
      <c r="G172" s="20" t="n">
        <f aca="false">9-F172</f>
        <v>0.294742349256351</v>
      </c>
      <c r="H172" s="20" t="n">
        <f aca="false">IF(G172&gt;=1,G172,0)</f>
        <v>0</v>
      </c>
      <c r="I172" s="5" t="s">
        <v>406</v>
      </c>
      <c r="J172" s="5" t="s">
        <v>573</v>
      </c>
    </row>
    <row r="173" customFormat="false" ht="15" hidden="false" customHeight="false" outlineLevel="0" collapsed="false">
      <c r="A173" s="5" t="s">
        <v>176</v>
      </c>
      <c r="B173" s="5" t="s">
        <v>172</v>
      </c>
      <c r="C173" s="5" t="n">
        <v>53</v>
      </c>
      <c r="D173" s="5" t="s">
        <v>572</v>
      </c>
      <c r="E173" s="5" t="n">
        <v>2</v>
      </c>
      <c r="F173" s="20" t="n">
        <v>8.7052576507436</v>
      </c>
      <c r="G173" s="20" t="n">
        <f aca="false">9-F173</f>
        <v>0.294742349256401</v>
      </c>
      <c r="H173" s="20" t="n">
        <f aca="false">IF(G173&gt;=1,G173,0)</f>
        <v>0</v>
      </c>
      <c r="I173" s="5" t="s">
        <v>406</v>
      </c>
      <c r="J173" s="5" t="s">
        <v>574</v>
      </c>
    </row>
    <row r="174" customFormat="false" ht="15" hidden="false" customHeight="false" outlineLevel="0" collapsed="false">
      <c r="A174" s="5" t="s">
        <v>176</v>
      </c>
      <c r="B174" s="5" t="s">
        <v>172</v>
      </c>
      <c r="C174" s="5" t="n">
        <v>54</v>
      </c>
      <c r="D174" s="5" t="s">
        <v>575</v>
      </c>
      <c r="E174" s="5" t="n">
        <v>2</v>
      </c>
      <c r="F174" s="20" t="n">
        <v>8.68020765074353</v>
      </c>
      <c r="G174" s="20" t="n">
        <f aca="false">9-F174</f>
        <v>0.319792349256467</v>
      </c>
      <c r="H174" s="20" t="n">
        <f aca="false">IF(G174&gt;=1,G174,0)</f>
        <v>0</v>
      </c>
      <c r="I174" s="5" t="s">
        <v>406</v>
      </c>
      <c r="J174" s="5" t="s">
        <v>576</v>
      </c>
    </row>
    <row r="175" customFormat="false" ht="15" hidden="false" customHeight="false" outlineLevel="0" collapsed="false">
      <c r="A175" s="5" t="s">
        <v>176</v>
      </c>
      <c r="B175" s="5" t="s">
        <v>172</v>
      </c>
      <c r="C175" s="5" t="n">
        <v>55</v>
      </c>
      <c r="D175" s="5" t="s">
        <v>577</v>
      </c>
      <c r="E175" s="5" t="n">
        <v>2</v>
      </c>
      <c r="F175" s="20" t="n">
        <v>8.64115765074351</v>
      </c>
      <c r="G175" s="20" t="n">
        <f aca="false">9-F175</f>
        <v>0.358842349256486</v>
      </c>
      <c r="H175" s="20" t="n">
        <f aca="false">IF(G175&gt;=1,G175,0)</f>
        <v>0</v>
      </c>
      <c r="I175" s="5" t="s">
        <v>406</v>
      </c>
      <c r="J175" s="5" t="s">
        <v>578</v>
      </c>
    </row>
    <row r="176" customFormat="false" ht="15" hidden="false" customHeight="false" outlineLevel="0" collapsed="false">
      <c r="A176" s="5" t="s">
        <v>176</v>
      </c>
      <c r="B176" s="5" t="s">
        <v>172</v>
      </c>
      <c r="C176" s="5" t="n">
        <v>56</v>
      </c>
      <c r="D176" s="5" t="s">
        <v>579</v>
      </c>
      <c r="E176" s="5" t="n">
        <v>2</v>
      </c>
      <c r="F176" s="20" t="n">
        <v>8.60520765074367</v>
      </c>
      <c r="G176" s="20" t="n">
        <f aca="false">9-F176</f>
        <v>0.394792349256328</v>
      </c>
      <c r="H176" s="20" t="n">
        <f aca="false">IF(G176&gt;=1,G176,0)</f>
        <v>0</v>
      </c>
      <c r="I176" s="5" t="s">
        <v>406</v>
      </c>
      <c r="J176" s="5" t="s">
        <v>580</v>
      </c>
    </row>
    <row r="177" customFormat="false" ht="15" hidden="false" customHeight="false" outlineLevel="0" collapsed="false">
      <c r="A177" s="5" t="s">
        <v>176</v>
      </c>
      <c r="B177" s="5" t="s">
        <v>172</v>
      </c>
      <c r="C177" s="5" t="n">
        <v>57</v>
      </c>
      <c r="D177" s="5" t="s">
        <v>581</v>
      </c>
      <c r="E177" s="5" t="n">
        <v>2</v>
      </c>
      <c r="F177" s="20" t="n">
        <v>8.53415765074362</v>
      </c>
      <c r="G177" s="20" t="n">
        <f aca="false">9-F177</f>
        <v>0.465842349256381</v>
      </c>
      <c r="H177" s="20" t="n">
        <f aca="false">IF(G177&gt;=1,G177,0)</f>
        <v>0</v>
      </c>
      <c r="I177" s="5" t="s">
        <v>406</v>
      </c>
      <c r="J177" s="5" t="s">
        <v>582</v>
      </c>
    </row>
    <row r="178" customFormat="false" ht="15" hidden="false" customHeight="false" outlineLevel="0" collapsed="false">
      <c r="A178" s="5" t="s">
        <v>176</v>
      </c>
      <c r="B178" s="5" t="s">
        <v>172</v>
      </c>
      <c r="C178" s="5" t="n">
        <v>58</v>
      </c>
      <c r="D178" s="5" t="s">
        <v>583</v>
      </c>
      <c r="E178" s="5" t="n">
        <v>2</v>
      </c>
      <c r="F178" s="20" t="n">
        <v>7.94739196056541</v>
      </c>
      <c r="G178" s="20" t="n">
        <f aca="false">9-F178</f>
        <v>1.05260803943459</v>
      </c>
      <c r="H178" s="20" t="n">
        <f aca="false">IF(G178&gt;=1,G178,0)</f>
        <v>1.05260803943459</v>
      </c>
      <c r="I178" s="5" t="s">
        <v>406</v>
      </c>
      <c r="J178" s="5" t="s">
        <v>584</v>
      </c>
    </row>
    <row r="179" customFormat="false" ht="15" hidden="false" customHeight="false" outlineLevel="0" collapsed="false">
      <c r="A179" s="5" t="s">
        <v>176</v>
      </c>
      <c r="B179" s="5" t="s">
        <v>172</v>
      </c>
      <c r="C179" s="5" t="n">
        <v>59</v>
      </c>
      <c r="D179" s="5" t="s">
        <v>583</v>
      </c>
      <c r="E179" s="5" t="n">
        <v>2</v>
      </c>
      <c r="F179" s="20" t="n">
        <v>7.94739196056541</v>
      </c>
      <c r="G179" s="20" t="n">
        <f aca="false">9-F179</f>
        <v>1.05260803943459</v>
      </c>
      <c r="H179" s="20" t="n">
        <f aca="false">IF(G179&gt;=1,G179,0)</f>
        <v>1.05260803943459</v>
      </c>
      <c r="I179" s="5" t="s">
        <v>406</v>
      </c>
      <c r="J179" s="5" t="s">
        <v>585</v>
      </c>
    </row>
    <row r="180" customFormat="false" ht="15" hidden="false" customHeight="false" outlineLevel="0" collapsed="false">
      <c r="A180" s="5" t="s">
        <v>176</v>
      </c>
      <c r="B180" s="5" t="s">
        <v>172</v>
      </c>
      <c r="C180" s="5" t="n">
        <v>60</v>
      </c>
      <c r="D180" s="5" t="s">
        <v>586</v>
      </c>
      <c r="E180" s="5" t="n">
        <v>2</v>
      </c>
      <c r="F180" s="20" t="n">
        <v>7.88713284508906</v>
      </c>
      <c r="G180" s="20" t="n">
        <f aca="false">9-F180</f>
        <v>1.11286715491094</v>
      </c>
      <c r="H180" s="20" t="n">
        <f aca="false">IF(G180&gt;=1,G180,0)</f>
        <v>1.11286715491094</v>
      </c>
      <c r="I180" s="5" t="s">
        <v>406</v>
      </c>
      <c r="J180" s="5" t="s">
        <v>587</v>
      </c>
    </row>
    <row r="181" customFormat="false" ht="15" hidden="false" customHeight="false" outlineLevel="0" collapsed="false">
      <c r="A181" s="5" t="s">
        <v>176</v>
      </c>
      <c r="B181" s="5" t="s">
        <v>172</v>
      </c>
      <c r="C181" s="5" t="n">
        <v>61</v>
      </c>
      <c r="D181" s="5" t="s">
        <v>588</v>
      </c>
      <c r="E181" s="5" t="n">
        <v>2</v>
      </c>
      <c r="F181" s="20" t="n">
        <v>7.73713284508899</v>
      </c>
      <c r="G181" s="20" t="n">
        <f aca="false">9-F181</f>
        <v>1.26286715491101</v>
      </c>
      <c r="H181" s="20" t="n">
        <f aca="false">IF(G181&gt;=1,G181,0)</f>
        <v>1.26286715491101</v>
      </c>
      <c r="I181" s="5" t="s">
        <v>406</v>
      </c>
      <c r="J181" s="5" t="s">
        <v>589</v>
      </c>
    </row>
    <row r="182" customFormat="false" ht="15" hidden="false" customHeight="false" outlineLevel="0" collapsed="false">
      <c r="A182" s="5" t="s">
        <v>176</v>
      </c>
      <c r="B182" s="5" t="s">
        <v>172</v>
      </c>
      <c r="C182" s="5" t="n">
        <v>62</v>
      </c>
      <c r="D182" s="5" t="s">
        <v>588</v>
      </c>
      <c r="E182" s="5" t="n">
        <v>2</v>
      </c>
      <c r="F182" s="20" t="n">
        <v>7.73208284508904</v>
      </c>
      <c r="G182" s="20" t="n">
        <f aca="false">9-F182</f>
        <v>1.26791715491096</v>
      </c>
      <c r="H182" s="20" t="n">
        <f aca="false">IF(G182&gt;=1,G182,0)</f>
        <v>1.26791715491096</v>
      </c>
      <c r="I182" s="5" t="s">
        <v>406</v>
      </c>
      <c r="J182" s="5" t="s">
        <v>590</v>
      </c>
    </row>
    <row r="183" customFormat="false" ht="15" hidden="false" customHeight="false" outlineLevel="0" collapsed="false">
      <c r="A183" s="5" t="s">
        <v>176</v>
      </c>
      <c r="B183" s="5" t="s">
        <v>172</v>
      </c>
      <c r="C183" s="5" t="n">
        <v>63</v>
      </c>
      <c r="D183" s="5" t="s">
        <v>591</v>
      </c>
      <c r="E183" s="5" t="n">
        <v>2</v>
      </c>
      <c r="F183" s="20" t="n">
        <v>7.72503284508904</v>
      </c>
      <c r="G183" s="20" t="n">
        <f aca="false">9-F183</f>
        <v>1.27496715491096</v>
      </c>
      <c r="H183" s="20" t="n">
        <f aca="false">IF(G183&gt;=1,G183,0)</f>
        <v>1.27496715491096</v>
      </c>
      <c r="I183" s="5" t="s">
        <v>406</v>
      </c>
      <c r="J183" s="5" t="s">
        <v>592</v>
      </c>
    </row>
    <row r="184" customFormat="false" ht="15" hidden="false" customHeight="false" outlineLevel="0" collapsed="false">
      <c r="A184" s="5" t="s">
        <v>176</v>
      </c>
      <c r="B184" s="5" t="s">
        <v>172</v>
      </c>
      <c r="C184" s="5" t="n">
        <v>64</v>
      </c>
      <c r="D184" s="5" t="s">
        <v>593</v>
      </c>
      <c r="E184" s="5" t="n">
        <v>2</v>
      </c>
      <c r="F184" s="20" t="n">
        <v>7.71713284508898</v>
      </c>
      <c r="G184" s="20" t="n">
        <f aca="false">9-F184</f>
        <v>1.28286715491102</v>
      </c>
      <c r="H184" s="20" t="n">
        <f aca="false">IF(G184&gt;=1,G184,0)</f>
        <v>1.28286715491102</v>
      </c>
      <c r="I184" s="5" t="s">
        <v>406</v>
      </c>
      <c r="J184" s="5" t="s">
        <v>594</v>
      </c>
    </row>
    <row r="185" customFormat="false" ht="15" hidden="false" customHeight="false" outlineLevel="0" collapsed="false">
      <c r="A185" s="5" t="s">
        <v>176</v>
      </c>
      <c r="B185" s="5" t="s">
        <v>172</v>
      </c>
      <c r="C185" s="5" t="n">
        <v>65</v>
      </c>
      <c r="D185" s="5" t="s">
        <v>595</v>
      </c>
      <c r="E185" s="5" t="n">
        <v>2</v>
      </c>
      <c r="F185" s="20" t="n">
        <v>7.68513284508902</v>
      </c>
      <c r="G185" s="20" t="n">
        <f aca="false">9-F185</f>
        <v>1.31486715491098</v>
      </c>
      <c r="H185" s="20" t="n">
        <f aca="false">IF(G185&gt;=1,G185,0)</f>
        <v>1.31486715491098</v>
      </c>
      <c r="I185" s="5" t="s">
        <v>406</v>
      </c>
      <c r="J185" s="5" t="s">
        <v>596</v>
      </c>
    </row>
    <row r="186" customFormat="false" ht="15" hidden="false" customHeight="false" outlineLevel="0" collapsed="false">
      <c r="A186" s="5" t="s">
        <v>176</v>
      </c>
      <c r="B186" s="5" t="s">
        <v>172</v>
      </c>
      <c r="C186" s="5" t="n">
        <v>66</v>
      </c>
      <c r="D186" s="5" t="s">
        <v>597</v>
      </c>
      <c r="E186" s="5" t="n">
        <v>3</v>
      </c>
      <c r="F186" s="20" t="n">
        <v>8.98636676622001</v>
      </c>
      <c r="G186" s="20" t="n">
        <f aca="false">9-F186</f>
        <v>0.0136332337799878</v>
      </c>
      <c r="H186" s="20" t="n">
        <f aca="false">IF(G186&gt;=1,G186,0)</f>
        <v>0</v>
      </c>
      <c r="I186" s="5" t="s">
        <v>406</v>
      </c>
      <c r="J186" s="5" t="s">
        <v>598</v>
      </c>
    </row>
    <row r="187" customFormat="false" ht="15" hidden="false" customHeight="false" outlineLevel="0" collapsed="false">
      <c r="A187" s="5" t="s">
        <v>176</v>
      </c>
      <c r="B187" s="5" t="s">
        <v>172</v>
      </c>
      <c r="C187" s="5" t="n">
        <v>67</v>
      </c>
      <c r="D187" s="5" t="s">
        <v>599</v>
      </c>
      <c r="E187" s="5" t="n">
        <v>1</v>
      </c>
      <c r="F187" s="20" t="n">
        <v>5.62454196056548</v>
      </c>
      <c r="G187" s="20" t="n">
        <f aca="false">9-F187</f>
        <v>3.37545803943452</v>
      </c>
      <c r="H187" s="20" t="n">
        <f aca="false">IF(G187&gt;=1,G187,0)</f>
        <v>3.37545803943452</v>
      </c>
      <c r="I187" s="5" t="s">
        <v>406</v>
      </c>
      <c r="J187" s="5" t="s">
        <v>600</v>
      </c>
    </row>
    <row r="188" customFormat="false" ht="15" hidden="false" customHeight="false" outlineLevel="0" collapsed="false">
      <c r="A188" s="5" t="s">
        <v>176</v>
      </c>
      <c r="B188" s="5" t="s">
        <v>172</v>
      </c>
      <c r="C188" s="5" t="n">
        <v>68</v>
      </c>
      <c r="D188" s="5" t="s">
        <v>599</v>
      </c>
      <c r="E188" s="5" t="n">
        <v>1</v>
      </c>
      <c r="F188" s="20" t="n">
        <v>5.62454196056547</v>
      </c>
      <c r="G188" s="20" t="n">
        <f aca="false">9-F188</f>
        <v>3.37545803943453</v>
      </c>
      <c r="H188" s="20" t="n">
        <f aca="false">IF(G188&gt;=1,G188,0)</f>
        <v>3.37545803943453</v>
      </c>
      <c r="I188" s="5" t="s">
        <v>406</v>
      </c>
      <c r="J188" s="5" t="s">
        <v>601</v>
      </c>
    </row>
    <row r="189" customFormat="false" ht="15" hidden="false" customHeight="false" outlineLevel="0" collapsed="false">
      <c r="A189" s="5" t="s">
        <v>176</v>
      </c>
      <c r="B189" s="5" t="s">
        <v>172</v>
      </c>
      <c r="C189" s="5" t="n">
        <v>69</v>
      </c>
      <c r="D189" s="5" t="s">
        <v>599</v>
      </c>
      <c r="E189" s="5" t="n">
        <v>1</v>
      </c>
      <c r="F189" s="20" t="n">
        <v>5.62454196056547</v>
      </c>
      <c r="G189" s="20" t="n">
        <f aca="false">9-F189</f>
        <v>3.37545803943453</v>
      </c>
      <c r="H189" s="20" t="n">
        <f aca="false">IF(G189&gt;=1,G189,0)</f>
        <v>3.37545803943453</v>
      </c>
      <c r="I189" s="5" t="s">
        <v>406</v>
      </c>
      <c r="J189" s="5" t="s">
        <v>602</v>
      </c>
    </row>
    <row r="190" customFormat="false" ht="15" hidden="false" customHeight="false" outlineLevel="0" collapsed="false">
      <c r="A190" s="5" t="s">
        <v>176</v>
      </c>
      <c r="B190" s="5" t="s">
        <v>172</v>
      </c>
      <c r="C190" s="5" t="n">
        <v>70</v>
      </c>
      <c r="D190" s="5" t="s">
        <v>603</v>
      </c>
      <c r="E190" s="5" t="n">
        <v>1</v>
      </c>
      <c r="F190" s="20" t="n">
        <v>5.12285000000001</v>
      </c>
      <c r="G190" s="20" t="n">
        <f aca="false">9-F190</f>
        <v>3.87714999999999</v>
      </c>
      <c r="H190" s="20" t="n">
        <f aca="false">IF(G190&gt;=1,G190,0)</f>
        <v>3.87714999999999</v>
      </c>
      <c r="I190" s="5" t="s">
        <v>406</v>
      </c>
      <c r="J190" s="5" t="s">
        <v>604</v>
      </c>
    </row>
    <row r="191" customFormat="false" ht="15" hidden="false" customHeight="false" outlineLevel="0" collapsed="false">
      <c r="A191" s="5" t="s">
        <v>176</v>
      </c>
      <c r="B191" s="5" t="s">
        <v>172</v>
      </c>
      <c r="C191" s="5" t="n">
        <v>71</v>
      </c>
      <c r="D191" s="5" t="s">
        <v>603</v>
      </c>
      <c r="E191" s="5" t="n">
        <v>1</v>
      </c>
      <c r="F191" s="20" t="n">
        <v>5.12285000000001</v>
      </c>
      <c r="G191" s="20" t="n">
        <f aca="false">9-F191</f>
        <v>3.87714999999999</v>
      </c>
      <c r="H191" s="20" t="n">
        <f aca="false">IF(G191&gt;=1,G191,0)</f>
        <v>3.87714999999999</v>
      </c>
      <c r="I191" s="5" t="s">
        <v>406</v>
      </c>
      <c r="J191" s="5" t="s">
        <v>605</v>
      </c>
    </row>
    <row r="192" customFormat="false" ht="15" hidden="false" customHeight="false" outlineLevel="0" collapsed="false">
      <c r="A192" s="5" t="s">
        <v>176</v>
      </c>
      <c r="B192" s="5" t="s">
        <v>172</v>
      </c>
      <c r="C192" s="5" t="n">
        <v>72</v>
      </c>
      <c r="D192" s="5" t="s">
        <v>603</v>
      </c>
      <c r="E192" s="5" t="n">
        <v>1</v>
      </c>
      <c r="F192" s="20" t="n">
        <v>5.12284999999999</v>
      </c>
      <c r="G192" s="20" t="n">
        <f aca="false">9-F192</f>
        <v>3.87715000000001</v>
      </c>
      <c r="H192" s="20" t="n">
        <f aca="false">IF(G192&gt;=1,G192,0)</f>
        <v>3.87715000000001</v>
      </c>
      <c r="I192" s="5" t="s">
        <v>406</v>
      </c>
      <c r="J192" s="5" t="s">
        <v>606</v>
      </c>
    </row>
    <row r="193" customFormat="false" ht="15" hidden="false" customHeight="false" outlineLevel="0" collapsed="false">
      <c r="A193" s="5" t="s">
        <v>176</v>
      </c>
      <c r="B193" s="5" t="s">
        <v>172</v>
      </c>
      <c r="C193" s="5" t="n">
        <v>73</v>
      </c>
      <c r="D193" s="5" t="s">
        <v>603</v>
      </c>
      <c r="E193" s="5" t="n">
        <v>1</v>
      </c>
      <c r="F193" s="20" t="n">
        <v>5.12284999999999</v>
      </c>
      <c r="G193" s="20" t="n">
        <f aca="false">9-F193</f>
        <v>3.87715000000001</v>
      </c>
      <c r="H193" s="20" t="n">
        <f aca="false">IF(G193&gt;=1,G193,0)</f>
        <v>3.87715000000001</v>
      </c>
      <c r="I193" s="5" t="s">
        <v>406</v>
      </c>
      <c r="J193" s="5" t="s">
        <v>607</v>
      </c>
    </row>
    <row r="194" customFormat="false" ht="15" hidden="false" customHeight="false" outlineLevel="0" collapsed="false">
      <c r="A194" s="5" t="s">
        <v>176</v>
      </c>
      <c r="B194" s="5" t="s">
        <v>172</v>
      </c>
      <c r="C194" s="5" t="n">
        <v>74</v>
      </c>
      <c r="D194" s="5" t="s">
        <v>608</v>
      </c>
      <c r="E194" s="5" t="n">
        <v>1</v>
      </c>
      <c r="F194" s="20" t="n">
        <v>4.97285000000004</v>
      </c>
      <c r="G194" s="20" t="n">
        <f aca="false">9-F194</f>
        <v>4.02714999999997</v>
      </c>
      <c r="H194" s="20" t="n">
        <f aca="false">IF(G194&gt;=1,G194,0)</f>
        <v>4.02714999999997</v>
      </c>
      <c r="I194" s="5" t="s">
        <v>406</v>
      </c>
      <c r="J194" s="5" t="s">
        <v>609</v>
      </c>
    </row>
    <row r="195" customFormat="false" ht="15" hidden="false" customHeight="false" outlineLevel="0" collapsed="false">
      <c r="A195" s="5" t="s">
        <v>176</v>
      </c>
      <c r="B195" s="5" t="s">
        <v>172</v>
      </c>
      <c r="C195" s="5" t="n">
        <v>75</v>
      </c>
      <c r="D195" s="5" t="s">
        <v>608</v>
      </c>
      <c r="E195" s="5" t="n">
        <v>1</v>
      </c>
      <c r="F195" s="20" t="n">
        <v>4.97285000000004</v>
      </c>
      <c r="G195" s="20" t="n">
        <f aca="false">9-F195</f>
        <v>4.02714999999997</v>
      </c>
      <c r="H195" s="20" t="n">
        <f aca="false">IF(G195&gt;=1,G195,0)</f>
        <v>4.02714999999997</v>
      </c>
      <c r="I195" s="5" t="s">
        <v>406</v>
      </c>
      <c r="J195" s="5" t="s">
        <v>610</v>
      </c>
    </row>
    <row r="196" customFormat="false" ht="15" hidden="false" customHeight="false" outlineLevel="0" collapsed="false">
      <c r="A196" s="5" t="s">
        <v>212</v>
      </c>
      <c r="B196" s="5" t="s">
        <v>169</v>
      </c>
      <c r="C196" s="5" t="n">
        <v>1</v>
      </c>
      <c r="D196" s="5" t="s">
        <v>611</v>
      </c>
      <c r="E196" s="5" t="n">
        <v>6</v>
      </c>
      <c r="F196" s="20" t="n">
        <v>8.78922638854954</v>
      </c>
      <c r="G196" s="20" t="n">
        <f aca="false">9-F196</f>
        <v>0.21077361145046</v>
      </c>
      <c r="H196" s="20" t="n">
        <f aca="false">IF(G196&gt;=1,G196,0)</f>
        <v>0</v>
      </c>
      <c r="I196" s="5" t="s">
        <v>74</v>
      </c>
      <c r="J196" s="5" t="s">
        <v>612</v>
      </c>
    </row>
    <row r="197" customFormat="false" ht="15" hidden="false" customHeight="false" outlineLevel="0" collapsed="false">
      <c r="A197" s="5" t="s">
        <v>212</v>
      </c>
      <c r="B197" s="5" t="s">
        <v>169</v>
      </c>
      <c r="C197" s="5" t="n">
        <v>2</v>
      </c>
      <c r="D197" s="5" t="s">
        <v>611</v>
      </c>
      <c r="E197" s="5" t="n">
        <v>6</v>
      </c>
      <c r="F197" s="20" t="n">
        <v>8.78922638854954</v>
      </c>
      <c r="G197" s="20" t="n">
        <f aca="false">9-F197</f>
        <v>0.21077361145046</v>
      </c>
      <c r="H197" s="20" t="n">
        <f aca="false">IF(G197&gt;=1,G197,0)</f>
        <v>0</v>
      </c>
      <c r="I197" s="5" t="s">
        <v>74</v>
      </c>
      <c r="J197" s="5" t="s">
        <v>612</v>
      </c>
    </row>
    <row r="198" customFormat="false" ht="15" hidden="false" customHeight="false" outlineLevel="0" collapsed="false">
      <c r="A198" s="5" t="s">
        <v>212</v>
      </c>
      <c r="B198" s="5" t="s">
        <v>169</v>
      </c>
      <c r="C198" s="5" t="n">
        <v>3</v>
      </c>
      <c r="D198" s="5" t="s">
        <v>611</v>
      </c>
      <c r="E198" s="5" t="n">
        <v>6</v>
      </c>
      <c r="F198" s="20" t="n">
        <v>8.78922638854954</v>
      </c>
      <c r="G198" s="20" t="n">
        <f aca="false">9-F198</f>
        <v>0.210773611450463</v>
      </c>
      <c r="H198" s="20" t="n">
        <f aca="false">IF(G198&gt;=1,G198,0)</f>
        <v>0</v>
      </c>
      <c r="I198" s="5" t="s">
        <v>74</v>
      </c>
      <c r="J198" s="5" t="s">
        <v>613</v>
      </c>
    </row>
    <row r="199" customFormat="false" ht="15" hidden="false" customHeight="false" outlineLevel="0" collapsed="false">
      <c r="A199" s="5" t="s">
        <v>212</v>
      </c>
      <c r="B199" s="5" t="s">
        <v>169</v>
      </c>
      <c r="C199" s="5" t="n">
        <v>4</v>
      </c>
      <c r="D199" s="5" t="s">
        <v>611</v>
      </c>
      <c r="E199" s="5" t="n">
        <v>6</v>
      </c>
      <c r="F199" s="20" t="n">
        <v>8.78922638854953</v>
      </c>
      <c r="G199" s="20" t="n">
        <f aca="false">9-F199</f>
        <v>0.210773611450474</v>
      </c>
      <c r="H199" s="20" t="n">
        <f aca="false">IF(G199&gt;=1,G199,0)</f>
        <v>0</v>
      </c>
      <c r="I199" s="5" t="s">
        <v>74</v>
      </c>
      <c r="J199" s="5" t="s">
        <v>614</v>
      </c>
    </row>
    <row r="200" customFormat="false" ht="15" hidden="false" customHeight="false" outlineLevel="0" collapsed="false">
      <c r="A200" s="5" t="s">
        <v>212</v>
      </c>
      <c r="B200" s="5" t="s">
        <v>169</v>
      </c>
      <c r="C200" s="5" t="n">
        <v>5</v>
      </c>
      <c r="D200" s="5" t="s">
        <v>611</v>
      </c>
      <c r="E200" s="5" t="n">
        <v>6</v>
      </c>
      <c r="F200" s="20" t="n">
        <v>8.78922638854953</v>
      </c>
      <c r="G200" s="20" t="n">
        <f aca="false">9-F200</f>
        <v>0.210773611450474</v>
      </c>
      <c r="H200" s="20" t="n">
        <f aca="false">IF(G200&gt;=1,G200,0)</f>
        <v>0</v>
      </c>
      <c r="I200" s="5" t="s">
        <v>74</v>
      </c>
      <c r="J200" s="5" t="s">
        <v>614</v>
      </c>
    </row>
    <row r="201" customFormat="false" ht="15" hidden="false" customHeight="false" outlineLevel="0" collapsed="false">
      <c r="A201" s="5" t="s">
        <v>212</v>
      </c>
      <c r="B201" s="5" t="s">
        <v>169</v>
      </c>
      <c r="C201" s="5" t="n">
        <v>6</v>
      </c>
      <c r="D201" s="5" t="s">
        <v>611</v>
      </c>
      <c r="E201" s="5" t="n">
        <v>6</v>
      </c>
      <c r="F201" s="20" t="n">
        <v>8.78922638854953</v>
      </c>
      <c r="G201" s="20" t="n">
        <f aca="false">9-F201</f>
        <v>0.210773611450474</v>
      </c>
      <c r="H201" s="20" t="n">
        <f aca="false">IF(G201&gt;=1,G201,0)</f>
        <v>0</v>
      </c>
      <c r="I201" s="5" t="s">
        <v>74</v>
      </c>
      <c r="J201" s="5" t="s">
        <v>615</v>
      </c>
    </row>
    <row r="202" customFormat="false" ht="15" hidden="false" customHeight="false" outlineLevel="0" collapsed="false">
      <c r="A202" s="5" t="s">
        <v>212</v>
      </c>
      <c r="B202" s="5" t="s">
        <v>169</v>
      </c>
      <c r="C202" s="5" t="n">
        <v>7</v>
      </c>
      <c r="D202" s="5" t="s">
        <v>611</v>
      </c>
      <c r="E202" s="5" t="n">
        <v>6</v>
      </c>
      <c r="F202" s="20" t="n">
        <v>8.78922638854953</v>
      </c>
      <c r="G202" s="20" t="n">
        <f aca="false">9-F202</f>
        <v>0.210773611450474</v>
      </c>
      <c r="H202" s="20" t="n">
        <f aca="false">IF(G202&gt;=1,G202,0)</f>
        <v>0</v>
      </c>
      <c r="I202" s="5" t="s">
        <v>74</v>
      </c>
      <c r="J202" s="5" t="s">
        <v>616</v>
      </c>
    </row>
    <row r="203" customFormat="false" ht="15" hidden="false" customHeight="false" outlineLevel="0" collapsed="false">
      <c r="A203" s="5" t="s">
        <v>212</v>
      </c>
      <c r="B203" s="5" t="s">
        <v>169</v>
      </c>
      <c r="C203" s="5" t="n">
        <v>8</v>
      </c>
      <c r="D203" s="5" t="s">
        <v>611</v>
      </c>
      <c r="E203" s="5" t="n">
        <v>6</v>
      </c>
      <c r="F203" s="20" t="n">
        <v>8.78922638854953</v>
      </c>
      <c r="G203" s="20" t="n">
        <f aca="false">9-F203</f>
        <v>0.210773611450474</v>
      </c>
      <c r="H203" s="20" t="n">
        <f aca="false">IF(G203&gt;=1,G203,0)</f>
        <v>0</v>
      </c>
      <c r="I203" s="5" t="s">
        <v>74</v>
      </c>
      <c r="J203" s="5" t="s">
        <v>616</v>
      </c>
    </row>
    <row r="204" customFormat="false" ht="15" hidden="false" customHeight="false" outlineLevel="0" collapsed="false">
      <c r="A204" s="5" t="s">
        <v>212</v>
      </c>
      <c r="B204" s="5" t="s">
        <v>169</v>
      </c>
      <c r="C204" s="5" t="n">
        <v>9</v>
      </c>
      <c r="D204" s="5" t="s">
        <v>611</v>
      </c>
      <c r="E204" s="5" t="n">
        <v>6</v>
      </c>
      <c r="F204" s="20" t="n">
        <v>8.78922638854952</v>
      </c>
      <c r="G204" s="20" t="n">
        <f aca="false">9-F204</f>
        <v>0.210773611450479</v>
      </c>
      <c r="H204" s="20" t="n">
        <f aca="false">IF(G204&gt;=1,G204,0)</f>
        <v>0</v>
      </c>
      <c r="I204" s="5" t="s">
        <v>74</v>
      </c>
      <c r="J204" s="5" t="s">
        <v>617</v>
      </c>
    </row>
    <row r="205" customFormat="false" ht="15" hidden="false" customHeight="false" outlineLevel="0" collapsed="false">
      <c r="A205" s="5" t="s">
        <v>212</v>
      </c>
      <c r="B205" s="5" t="s">
        <v>169</v>
      </c>
      <c r="C205" s="5" t="n">
        <v>10</v>
      </c>
      <c r="D205" s="5" t="s">
        <v>611</v>
      </c>
      <c r="E205" s="5" t="n">
        <v>6</v>
      </c>
      <c r="F205" s="20" t="n">
        <v>8.78922638854952</v>
      </c>
      <c r="G205" s="20" t="n">
        <f aca="false">9-F205</f>
        <v>0.210773611450483</v>
      </c>
      <c r="H205" s="20" t="n">
        <f aca="false">IF(G205&gt;=1,G205,0)</f>
        <v>0</v>
      </c>
      <c r="I205" s="5" t="s">
        <v>74</v>
      </c>
      <c r="J205" s="5" t="s">
        <v>618</v>
      </c>
    </row>
    <row r="206" customFormat="false" ht="15" hidden="false" customHeight="false" outlineLevel="0" collapsed="false">
      <c r="A206" s="5" t="s">
        <v>212</v>
      </c>
      <c r="B206" s="5" t="s">
        <v>169</v>
      </c>
      <c r="C206" s="5" t="n">
        <v>11</v>
      </c>
      <c r="D206" s="5" t="s">
        <v>611</v>
      </c>
      <c r="E206" s="5" t="n">
        <v>6</v>
      </c>
      <c r="F206" s="20" t="n">
        <v>8.78922638854952</v>
      </c>
      <c r="G206" s="20" t="n">
        <f aca="false">9-F206</f>
        <v>0.210773611450483</v>
      </c>
      <c r="H206" s="20" t="n">
        <f aca="false">IF(G206&gt;=1,G206,0)</f>
        <v>0</v>
      </c>
      <c r="I206" s="5" t="s">
        <v>74</v>
      </c>
      <c r="J206" s="5" t="s">
        <v>618</v>
      </c>
    </row>
    <row r="207" customFormat="false" ht="15" hidden="false" customHeight="false" outlineLevel="0" collapsed="false">
      <c r="A207" s="5" t="s">
        <v>212</v>
      </c>
      <c r="B207" s="5" t="s">
        <v>169</v>
      </c>
      <c r="C207" s="5" t="n">
        <v>12</v>
      </c>
      <c r="D207" s="5" t="s">
        <v>611</v>
      </c>
      <c r="E207" s="5" t="n">
        <v>6</v>
      </c>
      <c r="F207" s="20" t="n">
        <v>8.78922638854952</v>
      </c>
      <c r="G207" s="20" t="n">
        <f aca="false">9-F207</f>
        <v>0.210773611450483</v>
      </c>
      <c r="H207" s="20" t="n">
        <f aca="false">IF(G207&gt;=1,G207,0)</f>
        <v>0</v>
      </c>
      <c r="I207" s="5" t="s">
        <v>74</v>
      </c>
      <c r="J207" s="5" t="s">
        <v>619</v>
      </c>
    </row>
    <row r="208" customFormat="false" ht="15" hidden="false" customHeight="false" outlineLevel="0" collapsed="false">
      <c r="A208" s="5" t="s">
        <v>212</v>
      </c>
      <c r="B208" s="5" t="s">
        <v>169</v>
      </c>
      <c r="C208" s="5" t="n">
        <v>13</v>
      </c>
      <c r="D208" s="5" t="s">
        <v>611</v>
      </c>
      <c r="E208" s="5" t="n">
        <v>6</v>
      </c>
      <c r="F208" s="20" t="n">
        <v>8.78922638854952</v>
      </c>
      <c r="G208" s="20" t="n">
        <f aca="false">9-F208</f>
        <v>0.210773611450483</v>
      </c>
      <c r="H208" s="20" t="n">
        <f aca="false">IF(G208&gt;=1,G208,0)</f>
        <v>0</v>
      </c>
      <c r="I208" s="5" t="s">
        <v>74</v>
      </c>
      <c r="J208" s="5" t="s">
        <v>620</v>
      </c>
    </row>
    <row r="209" customFormat="false" ht="15" hidden="false" customHeight="false" outlineLevel="0" collapsed="false">
      <c r="A209" s="5" t="s">
        <v>212</v>
      </c>
      <c r="B209" s="5" t="s">
        <v>169</v>
      </c>
      <c r="C209" s="5" t="n">
        <v>14</v>
      </c>
      <c r="D209" s="5" t="s">
        <v>611</v>
      </c>
      <c r="E209" s="5" t="n">
        <v>6</v>
      </c>
      <c r="F209" s="20" t="n">
        <v>8.78922638854952</v>
      </c>
      <c r="G209" s="20" t="n">
        <f aca="false">9-F209</f>
        <v>0.210773611450483</v>
      </c>
      <c r="H209" s="20" t="n">
        <f aca="false">IF(G209&gt;=1,G209,0)</f>
        <v>0</v>
      </c>
      <c r="I209" s="5" t="s">
        <v>74</v>
      </c>
      <c r="J209" s="5" t="s">
        <v>620</v>
      </c>
    </row>
    <row r="210" customFormat="false" ht="15" hidden="false" customHeight="false" outlineLevel="0" collapsed="false">
      <c r="A210" s="5" t="s">
        <v>212</v>
      </c>
      <c r="B210" s="5" t="s">
        <v>169</v>
      </c>
      <c r="C210" s="5" t="n">
        <v>15</v>
      </c>
      <c r="D210" s="5" t="s">
        <v>611</v>
      </c>
      <c r="E210" s="5" t="n">
        <v>6</v>
      </c>
      <c r="F210" s="20" t="n">
        <v>8.78922638854951</v>
      </c>
      <c r="G210" s="20" t="n">
        <f aca="false">9-F210</f>
        <v>0.210773611450486</v>
      </c>
      <c r="H210" s="20" t="n">
        <f aca="false">IF(G210&gt;=1,G210,0)</f>
        <v>0</v>
      </c>
      <c r="I210" s="5" t="s">
        <v>74</v>
      </c>
      <c r="J210" s="5" t="s">
        <v>621</v>
      </c>
    </row>
    <row r="211" customFormat="false" ht="15" hidden="false" customHeight="false" outlineLevel="0" collapsed="false">
      <c r="A211" s="5" t="s">
        <v>212</v>
      </c>
      <c r="B211" s="5" t="s">
        <v>169</v>
      </c>
      <c r="C211" s="5" t="n">
        <v>16</v>
      </c>
      <c r="D211" s="5" t="s">
        <v>611</v>
      </c>
      <c r="E211" s="5" t="n">
        <v>6</v>
      </c>
      <c r="F211" s="20" t="n">
        <v>8.78922638854951</v>
      </c>
      <c r="G211" s="20" t="n">
        <f aca="false">9-F211</f>
        <v>0.210773611450486</v>
      </c>
      <c r="H211" s="20" t="n">
        <f aca="false">IF(G211&gt;=1,G211,0)</f>
        <v>0</v>
      </c>
      <c r="I211" s="5" t="s">
        <v>74</v>
      </c>
      <c r="J211" s="5" t="s">
        <v>621</v>
      </c>
    </row>
    <row r="212" customFormat="false" ht="15" hidden="false" customHeight="false" outlineLevel="0" collapsed="false">
      <c r="A212" s="5" t="s">
        <v>212</v>
      </c>
      <c r="B212" s="5" t="s">
        <v>169</v>
      </c>
      <c r="C212" s="5" t="n">
        <v>17</v>
      </c>
      <c r="D212" s="5" t="s">
        <v>611</v>
      </c>
      <c r="E212" s="5" t="n">
        <v>6</v>
      </c>
      <c r="F212" s="20" t="n">
        <v>8.78922638854951</v>
      </c>
      <c r="G212" s="20" t="n">
        <f aca="false">9-F212</f>
        <v>0.210773611450488</v>
      </c>
      <c r="H212" s="20" t="n">
        <f aca="false">IF(G212&gt;=1,G212,0)</f>
        <v>0</v>
      </c>
      <c r="I212" s="5" t="s">
        <v>74</v>
      </c>
      <c r="J212" s="5" t="s">
        <v>622</v>
      </c>
    </row>
    <row r="213" customFormat="false" ht="15" hidden="false" customHeight="false" outlineLevel="0" collapsed="false">
      <c r="A213" s="5" t="s">
        <v>212</v>
      </c>
      <c r="B213" s="5" t="s">
        <v>169</v>
      </c>
      <c r="C213" s="5" t="n">
        <v>18</v>
      </c>
      <c r="D213" s="5" t="s">
        <v>611</v>
      </c>
      <c r="E213" s="5" t="n">
        <v>6</v>
      </c>
      <c r="F213" s="20" t="n">
        <v>8.78922638854951</v>
      </c>
      <c r="G213" s="20" t="n">
        <f aca="false">9-F213</f>
        <v>0.210773611450495</v>
      </c>
      <c r="H213" s="20" t="n">
        <f aca="false">IF(G213&gt;=1,G213,0)</f>
        <v>0</v>
      </c>
      <c r="I213" s="5" t="s">
        <v>74</v>
      </c>
      <c r="J213" s="5" t="s">
        <v>623</v>
      </c>
    </row>
    <row r="214" customFormat="false" ht="15" hidden="false" customHeight="false" outlineLevel="0" collapsed="false">
      <c r="A214" s="5" t="s">
        <v>212</v>
      </c>
      <c r="B214" s="5" t="s">
        <v>169</v>
      </c>
      <c r="C214" s="5" t="n">
        <v>19</v>
      </c>
      <c r="D214" s="5" t="s">
        <v>611</v>
      </c>
      <c r="E214" s="5" t="n">
        <v>6</v>
      </c>
      <c r="F214" s="20" t="n">
        <v>8.78922638854951</v>
      </c>
      <c r="G214" s="20" t="n">
        <f aca="false">9-F214</f>
        <v>0.210773611450495</v>
      </c>
      <c r="H214" s="20" t="n">
        <f aca="false">IF(G214&gt;=1,G214,0)</f>
        <v>0</v>
      </c>
      <c r="I214" s="5" t="s">
        <v>74</v>
      </c>
      <c r="J214" s="5" t="s">
        <v>623</v>
      </c>
    </row>
    <row r="215" customFormat="false" ht="15" hidden="false" customHeight="false" outlineLevel="0" collapsed="false">
      <c r="A215" s="5" t="s">
        <v>212</v>
      </c>
      <c r="B215" s="5" t="s">
        <v>169</v>
      </c>
      <c r="C215" s="5" t="n">
        <v>20</v>
      </c>
      <c r="D215" s="5" t="s">
        <v>611</v>
      </c>
      <c r="E215" s="5" t="n">
        <v>6</v>
      </c>
      <c r="F215" s="20" t="n">
        <v>8.7892263885495</v>
      </c>
      <c r="G215" s="20" t="n">
        <f aca="false">9-F215</f>
        <v>0.210773611450497</v>
      </c>
      <c r="H215" s="20" t="n">
        <f aca="false">IF(G215&gt;=1,G215,0)</f>
        <v>0</v>
      </c>
      <c r="I215" s="5" t="s">
        <v>74</v>
      </c>
      <c r="J215" s="5" t="s">
        <v>624</v>
      </c>
    </row>
    <row r="216" customFormat="false" ht="15" hidden="false" customHeight="false" outlineLevel="0" collapsed="false">
      <c r="A216" s="5" t="s">
        <v>212</v>
      </c>
      <c r="B216" s="5" t="s">
        <v>169</v>
      </c>
      <c r="C216" s="5" t="n">
        <v>21</v>
      </c>
      <c r="D216" s="5" t="s">
        <v>611</v>
      </c>
      <c r="E216" s="5" t="n">
        <v>6</v>
      </c>
      <c r="F216" s="20" t="n">
        <v>8.7892263885495</v>
      </c>
      <c r="G216" s="20" t="n">
        <f aca="false">9-F216</f>
        <v>0.210773611450499</v>
      </c>
      <c r="H216" s="20" t="n">
        <f aca="false">IF(G216&gt;=1,G216,0)</f>
        <v>0</v>
      </c>
      <c r="I216" s="5" t="s">
        <v>74</v>
      </c>
      <c r="J216" s="5" t="s">
        <v>625</v>
      </c>
    </row>
    <row r="217" customFormat="false" ht="15" hidden="false" customHeight="false" outlineLevel="0" collapsed="false">
      <c r="A217" s="5" t="s">
        <v>212</v>
      </c>
      <c r="B217" s="5" t="s">
        <v>169</v>
      </c>
      <c r="C217" s="5" t="n">
        <v>22</v>
      </c>
      <c r="D217" s="5" t="s">
        <v>611</v>
      </c>
      <c r="E217" s="5" t="n">
        <v>6</v>
      </c>
      <c r="F217" s="20" t="n">
        <v>8.7892263885495</v>
      </c>
      <c r="G217" s="20" t="n">
        <f aca="false">9-F217</f>
        <v>0.210773611450499</v>
      </c>
      <c r="H217" s="20" t="n">
        <f aca="false">IF(G217&gt;=1,G217,0)</f>
        <v>0</v>
      </c>
      <c r="I217" s="5" t="s">
        <v>74</v>
      </c>
      <c r="J217" s="5" t="s">
        <v>625</v>
      </c>
    </row>
    <row r="218" customFormat="false" ht="15" hidden="false" customHeight="false" outlineLevel="0" collapsed="false">
      <c r="A218" s="5" t="s">
        <v>212</v>
      </c>
      <c r="B218" s="5" t="s">
        <v>169</v>
      </c>
      <c r="C218" s="5" t="n">
        <v>23</v>
      </c>
      <c r="D218" s="5" t="s">
        <v>611</v>
      </c>
      <c r="E218" s="5" t="n">
        <v>6</v>
      </c>
      <c r="F218" s="20" t="n">
        <v>8.7892263885495</v>
      </c>
      <c r="G218" s="20" t="n">
        <f aca="false">9-F218</f>
        <v>0.210773611450502</v>
      </c>
      <c r="H218" s="20" t="n">
        <f aca="false">IF(G218&gt;=1,G218,0)</f>
        <v>0</v>
      </c>
      <c r="I218" s="5" t="s">
        <v>74</v>
      </c>
      <c r="J218" s="5" t="s">
        <v>626</v>
      </c>
    </row>
    <row r="219" customFormat="false" ht="15" hidden="false" customHeight="false" outlineLevel="0" collapsed="false">
      <c r="A219" s="5" t="s">
        <v>212</v>
      </c>
      <c r="B219" s="5" t="s">
        <v>169</v>
      </c>
      <c r="C219" s="5" t="n">
        <v>24</v>
      </c>
      <c r="D219" s="5" t="s">
        <v>611</v>
      </c>
      <c r="E219" s="5" t="n">
        <v>6</v>
      </c>
      <c r="F219" s="20" t="n">
        <v>8.7892263885495</v>
      </c>
      <c r="G219" s="20" t="n">
        <f aca="false">9-F219</f>
        <v>0.210773611450504</v>
      </c>
      <c r="H219" s="20" t="n">
        <f aca="false">IF(G219&gt;=1,G219,0)</f>
        <v>0</v>
      </c>
      <c r="I219" s="5" t="s">
        <v>74</v>
      </c>
      <c r="J219" s="5" t="s">
        <v>627</v>
      </c>
    </row>
    <row r="220" customFormat="false" ht="15" hidden="false" customHeight="false" outlineLevel="0" collapsed="false">
      <c r="A220" s="5" t="s">
        <v>212</v>
      </c>
      <c r="B220" s="5" t="s">
        <v>169</v>
      </c>
      <c r="C220" s="5" t="n">
        <v>25</v>
      </c>
      <c r="D220" s="5" t="s">
        <v>611</v>
      </c>
      <c r="E220" s="5" t="n">
        <v>6</v>
      </c>
      <c r="F220" s="20" t="n">
        <v>8.7892263885495</v>
      </c>
      <c r="G220" s="20" t="n">
        <f aca="false">9-F220</f>
        <v>0.210773611450504</v>
      </c>
      <c r="H220" s="20" t="n">
        <f aca="false">IF(G220&gt;=1,G220,0)</f>
        <v>0</v>
      </c>
      <c r="I220" s="5" t="s">
        <v>74</v>
      </c>
      <c r="J220" s="5" t="s">
        <v>627</v>
      </c>
    </row>
    <row r="221" customFormat="false" ht="15" hidden="false" customHeight="false" outlineLevel="0" collapsed="false">
      <c r="A221" s="5" t="s">
        <v>212</v>
      </c>
      <c r="B221" s="5" t="s">
        <v>169</v>
      </c>
      <c r="C221" s="5" t="n">
        <v>26</v>
      </c>
      <c r="D221" s="5" t="s">
        <v>611</v>
      </c>
      <c r="E221" s="5" t="n">
        <v>6</v>
      </c>
      <c r="F221" s="20" t="n">
        <v>8.7892263885495</v>
      </c>
      <c r="G221" s="20" t="n">
        <f aca="false">9-F221</f>
        <v>0.210773611450504</v>
      </c>
      <c r="H221" s="20" t="n">
        <f aca="false">IF(G221&gt;=1,G221,0)</f>
        <v>0</v>
      </c>
      <c r="I221" s="5" t="s">
        <v>74</v>
      </c>
      <c r="J221" s="5" t="s">
        <v>628</v>
      </c>
    </row>
    <row r="222" customFormat="false" ht="15" hidden="false" customHeight="false" outlineLevel="0" collapsed="false">
      <c r="A222" s="5" t="s">
        <v>212</v>
      </c>
      <c r="B222" s="5" t="s">
        <v>169</v>
      </c>
      <c r="C222" s="5" t="n">
        <v>27</v>
      </c>
      <c r="D222" s="5" t="s">
        <v>611</v>
      </c>
      <c r="E222" s="5" t="n">
        <v>6</v>
      </c>
      <c r="F222" s="20" t="n">
        <v>8.7892263885495</v>
      </c>
      <c r="G222" s="20" t="n">
        <f aca="false">9-F222</f>
        <v>0.210773611450504</v>
      </c>
      <c r="H222" s="20" t="n">
        <f aca="false">IF(G222&gt;=1,G222,0)</f>
        <v>0</v>
      </c>
      <c r="I222" s="5" t="s">
        <v>74</v>
      </c>
      <c r="J222" s="5" t="s">
        <v>629</v>
      </c>
    </row>
    <row r="223" customFormat="false" ht="15" hidden="false" customHeight="false" outlineLevel="0" collapsed="false">
      <c r="A223" s="5" t="s">
        <v>212</v>
      </c>
      <c r="B223" s="5" t="s">
        <v>169</v>
      </c>
      <c r="C223" s="5" t="n">
        <v>28</v>
      </c>
      <c r="D223" s="5" t="s">
        <v>611</v>
      </c>
      <c r="E223" s="5" t="n">
        <v>6</v>
      </c>
      <c r="F223" s="20" t="n">
        <v>8.7892263885495</v>
      </c>
      <c r="G223" s="20" t="n">
        <f aca="false">9-F223</f>
        <v>0.210773611450504</v>
      </c>
      <c r="H223" s="20" t="n">
        <f aca="false">IF(G223&gt;=1,G223,0)</f>
        <v>0</v>
      </c>
      <c r="I223" s="5" t="s">
        <v>74</v>
      </c>
      <c r="J223" s="5" t="s">
        <v>629</v>
      </c>
    </row>
    <row r="224" customFormat="false" ht="15" hidden="false" customHeight="false" outlineLevel="0" collapsed="false">
      <c r="A224" s="5" t="s">
        <v>212</v>
      </c>
      <c r="B224" s="5" t="s">
        <v>169</v>
      </c>
      <c r="C224" s="5" t="n">
        <v>29</v>
      </c>
      <c r="D224" s="5" t="s">
        <v>611</v>
      </c>
      <c r="E224" s="5" t="n">
        <v>6</v>
      </c>
      <c r="F224" s="20" t="n">
        <v>8.78922638854949</v>
      </c>
      <c r="G224" s="20" t="n">
        <f aca="false">9-F224</f>
        <v>0.210773611450508</v>
      </c>
      <c r="H224" s="20" t="n">
        <f aca="false">IF(G224&gt;=1,G224,0)</f>
        <v>0</v>
      </c>
      <c r="I224" s="5" t="s">
        <v>74</v>
      </c>
      <c r="J224" s="5" t="s">
        <v>630</v>
      </c>
    </row>
    <row r="225" customFormat="false" ht="15" hidden="false" customHeight="false" outlineLevel="0" collapsed="false">
      <c r="A225" s="5" t="s">
        <v>212</v>
      </c>
      <c r="B225" s="5" t="s">
        <v>169</v>
      </c>
      <c r="C225" s="5" t="n">
        <v>30</v>
      </c>
      <c r="D225" s="5" t="s">
        <v>611</v>
      </c>
      <c r="E225" s="5" t="n">
        <v>6</v>
      </c>
      <c r="F225" s="20" t="n">
        <v>8.78922638854949</v>
      </c>
      <c r="G225" s="20" t="n">
        <f aca="false">9-F225</f>
        <v>0.210773611450508</v>
      </c>
      <c r="H225" s="20" t="n">
        <f aca="false">IF(G225&gt;=1,G225,0)</f>
        <v>0</v>
      </c>
      <c r="I225" s="5" t="s">
        <v>74</v>
      </c>
      <c r="J225" s="5" t="s">
        <v>630</v>
      </c>
    </row>
    <row r="226" customFormat="false" ht="15" hidden="false" customHeight="false" outlineLevel="0" collapsed="false">
      <c r="A226" s="5" t="s">
        <v>212</v>
      </c>
      <c r="B226" s="5" t="s">
        <v>169</v>
      </c>
      <c r="C226" s="5" t="n">
        <v>31</v>
      </c>
      <c r="D226" s="5" t="s">
        <v>611</v>
      </c>
      <c r="E226" s="5" t="n">
        <v>6</v>
      </c>
      <c r="F226" s="20" t="n">
        <v>8.78922638854949</v>
      </c>
      <c r="G226" s="20" t="n">
        <f aca="false">9-F226</f>
        <v>0.210773611450509</v>
      </c>
      <c r="H226" s="20" t="n">
        <f aca="false">IF(G226&gt;=1,G226,0)</f>
        <v>0</v>
      </c>
      <c r="I226" s="5" t="s">
        <v>74</v>
      </c>
      <c r="J226" s="5" t="s">
        <v>631</v>
      </c>
    </row>
    <row r="227" customFormat="false" ht="15" hidden="false" customHeight="false" outlineLevel="0" collapsed="false">
      <c r="A227" s="5" t="s">
        <v>212</v>
      </c>
      <c r="B227" s="5" t="s">
        <v>169</v>
      </c>
      <c r="C227" s="5" t="n">
        <v>32</v>
      </c>
      <c r="D227" s="5" t="s">
        <v>611</v>
      </c>
      <c r="E227" s="5" t="n">
        <v>6</v>
      </c>
      <c r="F227" s="20" t="n">
        <v>8.78922638854949</v>
      </c>
      <c r="G227" s="20" t="n">
        <f aca="false">9-F227</f>
        <v>0.210773611450509</v>
      </c>
      <c r="H227" s="20" t="n">
        <f aca="false">IF(G227&gt;=1,G227,0)</f>
        <v>0</v>
      </c>
      <c r="I227" s="5" t="s">
        <v>74</v>
      </c>
      <c r="J227" s="5" t="s">
        <v>632</v>
      </c>
    </row>
    <row r="228" customFormat="false" ht="15" hidden="false" customHeight="false" outlineLevel="0" collapsed="false">
      <c r="A228" s="5" t="s">
        <v>212</v>
      </c>
      <c r="B228" s="5" t="s">
        <v>169</v>
      </c>
      <c r="C228" s="5" t="n">
        <v>33</v>
      </c>
      <c r="D228" s="5" t="s">
        <v>611</v>
      </c>
      <c r="E228" s="5" t="n">
        <v>6</v>
      </c>
      <c r="F228" s="20" t="n">
        <v>8.78922638854949</v>
      </c>
      <c r="G228" s="20" t="n">
        <f aca="false">9-F228</f>
        <v>0.210773611450509</v>
      </c>
      <c r="H228" s="20" t="n">
        <f aca="false">IF(G228&gt;=1,G228,0)</f>
        <v>0</v>
      </c>
      <c r="I228" s="5" t="s">
        <v>74</v>
      </c>
      <c r="J228" s="5" t="s">
        <v>632</v>
      </c>
    </row>
    <row r="229" customFormat="false" ht="15" hidden="false" customHeight="false" outlineLevel="0" collapsed="false">
      <c r="A229" s="5" t="s">
        <v>212</v>
      </c>
      <c r="B229" s="5" t="s">
        <v>169</v>
      </c>
      <c r="C229" s="5" t="n">
        <v>34</v>
      </c>
      <c r="D229" s="5" t="s">
        <v>611</v>
      </c>
      <c r="E229" s="5" t="n">
        <v>6</v>
      </c>
      <c r="F229" s="20" t="n">
        <v>8.78922638854949</v>
      </c>
      <c r="G229" s="20" t="n">
        <f aca="false">9-F229</f>
        <v>0.210773611450509</v>
      </c>
      <c r="H229" s="20" t="n">
        <f aca="false">IF(G229&gt;=1,G229,0)</f>
        <v>0</v>
      </c>
      <c r="I229" s="5" t="s">
        <v>74</v>
      </c>
      <c r="J229" s="5" t="s">
        <v>633</v>
      </c>
    </row>
    <row r="230" customFormat="false" ht="15" hidden="false" customHeight="false" outlineLevel="0" collapsed="false">
      <c r="A230" s="5" t="s">
        <v>212</v>
      </c>
      <c r="B230" s="5" t="s">
        <v>169</v>
      </c>
      <c r="C230" s="5" t="n">
        <v>35</v>
      </c>
      <c r="D230" s="5" t="s">
        <v>611</v>
      </c>
      <c r="E230" s="5" t="n">
        <v>6</v>
      </c>
      <c r="F230" s="20" t="n">
        <v>8.78922638854949</v>
      </c>
      <c r="G230" s="20" t="n">
        <f aca="false">9-F230</f>
        <v>0.210773611450513</v>
      </c>
      <c r="H230" s="20" t="n">
        <f aca="false">IF(G230&gt;=1,G230,0)</f>
        <v>0</v>
      </c>
      <c r="I230" s="5" t="s">
        <v>74</v>
      </c>
      <c r="J230" s="5" t="s">
        <v>634</v>
      </c>
    </row>
    <row r="231" customFormat="false" ht="15" hidden="false" customHeight="false" outlineLevel="0" collapsed="false">
      <c r="A231" s="5" t="s">
        <v>212</v>
      </c>
      <c r="B231" s="5" t="s">
        <v>169</v>
      </c>
      <c r="C231" s="5" t="n">
        <v>36</v>
      </c>
      <c r="D231" s="5" t="s">
        <v>611</v>
      </c>
      <c r="E231" s="5" t="n">
        <v>6</v>
      </c>
      <c r="F231" s="20" t="n">
        <v>8.78922638854949</v>
      </c>
      <c r="G231" s="20" t="n">
        <f aca="false">9-F231</f>
        <v>0.210773611450513</v>
      </c>
      <c r="H231" s="20" t="n">
        <f aca="false">IF(G231&gt;=1,G231,0)</f>
        <v>0</v>
      </c>
      <c r="I231" s="5" t="s">
        <v>74</v>
      </c>
      <c r="J231" s="5" t="s">
        <v>634</v>
      </c>
    </row>
    <row r="232" customFormat="false" ht="15" hidden="false" customHeight="false" outlineLevel="0" collapsed="false">
      <c r="A232" s="5" t="s">
        <v>212</v>
      </c>
      <c r="B232" s="5" t="s">
        <v>169</v>
      </c>
      <c r="C232" s="5" t="n">
        <v>37</v>
      </c>
      <c r="D232" s="5" t="s">
        <v>611</v>
      </c>
      <c r="E232" s="5" t="n">
        <v>6</v>
      </c>
      <c r="F232" s="20" t="n">
        <v>8.78922638854949</v>
      </c>
      <c r="G232" s="20" t="n">
        <f aca="false">9-F232</f>
        <v>0.210773611450513</v>
      </c>
      <c r="H232" s="20" t="n">
        <f aca="false">IF(G232&gt;=1,G232,0)</f>
        <v>0</v>
      </c>
      <c r="I232" s="5" t="s">
        <v>74</v>
      </c>
      <c r="J232" s="5" t="s">
        <v>635</v>
      </c>
    </row>
    <row r="233" customFormat="false" ht="15" hidden="false" customHeight="false" outlineLevel="0" collapsed="false">
      <c r="A233" s="5" t="s">
        <v>212</v>
      </c>
      <c r="B233" s="5" t="s">
        <v>169</v>
      </c>
      <c r="C233" s="5" t="n">
        <v>38</v>
      </c>
      <c r="D233" s="5" t="s">
        <v>611</v>
      </c>
      <c r="E233" s="5" t="n">
        <v>6</v>
      </c>
      <c r="F233" s="20" t="n">
        <v>8.78922638854949</v>
      </c>
      <c r="G233" s="20" t="n">
        <f aca="false">9-F233</f>
        <v>0.210773611450513</v>
      </c>
      <c r="H233" s="20" t="n">
        <f aca="false">IF(G233&gt;=1,G233,0)</f>
        <v>0</v>
      </c>
      <c r="I233" s="5" t="s">
        <v>74</v>
      </c>
      <c r="J233" s="5" t="s">
        <v>636</v>
      </c>
    </row>
    <row r="234" customFormat="false" ht="15" hidden="false" customHeight="false" outlineLevel="0" collapsed="false">
      <c r="A234" s="5" t="s">
        <v>212</v>
      </c>
      <c r="B234" s="5" t="s">
        <v>169</v>
      </c>
      <c r="C234" s="5" t="n">
        <v>39</v>
      </c>
      <c r="D234" s="5" t="s">
        <v>611</v>
      </c>
      <c r="E234" s="5" t="n">
        <v>6</v>
      </c>
      <c r="F234" s="20" t="n">
        <v>8.78922638854949</v>
      </c>
      <c r="G234" s="20" t="n">
        <f aca="false">9-F234</f>
        <v>0.210773611450513</v>
      </c>
      <c r="H234" s="20" t="n">
        <f aca="false">IF(G234&gt;=1,G234,0)</f>
        <v>0</v>
      </c>
      <c r="I234" s="5" t="s">
        <v>74</v>
      </c>
      <c r="J234" s="5" t="s">
        <v>636</v>
      </c>
    </row>
    <row r="235" customFormat="false" ht="15" hidden="false" customHeight="false" outlineLevel="0" collapsed="false">
      <c r="A235" s="5" t="s">
        <v>212</v>
      </c>
      <c r="B235" s="5" t="s">
        <v>169</v>
      </c>
      <c r="C235" s="5" t="n">
        <v>40</v>
      </c>
      <c r="D235" s="5" t="s">
        <v>611</v>
      </c>
      <c r="E235" s="5" t="n">
        <v>6</v>
      </c>
      <c r="F235" s="20" t="n">
        <v>8.78922638854948</v>
      </c>
      <c r="G235" s="20" t="n">
        <f aca="false">9-F235</f>
        <v>0.21077361145052</v>
      </c>
      <c r="H235" s="20" t="n">
        <f aca="false">IF(G235&gt;=1,G235,0)</f>
        <v>0</v>
      </c>
      <c r="I235" s="5" t="s">
        <v>74</v>
      </c>
      <c r="J235" s="5" t="s">
        <v>637</v>
      </c>
    </row>
    <row r="236" customFormat="false" ht="15" hidden="false" customHeight="false" outlineLevel="0" collapsed="false">
      <c r="A236" s="5" t="s">
        <v>212</v>
      </c>
      <c r="B236" s="5" t="s">
        <v>169</v>
      </c>
      <c r="C236" s="5" t="n">
        <v>41</v>
      </c>
      <c r="D236" s="5" t="s">
        <v>611</v>
      </c>
      <c r="E236" s="5" t="n">
        <v>6</v>
      </c>
      <c r="F236" s="20" t="n">
        <v>8.78922638854948</v>
      </c>
      <c r="G236" s="20" t="n">
        <f aca="false">9-F236</f>
        <v>0.210773611450525</v>
      </c>
      <c r="H236" s="20" t="n">
        <f aca="false">IF(G236&gt;=1,G236,0)</f>
        <v>0</v>
      </c>
      <c r="I236" s="5" t="s">
        <v>74</v>
      </c>
      <c r="J236" s="5" t="s">
        <v>638</v>
      </c>
    </row>
    <row r="237" customFormat="false" ht="15" hidden="false" customHeight="false" outlineLevel="0" collapsed="false">
      <c r="A237" s="5" t="s">
        <v>212</v>
      </c>
      <c r="B237" s="5" t="s">
        <v>169</v>
      </c>
      <c r="C237" s="5" t="n">
        <v>42</v>
      </c>
      <c r="D237" s="5" t="s">
        <v>611</v>
      </c>
      <c r="E237" s="5" t="n">
        <v>6</v>
      </c>
      <c r="F237" s="20" t="n">
        <v>8.78922638854948</v>
      </c>
      <c r="G237" s="20" t="n">
        <f aca="false">9-F237</f>
        <v>0.210773611450525</v>
      </c>
      <c r="H237" s="20" t="n">
        <f aca="false">IF(G237&gt;=1,G237,0)</f>
        <v>0</v>
      </c>
      <c r="I237" s="5" t="s">
        <v>74</v>
      </c>
      <c r="J237" s="5" t="s">
        <v>638</v>
      </c>
    </row>
    <row r="238" customFormat="false" ht="15" hidden="false" customHeight="false" outlineLevel="0" collapsed="false">
      <c r="A238" s="5" t="s">
        <v>212</v>
      </c>
      <c r="B238" s="5" t="s">
        <v>169</v>
      </c>
      <c r="C238" s="5" t="n">
        <v>43</v>
      </c>
      <c r="D238" s="5" t="s">
        <v>611</v>
      </c>
      <c r="E238" s="5" t="n">
        <v>6</v>
      </c>
      <c r="F238" s="20" t="n">
        <v>8.78922638854947</v>
      </c>
      <c r="G238" s="20" t="n">
        <f aca="false">9-F238</f>
        <v>0.210773611450527</v>
      </c>
      <c r="H238" s="20" t="n">
        <f aca="false">IF(G238&gt;=1,G238,0)</f>
        <v>0</v>
      </c>
      <c r="I238" s="5" t="s">
        <v>74</v>
      </c>
      <c r="J238" s="5" t="s">
        <v>639</v>
      </c>
    </row>
    <row r="239" customFormat="false" ht="15" hidden="false" customHeight="false" outlineLevel="0" collapsed="false">
      <c r="A239" s="5" t="s">
        <v>212</v>
      </c>
      <c r="B239" s="5" t="s">
        <v>169</v>
      </c>
      <c r="C239" s="5" t="n">
        <v>44</v>
      </c>
      <c r="D239" s="5" t="s">
        <v>611</v>
      </c>
      <c r="E239" s="5" t="n">
        <v>6</v>
      </c>
      <c r="F239" s="20" t="n">
        <v>8.78922638854947</v>
      </c>
      <c r="G239" s="20" t="n">
        <f aca="false">9-F239</f>
        <v>0.210773611450527</v>
      </c>
      <c r="H239" s="20" t="n">
        <f aca="false">IF(G239&gt;=1,G239,0)</f>
        <v>0</v>
      </c>
      <c r="I239" s="5" t="s">
        <v>74</v>
      </c>
      <c r="J239" s="5" t="s">
        <v>640</v>
      </c>
    </row>
    <row r="240" customFormat="false" ht="15" hidden="false" customHeight="false" outlineLevel="0" collapsed="false">
      <c r="A240" s="5" t="s">
        <v>212</v>
      </c>
      <c r="B240" s="5" t="s">
        <v>169</v>
      </c>
      <c r="C240" s="5" t="n">
        <v>45</v>
      </c>
      <c r="D240" s="5" t="s">
        <v>611</v>
      </c>
      <c r="E240" s="5" t="n">
        <v>6</v>
      </c>
      <c r="F240" s="20" t="n">
        <v>8.78922638854947</v>
      </c>
      <c r="G240" s="20" t="n">
        <f aca="false">9-F240</f>
        <v>0.210773611450527</v>
      </c>
      <c r="H240" s="20" t="n">
        <f aca="false">IF(G240&gt;=1,G240,0)</f>
        <v>0</v>
      </c>
      <c r="I240" s="5" t="s">
        <v>74</v>
      </c>
      <c r="J240" s="5" t="s">
        <v>640</v>
      </c>
    </row>
    <row r="241" customFormat="false" ht="15" hidden="false" customHeight="false" outlineLevel="0" collapsed="false">
      <c r="A241" s="5" t="s">
        <v>212</v>
      </c>
      <c r="B241" s="5" t="s">
        <v>169</v>
      </c>
      <c r="C241" s="5" t="n">
        <v>46</v>
      </c>
      <c r="D241" s="5" t="s">
        <v>611</v>
      </c>
      <c r="E241" s="5" t="n">
        <v>6</v>
      </c>
      <c r="F241" s="20" t="n">
        <v>8.78922638854946</v>
      </c>
      <c r="G241" s="20" t="n">
        <f aca="false">9-F241</f>
        <v>0.210773611450541</v>
      </c>
      <c r="H241" s="20" t="n">
        <f aca="false">IF(G241&gt;=1,G241,0)</f>
        <v>0</v>
      </c>
      <c r="I241" s="5" t="s">
        <v>74</v>
      </c>
      <c r="J241" s="5" t="s">
        <v>641</v>
      </c>
    </row>
    <row r="242" customFormat="false" ht="15" hidden="false" customHeight="false" outlineLevel="0" collapsed="false">
      <c r="A242" s="5" t="s">
        <v>212</v>
      </c>
      <c r="B242" s="5" t="s">
        <v>169</v>
      </c>
      <c r="C242" s="5" t="n">
        <v>47</v>
      </c>
      <c r="D242" s="5" t="s">
        <v>611</v>
      </c>
      <c r="E242" s="5" t="n">
        <v>6</v>
      </c>
      <c r="F242" s="20" t="n">
        <v>8.78922638854946</v>
      </c>
      <c r="G242" s="20" t="n">
        <f aca="false">9-F242</f>
        <v>0.210773611450541</v>
      </c>
      <c r="H242" s="20" t="n">
        <f aca="false">IF(G242&gt;=1,G242,0)</f>
        <v>0</v>
      </c>
      <c r="I242" s="5" t="s">
        <v>74</v>
      </c>
      <c r="J242" s="5" t="s">
        <v>641</v>
      </c>
    </row>
    <row r="243" customFormat="false" ht="15" hidden="false" customHeight="false" outlineLevel="0" collapsed="false">
      <c r="A243" s="5" t="s">
        <v>212</v>
      </c>
      <c r="B243" s="5" t="s">
        <v>169</v>
      </c>
      <c r="C243" s="5" t="n">
        <v>48</v>
      </c>
      <c r="D243" s="5" t="s">
        <v>611</v>
      </c>
      <c r="E243" s="5" t="n">
        <v>6</v>
      </c>
      <c r="F243" s="20" t="n">
        <v>8.78922638854946</v>
      </c>
      <c r="G243" s="20" t="n">
        <f aca="false">9-F243</f>
        <v>0.210773611450541</v>
      </c>
      <c r="H243" s="20" t="n">
        <f aca="false">IF(G243&gt;=1,G243,0)</f>
        <v>0</v>
      </c>
      <c r="I243" s="5" t="s">
        <v>74</v>
      </c>
      <c r="J243" s="5" t="s">
        <v>642</v>
      </c>
    </row>
    <row r="244" customFormat="false" ht="15" hidden="false" customHeight="false" outlineLevel="0" collapsed="false">
      <c r="A244" s="5" t="s">
        <v>212</v>
      </c>
      <c r="B244" s="5" t="s">
        <v>169</v>
      </c>
      <c r="C244" s="5" t="n">
        <v>49</v>
      </c>
      <c r="D244" s="5" t="s">
        <v>611</v>
      </c>
      <c r="E244" s="5" t="n">
        <v>6</v>
      </c>
      <c r="F244" s="20" t="n">
        <v>8.78922638854946</v>
      </c>
      <c r="G244" s="20" t="n">
        <f aca="false">9-F244</f>
        <v>0.210773611450541</v>
      </c>
      <c r="H244" s="20" t="n">
        <f aca="false">IF(G244&gt;=1,G244,0)</f>
        <v>0</v>
      </c>
      <c r="I244" s="5" t="s">
        <v>74</v>
      </c>
      <c r="J244" s="5" t="s">
        <v>643</v>
      </c>
    </row>
    <row r="245" customFormat="false" ht="15" hidden="false" customHeight="false" outlineLevel="0" collapsed="false">
      <c r="A245" s="5" t="s">
        <v>212</v>
      </c>
      <c r="B245" s="5" t="s">
        <v>169</v>
      </c>
      <c r="C245" s="5" t="n">
        <v>50</v>
      </c>
      <c r="D245" s="5" t="s">
        <v>611</v>
      </c>
      <c r="E245" s="5" t="n">
        <v>6</v>
      </c>
      <c r="F245" s="20" t="n">
        <v>8.78922638854946</v>
      </c>
      <c r="G245" s="20" t="n">
        <f aca="false">9-F245</f>
        <v>0.210773611450541</v>
      </c>
      <c r="H245" s="20" t="n">
        <f aca="false">IF(G245&gt;=1,G245,0)</f>
        <v>0</v>
      </c>
      <c r="I245" s="5" t="s">
        <v>74</v>
      </c>
      <c r="J245" s="5" t="s">
        <v>643</v>
      </c>
    </row>
    <row r="246" customFormat="false" ht="15" hidden="false" customHeight="false" outlineLevel="0" collapsed="false">
      <c r="A246" s="5" t="s">
        <v>212</v>
      </c>
      <c r="B246" s="5" t="s">
        <v>169</v>
      </c>
      <c r="C246" s="5" t="n">
        <v>51</v>
      </c>
      <c r="D246" s="5" t="s">
        <v>644</v>
      </c>
      <c r="E246" s="5" t="n">
        <v>7</v>
      </c>
      <c r="F246" s="20" t="n">
        <v>8.81122058040696</v>
      </c>
      <c r="G246" s="20" t="n">
        <f aca="false">9-F246</f>
        <v>0.188779419593038</v>
      </c>
      <c r="H246" s="20" t="n">
        <f aca="false">IF(G246&gt;=1,G246,0)</f>
        <v>0</v>
      </c>
      <c r="I246" s="5" t="s">
        <v>74</v>
      </c>
      <c r="J246" s="5" t="s">
        <v>645</v>
      </c>
    </row>
    <row r="247" customFormat="false" ht="15" hidden="false" customHeight="false" outlineLevel="0" collapsed="false">
      <c r="A247" s="5" t="s">
        <v>212</v>
      </c>
      <c r="B247" s="5" t="s">
        <v>169</v>
      </c>
      <c r="C247" s="5" t="n">
        <v>52</v>
      </c>
      <c r="D247" s="5" t="s">
        <v>646</v>
      </c>
      <c r="E247" s="5" t="n">
        <v>9</v>
      </c>
      <c r="F247" s="20" t="n">
        <v>8.74742272671741</v>
      </c>
      <c r="G247" s="20" t="n">
        <f aca="false">9-F247</f>
        <v>0.252577273282595</v>
      </c>
      <c r="H247" s="20" t="n">
        <f aca="false">IF(G247&gt;=1,G247,0)</f>
        <v>0</v>
      </c>
      <c r="I247" s="5" t="s">
        <v>74</v>
      </c>
      <c r="J247" s="5" t="s">
        <v>647</v>
      </c>
    </row>
    <row r="248" customFormat="false" ht="15" hidden="false" customHeight="false" outlineLevel="0" collapsed="false">
      <c r="A248" s="5" t="s">
        <v>212</v>
      </c>
      <c r="B248" s="5" t="s">
        <v>169</v>
      </c>
      <c r="C248" s="5" t="n">
        <v>53</v>
      </c>
      <c r="D248" s="5" t="s">
        <v>646</v>
      </c>
      <c r="E248" s="5" t="n">
        <v>9</v>
      </c>
      <c r="F248" s="20" t="n">
        <v>8.74742272671739</v>
      </c>
      <c r="G248" s="20" t="n">
        <f aca="false">9-F248</f>
        <v>0.252577273282606</v>
      </c>
      <c r="H248" s="20" t="n">
        <f aca="false">IF(G248&gt;=1,G248,0)</f>
        <v>0</v>
      </c>
      <c r="I248" s="5" t="s">
        <v>74</v>
      </c>
      <c r="J248" s="5" t="s">
        <v>648</v>
      </c>
    </row>
    <row r="249" customFormat="false" ht="15" hidden="false" customHeight="false" outlineLevel="0" collapsed="false">
      <c r="A249" s="5" t="s">
        <v>212</v>
      </c>
      <c r="B249" s="5" t="s">
        <v>169</v>
      </c>
      <c r="C249" s="5" t="n">
        <v>54</v>
      </c>
      <c r="D249" s="5" t="s">
        <v>646</v>
      </c>
      <c r="E249" s="5" t="n">
        <v>9</v>
      </c>
      <c r="F249" s="20" t="n">
        <v>8.74742272671738</v>
      </c>
      <c r="G249" s="20" t="n">
        <f aca="false">9-F249</f>
        <v>0.252577273282617</v>
      </c>
      <c r="H249" s="20" t="n">
        <f aca="false">IF(G249&gt;=1,G249,0)</f>
        <v>0</v>
      </c>
      <c r="I249" s="5" t="s">
        <v>74</v>
      </c>
      <c r="J249" s="5" t="s">
        <v>649</v>
      </c>
    </row>
    <row r="250" customFormat="false" ht="15" hidden="false" customHeight="false" outlineLevel="0" collapsed="false">
      <c r="A250" s="5" t="s">
        <v>212</v>
      </c>
      <c r="B250" s="5" t="s">
        <v>169</v>
      </c>
      <c r="C250" s="5" t="n">
        <v>55</v>
      </c>
      <c r="D250" s="5" t="s">
        <v>646</v>
      </c>
      <c r="E250" s="5" t="n">
        <v>9</v>
      </c>
      <c r="F250" s="20" t="n">
        <v>8.74742272671736</v>
      </c>
      <c r="G250" s="20" t="n">
        <f aca="false">9-F250</f>
        <v>0.252577273282643</v>
      </c>
      <c r="H250" s="20" t="n">
        <f aca="false">IF(G250&gt;=1,G250,0)</f>
        <v>0</v>
      </c>
      <c r="I250" s="5" t="s">
        <v>74</v>
      </c>
      <c r="J250" s="5" t="s">
        <v>650</v>
      </c>
    </row>
    <row r="251" customFormat="false" ht="15" hidden="false" customHeight="false" outlineLevel="0" collapsed="false">
      <c r="A251" s="5" t="s">
        <v>212</v>
      </c>
      <c r="B251" s="5" t="s">
        <v>169</v>
      </c>
      <c r="C251" s="5" t="n">
        <v>56</v>
      </c>
      <c r="D251" s="5" t="s">
        <v>646</v>
      </c>
      <c r="E251" s="5" t="n">
        <v>9</v>
      </c>
      <c r="F251" s="20" t="n">
        <v>8.74742272671736</v>
      </c>
      <c r="G251" s="20" t="n">
        <f aca="false">9-F251</f>
        <v>0.252577273282645</v>
      </c>
      <c r="H251" s="20" t="n">
        <f aca="false">IF(G251&gt;=1,G251,0)</f>
        <v>0</v>
      </c>
      <c r="I251" s="5" t="s">
        <v>74</v>
      </c>
      <c r="J251" s="5" t="s">
        <v>651</v>
      </c>
    </row>
    <row r="252" customFormat="false" ht="15" hidden="false" customHeight="false" outlineLevel="0" collapsed="false">
      <c r="A252" s="5" t="s">
        <v>212</v>
      </c>
      <c r="B252" s="5" t="s">
        <v>169</v>
      </c>
      <c r="C252" s="5" t="n">
        <v>57</v>
      </c>
      <c r="D252" s="5" t="s">
        <v>646</v>
      </c>
      <c r="E252" s="5" t="n">
        <v>9</v>
      </c>
      <c r="F252" s="20" t="n">
        <v>8.74742272671735</v>
      </c>
      <c r="G252" s="20" t="n">
        <f aca="false">9-F252</f>
        <v>0.25257727328265</v>
      </c>
      <c r="H252" s="20" t="n">
        <f aca="false">IF(G252&gt;=1,G252,0)</f>
        <v>0</v>
      </c>
      <c r="I252" s="5" t="s">
        <v>74</v>
      </c>
      <c r="J252" s="5" t="s">
        <v>652</v>
      </c>
    </row>
    <row r="253" customFormat="false" ht="15" hidden="false" customHeight="false" outlineLevel="0" collapsed="false">
      <c r="A253" s="5" t="s">
        <v>212</v>
      </c>
      <c r="B253" s="5" t="s">
        <v>169</v>
      </c>
      <c r="C253" s="5" t="n">
        <v>58</v>
      </c>
      <c r="D253" s="5" t="s">
        <v>646</v>
      </c>
      <c r="E253" s="5" t="n">
        <v>9</v>
      </c>
      <c r="F253" s="20" t="n">
        <v>8.74742272671735</v>
      </c>
      <c r="G253" s="20" t="n">
        <f aca="false">9-F253</f>
        <v>0.252577273282652</v>
      </c>
      <c r="H253" s="20" t="n">
        <f aca="false">IF(G253&gt;=1,G253,0)</f>
        <v>0</v>
      </c>
      <c r="I253" s="5" t="s">
        <v>74</v>
      </c>
      <c r="J253" s="5" t="s">
        <v>653</v>
      </c>
    </row>
    <row r="254" customFormat="false" ht="15" hidden="false" customHeight="false" outlineLevel="0" collapsed="false">
      <c r="A254" s="5" t="s">
        <v>212</v>
      </c>
      <c r="B254" s="5" t="s">
        <v>169</v>
      </c>
      <c r="C254" s="5" t="n">
        <v>59</v>
      </c>
      <c r="D254" s="5" t="s">
        <v>646</v>
      </c>
      <c r="E254" s="5" t="n">
        <v>9</v>
      </c>
      <c r="F254" s="20" t="n">
        <v>8.74742272671734</v>
      </c>
      <c r="G254" s="20" t="n">
        <f aca="false">9-F254</f>
        <v>0.252577273282656</v>
      </c>
      <c r="H254" s="20" t="n">
        <f aca="false">IF(G254&gt;=1,G254,0)</f>
        <v>0</v>
      </c>
      <c r="I254" s="5" t="s">
        <v>74</v>
      </c>
      <c r="J254" s="5" t="s">
        <v>654</v>
      </c>
    </row>
    <row r="255" customFormat="false" ht="15" hidden="false" customHeight="false" outlineLevel="0" collapsed="false">
      <c r="A255" s="5" t="s">
        <v>212</v>
      </c>
      <c r="B255" s="5" t="s">
        <v>169</v>
      </c>
      <c r="C255" s="5" t="n">
        <v>60</v>
      </c>
      <c r="D255" s="5" t="s">
        <v>646</v>
      </c>
      <c r="E255" s="5" t="n">
        <v>9</v>
      </c>
      <c r="F255" s="20" t="n">
        <v>8.74742272671734</v>
      </c>
      <c r="G255" s="20" t="n">
        <f aca="false">9-F255</f>
        <v>0.252577273282663</v>
      </c>
      <c r="H255" s="20" t="n">
        <f aca="false">IF(G255&gt;=1,G255,0)</f>
        <v>0</v>
      </c>
      <c r="I255" s="5" t="s">
        <v>74</v>
      </c>
      <c r="J255" s="5" t="s">
        <v>655</v>
      </c>
    </row>
    <row r="256" customFormat="false" ht="15" hidden="false" customHeight="false" outlineLevel="0" collapsed="false">
      <c r="A256" s="5" t="s">
        <v>212</v>
      </c>
      <c r="B256" s="5" t="s">
        <v>169</v>
      </c>
      <c r="C256" s="5" t="n">
        <v>61</v>
      </c>
      <c r="D256" s="5" t="s">
        <v>646</v>
      </c>
      <c r="E256" s="5" t="n">
        <v>9</v>
      </c>
      <c r="F256" s="20" t="n">
        <v>8.74742272671733</v>
      </c>
      <c r="G256" s="20" t="n">
        <f aca="false">9-F256</f>
        <v>0.252577273282673</v>
      </c>
      <c r="H256" s="20" t="n">
        <f aca="false">IF(G256&gt;=1,G256,0)</f>
        <v>0</v>
      </c>
      <c r="I256" s="5" t="s">
        <v>74</v>
      </c>
      <c r="J256" s="5" t="s">
        <v>656</v>
      </c>
    </row>
    <row r="257" customFormat="false" ht="15" hidden="false" customHeight="false" outlineLevel="0" collapsed="false">
      <c r="A257" s="5" t="s">
        <v>212</v>
      </c>
      <c r="B257" s="5" t="s">
        <v>169</v>
      </c>
      <c r="C257" s="5" t="n">
        <v>62</v>
      </c>
      <c r="D257" s="5" t="s">
        <v>646</v>
      </c>
      <c r="E257" s="5" t="n">
        <v>9</v>
      </c>
      <c r="F257" s="20" t="n">
        <v>8.74742272671732</v>
      </c>
      <c r="G257" s="20" t="n">
        <f aca="false">9-F257</f>
        <v>0.252577273282677</v>
      </c>
      <c r="H257" s="20" t="n">
        <f aca="false">IF(G257&gt;=1,G257,0)</f>
        <v>0</v>
      </c>
      <c r="I257" s="5" t="s">
        <v>74</v>
      </c>
      <c r="J257" s="5" t="s">
        <v>657</v>
      </c>
    </row>
    <row r="258" customFormat="false" ht="15" hidden="false" customHeight="false" outlineLevel="0" collapsed="false">
      <c r="A258" s="5" t="s">
        <v>212</v>
      </c>
      <c r="B258" s="5" t="s">
        <v>169</v>
      </c>
      <c r="C258" s="5" t="n">
        <v>63</v>
      </c>
      <c r="D258" s="5" t="s">
        <v>646</v>
      </c>
      <c r="E258" s="5" t="n">
        <v>9</v>
      </c>
      <c r="F258" s="20" t="n">
        <v>8.74742272671732</v>
      </c>
      <c r="G258" s="20" t="n">
        <f aca="false">9-F258</f>
        <v>0.252577273282684</v>
      </c>
      <c r="H258" s="20" t="n">
        <f aca="false">IF(G258&gt;=1,G258,0)</f>
        <v>0</v>
      </c>
      <c r="I258" s="5" t="s">
        <v>74</v>
      </c>
      <c r="J258" s="5" t="s">
        <v>658</v>
      </c>
    </row>
    <row r="259" customFormat="false" ht="15" hidden="false" customHeight="false" outlineLevel="0" collapsed="false">
      <c r="A259" s="5" t="s">
        <v>212</v>
      </c>
      <c r="B259" s="5" t="s">
        <v>169</v>
      </c>
      <c r="C259" s="5" t="n">
        <v>64</v>
      </c>
      <c r="D259" s="5" t="s">
        <v>646</v>
      </c>
      <c r="E259" s="5" t="n">
        <v>9</v>
      </c>
      <c r="F259" s="20" t="n">
        <v>8.74742272671731</v>
      </c>
      <c r="G259" s="20" t="n">
        <f aca="false">9-F259</f>
        <v>0.252577273282688</v>
      </c>
      <c r="H259" s="20" t="n">
        <f aca="false">IF(G259&gt;=1,G259,0)</f>
        <v>0</v>
      </c>
      <c r="I259" s="5" t="s">
        <v>74</v>
      </c>
      <c r="J259" s="5" t="s">
        <v>659</v>
      </c>
    </row>
    <row r="260" customFormat="false" ht="15" hidden="false" customHeight="false" outlineLevel="0" collapsed="false">
      <c r="A260" s="5" t="s">
        <v>212</v>
      </c>
      <c r="B260" s="5" t="s">
        <v>169</v>
      </c>
      <c r="C260" s="5" t="n">
        <v>65</v>
      </c>
      <c r="D260" s="5" t="s">
        <v>646</v>
      </c>
      <c r="E260" s="5" t="n">
        <v>9</v>
      </c>
      <c r="F260" s="20" t="n">
        <v>8.74742272671731</v>
      </c>
      <c r="G260" s="20" t="n">
        <f aca="false">9-F260</f>
        <v>0.252577273282689</v>
      </c>
      <c r="H260" s="20" t="n">
        <f aca="false">IF(G260&gt;=1,G260,0)</f>
        <v>0</v>
      </c>
      <c r="I260" s="5" t="s">
        <v>74</v>
      </c>
      <c r="J260" s="5" t="s">
        <v>660</v>
      </c>
    </row>
    <row r="261" customFormat="false" ht="15" hidden="false" customHeight="false" outlineLevel="0" collapsed="false">
      <c r="A261" s="5" t="s">
        <v>212</v>
      </c>
      <c r="B261" s="5" t="s">
        <v>169</v>
      </c>
      <c r="C261" s="5" t="n">
        <v>66</v>
      </c>
      <c r="D261" s="5" t="s">
        <v>646</v>
      </c>
      <c r="E261" s="5" t="n">
        <v>9</v>
      </c>
      <c r="F261" s="20" t="n">
        <v>8.74742272671731</v>
      </c>
      <c r="G261" s="20" t="n">
        <f aca="false">9-F261</f>
        <v>0.252577273282691</v>
      </c>
      <c r="H261" s="20" t="n">
        <f aca="false">IF(G261&gt;=1,G261,0)</f>
        <v>0</v>
      </c>
      <c r="I261" s="5" t="s">
        <v>74</v>
      </c>
      <c r="J261" s="5" t="s">
        <v>661</v>
      </c>
    </row>
    <row r="262" customFormat="false" ht="15" hidden="false" customHeight="false" outlineLevel="0" collapsed="false">
      <c r="A262" s="5" t="s">
        <v>212</v>
      </c>
      <c r="B262" s="5" t="s">
        <v>169</v>
      </c>
      <c r="C262" s="5" t="n">
        <v>67</v>
      </c>
      <c r="D262" s="5" t="s">
        <v>662</v>
      </c>
      <c r="E262" s="5" t="n">
        <v>11</v>
      </c>
      <c r="F262" s="20" t="n">
        <v>8.73078686819319</v>
      </c>
      <c r="G262" s="20" t="n">
        <f aca="false">9-F262</f>
        <v>0.269213131806811</v>
      </c>
      <c r="H262" s="20" t="n">
        <f aca="false">IF(G262&gt;=1,G262,0)</f>
        <v>0</v>
      </c>
      <c r="I262" s="5" t="s">
        <v>74</v>
      </c>
      <c r="J262" s="5" t="s">
        <v>663</v>
      </c>
    </row>
    <row r="263" customFormat="false" ht="15" hidden="false" customHeight="false" outlineLevel="0" collapsed="false">
      <c r="A263" s="5" t="s">
        <v>212</v>
      </c>
      <c r="B263" s="5" t="s">
        <v>169</v>
      </c>
      <c r="C263" s="5" t="n">
        <v>68</v>
      </c>
      <c r="D263" s="5" t="s">
        <v>664</v>
      </c>
      <c r="E263" s="5" t="n">
        <v>13</v>
      </c>
      <c r="F263" s="20" t="n">
        <v>8.74110391374032</v>
      </c>
      <c r="G263" s="20" t="n">
        <f aca="false">9-F263</f>
        <v>0.258896086259677</v>
      </c>
      <c r="H263" s="20" t="n">
        <f aca="false">IF(G263&gt;=1,G263,0)</f>
        <v>0</v>
      </c>
      <c r="I263" s="5" t="s">
        <v>74</v>
      </c>
      <c r="J263" s="5" t="s">
        <v>665</v>
      </c>
    </row>
    <row r="264" customFormat="false" ht="15" hidden="false" customHeight="false" outlineLevel="0" collapsed="false">
      <c r="A264" s="5" t="s">
        <v>212</v>
      </c>
      <c r="B264" s="5" t="s">
        <v>169</v>
      </c>
      <c r="C264" s="5" t="n">
        <v>69</v>
      </c>
      <c r="D264" s="5" t="s">
        <v>664</v>
      </c>
      <c r="E264" s="5" t="n">
        <v>13</v>
      </c>
      <c r="F264" s="20" t="n">
        <v>8.74110391374032</v>
      </c>
      <c r="G264" s="20" t="n">
        <f aca="false">9-F264</f>
        <v>0.258896086259682</v>
      </c>
      <c r="H264" s="20" t="n">
        <f aca="false">IF(G264&gt;=1,G264,0)</f>
        <v>0</v>
      </c>
      <c r="I264" s="5" t="s">
        <v>74</v>
      </c>
      <c r="J264" s="5" t="s">
        <v>666</v>
      </c>
    </row>
    <row r="265" customFormat="false" ht="15" hidden="false" customHeight="false" outlineLevel="0" collapsed="false">
      <c r="A265" s="5" t="s">
        <v>212</v>
      </c>
      <c r="B265" s="5" t="s">
        <v>169</v>
      </c>
      <c r="C265" s="5" t="n">
        <v>70</v>
      </c>
      <c r="D265" s="5" t="s">
        <v>664</v>
      </c>
      <c r="E265" s="5" t="n">
        <v>13</v>
      </c>
      <c r="F265" s="20" t="n">
        <v>8.74110391374031</v>
      </c>
      <c r="G265" s="20" t="n">
        <f aca="false">9-F265</f>
        <v>0.258896086259686</v>
      </c>
      <c r="H265" s="20" t="n">
        <f aca="false">IF(G265&gt;=1,G265,0)</f>
        <v>0</v>
      </c>
      <c r="I265" s="5" t="s">
        <v>74</v>
      </c>
      <c r="J265" s="5" t="s">
        <v>667</v>
      </c>
    </row>
    <row r="266" customFormat="false" ht="15" hidden="false" customHeight="false" outlineLevel="0" collapsed="false">
      <c r="A266" s="5" t="s">
        <v>212</v>
      </c>
      <c r="B266" s="5" t="s">
        <v>169</v>
      </c>
      <c r="C266" s="5" t="n">
        <v>71</v>
      </c>
      <c r="D266" s="5" t="s">
        <v>664</v>
      </c>
      <c r="E266" s="5" t="n">
        <v>13</v>
      </c>
      <c r="F266" s="20" t="n">
        <v>8.74110391374031</v>
      </c>
      <c r="G266" s="20" t="n">
        <f aca="false">9-F266</f>
        <v>0.258896086259686</v>
      </c>
      <c r="H266" s="20" t="n">
        <f aca="false">IF(G266&gt;=1,G266,0)</f>
        <v>0</v>
      </c>
      <c r="I266" s="5" t="s">
        <v>74</v>
      </c>
      <c r="J266" s="5" t="s">
        <v>668</v>
      </c>
    </row>
    <row r="267" customFormat="false" ht="15" hidden="false" customHeight="false" outlineLevel="0" collapsed="false">
      <c r="A267" s="5" t="s">
        <v>212</v>
      </c>
      <c r="B267" s="5" t="s">
        <v>169</v>
      </c>
      <c r="C267" s="5" t="n">
        <v>72</v>
      </c>
      <c r="D267" s="5" t="s">
        <v>664</v>
      </c>
      <c r="E267" s="5" t="n">
        <v>13</v>
      </c>
      <c r="F267" s="20" t="n">
        <v>8.74110391374031</v>
      </c>
      <c r="G267" s="20" t="n">
        <f aca="false">9-F267</f>
        <v>0.258896086259686</v>
      </c>
      <c r="H267" s="20" t="n">
        <f aca="false">IF(G267&gt;=1,G267,0)</f>
        <v>0</v>
      </c>
      <c r="I267" s="5" t="s">
        <v>74</v>
      </c>
      <c r="J267" s="5" t="s">
        <v>669</v>
      </c>
    </row>
    <row r="268" customFormat="false" ht="15" hidden="false" customHeight="false" outlineLevel="0" collapsed="false">
      <c r="A268" s="5" t="s">
        <v>212</v>
      </c>
      <c r="B268" s="5" t="s">
        <v>169</v>
      </c>
      <c r="C268" s="5" t="n">
        <v>73</v>
      </c>
      <c r="D268" s="5" t="s">
        <v>664</v>
      </c>
      <c r="E268" s="5" t="n">
        <v>13</v>
      </c>
      <c r="F268" s="20" t="n">
        <v>8.74110391374031</v>
      </c>
      <c r="G268" s="20" t="n">
        <f aca="false">9-F268</f>
        <v>0.258896086259686</v>
      </c>
      <c r="H268" s="20" t="n">
        <f aca="false">IF(G268&gt;=1,G268,0)</f>
        <v>0</v>
      </c>
      <c r="I268" s="5" t="s">
        <v>74</v>
      </c>
      <c r="J268" s="5" t="s">
        <v>670</v>
      </c>
    </row>
    <row r="269" customFormat="false" ht="15" hidden="false" customHeight="false" outlineLevel="0" collapsed="false">
      <c r="A269" s="5" t="s">
        <v>212</v>
      </c>
      <c r="B269" s="5" t="s">
        <v>169</v>
      </c>
      <c r="C269" s="5" t="n">
        <v>74</v>
      </c>
      <c r="D269" s="5" t="s">
        <v>664</v>
      </c>
      <c r="E269" s="5" t="n">
        <v>13</v>
      </c>
      <c r="F269" s="20" t="n">
        <v>8.74110391374031</v>
      </c>
      <c r="G269" s="20" t="n">
        <f aca="false">9-F269</f>
        <v>0.258896086259686</v>
      </c>
      <c r="H269" s="20" t="n">
        <f aca="false">IF(G269&gt;=1,G269,0)</f>
        <v>0</v>
      </c>
      <c r="I269" s="5" t="s">
        <v>74</v>
      </c>
      <c r="J269" s="5" t="s">
        <v>671</v>
      </c>
    </row>
    <row r="270" customFormat="false" ht="15" hidden="false" customHeight="false" outlineLevel="0" collapsed="false">
      <c r="A270" s="5" t="s">
        <v>212</v>
      </c>
      <c r="B270" s="5" t="s">
        <v>169</v>
      </c>
      <c r="C270" s="5" t="n">
        <v>75</v>
      </c>
      <c r="D270" s="5" t="s">
        <v>672</v>
      </c>
      <c r="E270" s="5" t="n">
        <v>20</v>
      </c>
      <c r="F270" s="20" t="n">
        <v>8.76030025190821</v>
      </c>
      <c r="G270" s="20" t="n">
        <f aca="false">9-F270</f>
        <v>0.239699748091795</v>
      </c>
      <c r="H270" s="20" t="n">
        <f aca="false">IF(G270&gt;=1,G270,0)</f>
        <v>0</v>
      </c>
      <c r="I270" s="5" t="s">
        <v>74</v>
      </c>
      <c r="J270" s="5" t="s">
        <v>673</v>
      </c>
    </row>
    <row r="271" customFormat="false" ht="15" hidden="false" customHeight="false" outlineLevel="0" collapsed="false">
      <c r="A271" s="5" t="s">
        <v>212</v>
      </c>
      <c r="B271" s="5" t="s">
        <v>169</v>
      </c>
      <c r="C271" s="5" t="n">
        <v>76</v>
      </c>
      <c r="D271" s="5" t="s">
        <v>674</v>
      </c>
      <c r="E271" s="5" t="n">
        <v>22</v>
      </c>
      <c r="F271" s="20" t="n">
        <v>8.63585277709904</v>
      </c>
      <c r="G271" s="20" t="n">
        <f aca="false">9-F271</f>
        <v>0.364147222900964</v>
      </c>
      <c r="H271" s="20" t="n">
        <f aca="false">IF(G271&gt;=1,G271,0)</f>
        <v>0</v>
      </c>
      <c r="I271" s="5" t="s">
        <v>74</v>
      </c>
      <c r="J271" s="5" t="s">
        <v>675</v>
      </c>
    </row>
    <row r="272" customFormat="false" ht="15" hidden="false" customHeight="false" outlineLevel="0" collapsed="false">
      <c r="A272" s="5" t="s">
        <v>212</v>
      </c>
      <c r="B272" s="5" t="s">
        <v>169</v>
      </c>
      <c r="C272" s="5" t="n">
        <v>77</v>
      </c>
      <c r="D272" s="5" t="s">
        <v>674</v>
      </c>
      <c r="E272" s="5" t="n">
        <v>22</v>
      </c>
      <c r="F272" s="20" t="n">
        <v>8.63585277709904</v>
      </c>
      <c r="G272" s="20" t="n">
        <f aca="false">9-F272</f>
        <v>0.364147222900964</v>
      </c>
      <c r="H272" s="20" t="n">
        <f aca="false">IF(G272&gt;=1,G272,0)</f>
        <v>0</v>
      </c>
      <c r="I272" s="5" t="s">
        <v>74</v>
      </c>
      <c r="J272" s="5" t="s">
        <v>676</v>
      </c>
    </row>
    <row r="273" customFormat="false" ht="15" hidden="false" customHeight="false" outlineLevel="0" collapsed="false">
      <c r="A273" s="5" t="s">
        <v>212</v>
      </c>
      <c r="B273" s="5" t="s">
        <v>169</v>
      </c>
      <c r="C273" s="5" t="n">
        <v>78</v>
      </c>
      <c r="D273" s="5" t="s">
        <v>674</v>
      </c>
      <c r="E273" s="5" t="n">
        <v>22</v>
      </c>
      <c r="F273" s="20" t="n">
        <v>8.63585277709904</v>
      </c>
      <c r="G273" s="20" t="n">
        <f aca="false">9-F273</f>
        <v>0.364147222900964</v>
      </c>
      <c r="H273" s="20" t="n">
        <f aca="false">IF(G273&gt;=1,G273,0)</f>
        <v>0</v>
      </c>
      <c r="I273" s="5" t="s">
        <v>74</v>
      </c>
      <c r="J273" s="5" t="s">
        <v>677</v>
      </c>
    </row>
    <row r="274" customFormat="false" ht="15" hidden="false" customHeight="false" outlineLevel="0" collapsed="false">
      <c r="A274" s="5" t="s">
        <v>212</v>
      </c>
      <c r="B274" s="5" t="s">
        <v>169</v>
      </c>
      <c r="C274" s="5" t="n">
        <v>79</v>
      </c>
      <c r="D274" s="5" t="s">
        <v>674</v>
      </c>
      <c r="E274" s="5" t="n">
        <v>22</v>
      </c>
      <c r="F274" s="20" t="n">
        <v>8.63585277709904</v>
      </c>
      <c r="G274" s="20" t="n">
        <f aca="false">9-F274</f>
        <v>0.364147222900964</v>
      </c>
      <c r="H274" s="20" t="n">
        <f aca="false">IF(G274&gt;=1,G274,0)</f>
        <v>0</v>
      </c>
      <c r="I274" s="5" t="s">
        <v>74</v>
      </c>
      <c r="J274" s="5" t="s">
        <v>678</v>
      </c>
    </row>
    <row r="275" customFormat="false" ht="15" hidden="false" customHeight="false" outlineLevel="0" collapsed="false">
      <c r="A275" s="5" t="s">
        <v>212</v>
      </c>
      <c r="B275" s="5" t="s">
        <v>169</v>
      </c>
      <c r="C275" s="5" t="n">
        <v>80</v>
      </c>
      <c r="D275" s="5" t="s">
        <v>674</v>
      </c>
      <c r="E275" s="5" t="n">
        <v>22</v>
      </c>
      <c r="F275" s="20" t="n">
        <v>8.63585277709904</v>
      </c>
      <c r="G275" s="20" t="n">
        <f aca="false">9-F275</f>
        <v>0.364147222900964</v>
      </c>
      <c r="H275" s="20" t="n">
        <f aca="false">IF(G275&gt;=1,G275,0)</f>
        <v>0</v>
      </c>
      <c r="I275" s="5" t="s">
        <v>74</v>
      </c>
      <c r="J275" s="5" t="s">
        <v>679</v>
      </c>
    </row>
    <row r="276" customFormat="false" ht="15" hidden="false" customHeight="false" outlineLevel="0" collapsed="false">
      <c r="A276" s="5" t="s">
        <v>212</v>
      </c>
      <c r="B276" s="5" t="s">
        <v>169</v>
      </c>
      <c r="C276" s="5" t="n">
        <v>81</v>
      </c>
      <c r="D276" s="5" t="s">
        <v>674</v>
      </c>
      <c r="E276" s="5" t="n">
        <v>22</v>
      </c>
      <c r="F276" s="20" t="n">
        <v>8.63585277709904</v>
      </c>
      <c r="G276" s="20" t="n">
        <f aca="false">9-F276</f>
        <v>0.364147222900964</v>
      </c>
      <c r="H276" s="20" t="n">
        <f aca="false">IF(G276&gt;=1,G276,0)</f>
        <v>0</v>
      </c>
      <c r="I276" s="5" t="s">
        <v>74</v>
      </c>
      <c r="J276" s="5" t="s">
        <v>680</v>
      </c>
    </row>
    <row r="277" customFormat="false" ht="15" hidden="false" customHeight="false" outlineLevel="0" collapsed="false">
      <c r="A277" s="5" t="s">
        <v>212</v>
      </c>
      <c r="B277" s="5" t="s">
        <v>169</v>
      </c>
      <c r="C277" s="5" t="n">
        <v>82</v>
      </c>
      <c r="D277" s="5" t="s">
        <v>674</v>
      </c>
      <c r="E277" s="5" t="n">
        <v>22</v>
      </c>
      <c r="F277" s="20" t="n">
        <v>8.63585277709904</v>
      </c>
      <c r="G277" s="20" t="n">
        <f aca="false">9-F277</f>
        <v>0.364147222900964</v>
      </c>
      <c r="H277" s="20" t="n">
        <f aca="false">IF(G277&gt;=1,G277,0)</f>
        <v>0</v>
      </c>
      <c r="I277" s="5" t="s">
        <v>74</v>
      </c>
      <c r="J277" s="5" t="s">
        <v>681</v>
      </c>
    </row>
    <row r="278" customFormat="false" ht="15" hidden="false" customHeight="false" outlineLevel="0" collapsed="false">
      <c r="A278" s="5" t="s">
        <v>212</v>
      </c>
      <c r="B278" s="5" t="s">
        <v>169</v>
      </c>
      <c r="C278" s="5" t="n">
        <v>83</v>
      </c>
      <c r="D278" s="5" t="s">
        <v>674</v>
      </c>
      <c r="E278" s="5" t="n">
        <v>22</v>
      </c>
      <c r="F278" s="20" t="n">
        <v>8.63585277709904</v>
      </c>
      <c r="G278" s="20" t="n">
        <f aca="false">9-F278</f>
        <v>0.364147222900964</v>
      </c>
      <c r="H278" s="20" t="n">
        <f aca="false">IF(G278&gt;=1,G278,0)</f>
        <v>0</v>
      </c>
      <c r="I278" s="5" t="s">
        <v>74</v>
      </c>
      <c r="J278" s="5" t="s">
        <v>682</v>
      </c>
    </row>
    <row r="279" customFormat="false" ht="15" hidden="false" customHeight="false" outlineLevel="0" collapsed="false">
      <c r="A279" s="5" t="s">
        <v>212</v>
      </c>
      <c r="B279" s="5" t="s">
        <v>169</v>
      </c>
      <c r="C279" s="5" t="n">
        <v>84</v>
      </c>
      <c r="D279" s="5" t="s">
        <v>674</v>
      </c>
      <c r="E279" s="5" t="n">
        <v>22</v>
      </c>
      <c r="F279" s="20" t="n">
        <v>8.63585277709904</v>
      </c>
      <c r="G279" s="20" t="n">
        <f aca="false">9-F279</f>
        <v>0.364147222900964</v>
      </c>
      <c r="H279" s="20" t="n">
        <f aca="false">IF(G279&gt;=1,G279,0)</f>
        <v>0</v>
      </c>
      <c r="I279" s="5" t="s">
        <v>74</v>
      </c>
      <c r="J279" s="5" t="s">
        <v>683</v>
      </c>
    </row>
    <row r="280" customFormat="false" ht="15" hidden="false" customHeight="false" outlineLevel="0" collapsed="false">
      <c r="A280" s="5" t="s">
        <v>212</v>
      </c>
      <c r="B280" s="5" t="s">
        <v>170</v>
      </c>
      <c r="C280" s="5" t="n">
        <v>1</v>
      </c>
      <c r="D280" s="5" t="s">
        <v>684</v>
      </c>
      <c r="E280" s="5" t="n">
        <v>2</v>
      </c>
      <c r="F280" s="20" t="n">
        <v>7.39279379345207</v>
      </c>
      <c r="G280" s="20" t="n">
        <f aca="false">9-F280</f>
        <v>1.60720620654793</v>
      </c>
      <c r="H280" s="20" t="n">
        <f aca="false">IF(G280&gt;=1,G280,0)</f>
        <v>1.60720620654793</v>
      </c>
      <c r="I280" s="5" t="s">
        <v>74</v>
      </c>
      <c r="J280" s="5" t="s">
        <v>685</v>
      </c>
    </row>
    <row r="281" customFormat="false" ht="15" hidden="false" customHeight="false" outlineLevel="0" collapsed="false">
      <c r="A281" s="5" t="s">
        <v>212</v>
      </c>
      <c r="B281" s="5" t="s">
        <v>170</v>
      </c>
      <c r="C281" s="5" t="n">
        <v>2</v>
      </c>
      <c r="D281" s="5" t="s">
        <v>686</v>
      </c>
      <c r="E281" s="5" t="n">
        <v>2</v>
      </c>
      <c r="F281" s="20" t="n">
        <v>7.37079379345206</v>
      </c>
      <c r="G281" s="20" t="n">
        <f aca="false">9-F281</f>
        <v>1.62920620654794</v>
      </c>
      <c r="H281" s="20" t="n">
        <f aca="false">IF(G281&gt;=1,G281,0)</f>
        <v>1.62920620654794</v>
      </c>
      <c r="I281" s="5" t="s">
        <v>74</v>
      </c>
      <c r="J281" s="5" t="s">
        <v>687</v>
      </c>
    </row>
    <row r="282" customFormat="false" ht="15" hidden="false" customHeight="false" outlineLevel="0" collapsed="false">
      <c r="A282" s="5" t="s">
        <v>212</v>
      </c>
      <c r="B282" s="5" t="s">
        <v>170</v>
      </c>
      <c r="C282" s="5" t="n">
        <v>3</v>
      </c>
      <c r="D282" s="5" t="s">
        <v>688</v>
      </c>
      <c r="E282" s="5" t="n">
        <v>2</v>
      </c>
      <c r="F282" s="20" t="n">
        <v>7.34879379345207</v>
      </c>
      <c r="G282" s="20" t="n">
        <f aca="false">9-F282</f>
        <v>1.65120620654793</v>
      </c>
      <c r="H282" s="20" t="n">
        <f aca="false">IF(G282&gt;=1,G282,0)</f>
        <v>1.65120620654793</v>
      </c>
      <c r="I282" s="5" t="s">
        <v>74</v>
      </c>
      <c r="J282" s="5" t="s">
        <v>689</v>
      </c>
    </row>
    <row r="283" customFormat="false" ht="15" hidden="false" customHeight="false" outlineLevel="0" collapsed="false">
      <c r="A283" s="5" t="s">
        <v>212</v>
      </c>
      <c r="B283" s="5" t="s">
        <v>170</v>
      </c>
      <c r="C283" s="5" t="n">
        <v>4</v>
      </c>
      <c r="D283" s="5" t="s">
        <v>688</v>
      </c>
      <c r="E283" s="5" t="n">
        <v>2</v>
      </c>
      <c r="F283" s="20" t="n">
        <v>7.34879379345207</v>
      </c>
      <c r="G283" s="20" t="n">
        <f aca="false">9-F283</f>
        <v>1.65120620654793</v>
      </c>
      <c r="H283" s="20" t="n">
        <f aca="false">IF(G283&gt;=1,G283,0)</f>
        <v>1.65120620654793</v>
      </c>
      <c r="I283" s="5" t="s">
        <v>74</v>
      </c>
      <c r="J283" s="5" t="s">
        <v>690</v>
      </c>
    </row>
    <row r="284" customFormat="false" ht="15" hidden="false" customHeight="false" outlineLevel="0" collapsed="false">
      <c r="A284" s="5" t="s">
        <v>212</v>
      </c>
      <c r="B284" s="5" t="s">
        <v>170</v>
      </c>
      <c r="C284" s="5" t="n">
        <v>5</v>
      </c>
      <c r="D284" s="5" t="s">
        <v>688</v>
      </c>
      <c r="E284" s="5" t="n">
        <v>2</v>
      </c>
      <c r="F284" s="20" t="n">
        <v>7.34879379345207</v>
      </c>
      <c r="G284" s="20" t="n">
        <f aca="false">9-F284</f>
        <v>1.65120620654793</v>
      </c>
      <c r="H284" s="20" t="n">
        <f aca="false">IF(G284&gt;=1,G284,0)</f>
        <v>1.65120620654793</v>
      </c>
      <c r="I284" s="5" t="s">
        <v>74</v>
      </c>
      <c r="J284" s="5" t="s">
        <v>691</v>
      </c>
    </row>
    <row r="285" customFormat="false" ht="15" hidden="false" customHeight="false" outlineLevel="0" collapsed="false">
      <c r="A285" s="5" t="s">
        <v>212</v>
      </c>
      <c r="B285" s="5" t="s">
        <v>170</v>
      </c>
      <c r="C285" s="5" t="n">
        <v>6</v>
      </c>
      <c r="D285" s="5" t="s">
        <v>688</v>
      </c>
      <c r="E285" s="5" t="n">
        <v>2</v>
      </c>
      <c r="F285" s="20" t="n">
        <v>7.34879379345207</v>
      </c>
      <c r="G285" s="20" t="n">
        <f aca="false">9-F285</f>
        <v>1.65120620654793</v>
      </c>
      <c r="H285" s="20" t="n">
        <f aca="false">IF(G285&gt;=1,G285,0)</f>
        <v>1.65120620654793</v>
      </c>
      <c r="I285" s="5" t="s">
        <v>74</v>
      </c>
      <c r="J285" s="5" t="s">
        <v>692</v>
      </c>
    </row>
    <row r="286" customFormat="false" ht="15" hidden="false" customHeight="false" outlineLevel="0" collapsed="false">
      <c r="A286" s="5" t="s">
        <v>212</v>
      </c>
      <c r="B286" s="5" t="s">
        <v>170</v>
      </c>
      <c r="C286" s="5" t="n">
        <v>7</v>
      </c>
      <c r="D286" s="5" t="s">
        <v>688</v>
      </c>
      <c r="E286" s="5" t="n">
        <v>2</v>
      </c>
      <c r="F286" s="20" t="n">
        <v>7.34879379345207</v>
      </c>
      <c r="G286" s="20" t="n">
        <f aca="false">9-F286</f>
        <v>1.65120620654793</v>
      </c>
      <c r="H286" s="20" t="n">
        <f aca="false">IF(G286&gt;=1,G286,0)</f>
        <v>1.65120620654793</v>
      </c>
      <c r="I286" s="5" t="s">
        <v>74</v>
      </c>
      <c r="J286" s="5" t="s">
        <v>693</v>
      </c>
    </row>
    <row r="287" customFormat="false" ht="15" hidden="false" customHeight="false" outlineLevel="0" collapsed="false">
      <c r="A287" s="5" t="s">
        <v>212</v>
      </c>
      <c r="B287" s="5" t="s">
        <v>170</v>
      </c>
      <c r="C287" s="5" t="n">
        <v>8</v>
      </c>
      <c r="D287" s="5" t="s">
        <v>688</v>
      </c>
      <c r="E287" s="5" t="n">
        <v>2</v>
      </c>
      <c r="F287" s="20" t="n">
        <v>7.34879379345207</v>
      </c>
      <c r="G287" s="20" t="n">
        <f aca="false">9-F287</f>
        <v>1.65120620654793</v>
      </c>
      <c r="H287" s="20" t="n">
        <f aca="false">IF(G287&gt;=1,G287,0)</f>
        <v>1.65120620654793</v>
      </c>
      <c r="I287" s="5" t="s">
        <v>74</v>
      </c>
      <c r="J287" s="5" t="s">
        <v>694</v>
      </c>
    </row>
    <row r="288" customFormat="false" ht="15" hidden="false" customHeight="false" outlineLevel="0" collapsed="false">
      <c r="A288" s="5" t="s">
        <v>212</v>
      </c>
      <c r="B288" s="5" t="s">
        <v>170</v>
      </c>
      <c r="C288" s="5" t="n">
        <v>9</v>
      </c>
      <c r="D288" s="5" t="s">
        <v>688</v>
      </c>
      <c r="E288" s="5" t="n">
        <v>2</v>
      </c>
      <c r="F288" s="20" t="n">
        <v>7.34879379345207</v>
      </c>
      <c r="G288" s="20" t="n">
        <f aca="false">9-F288</f>
        <v>1.65120620654793</v>
      </c>
      <c r="H288" s="20" t="n">
        <f aca="false">IF(G288&gt;=1,G288,0)</f>
        <v>1.65120620654793</v>
      </c>
      <c r="I288" s="5" t="s">
        <v>74</v>
      </c>
      <c r="J288" s="5" t="s">
        <v>695</v>
      </c>
    </row>
    <row r="289" customFormat="false" ht="15" hidden="false" customHeight="false" outlineLevel="0" collapsed="false">
      <c r="A289" s="5" t="s">
        <v>212</v>
      </c>
      <c r="B289" s="5" t="s">
        <v>170</v>
      </c>
      <c r="C289" s="5" t="n">
        <v>10</v>
      </c>
      <c r="D289" s="5" t="s">
        <v>688</v>
      </c>
      <c r="E289" s="5" t="n">
        <v>2</v>
      </c>
      <c r="F289" s="20" t="n">
        <v>7.34879379345206</v>
      </c>
      <c r="G289" s="20" t="n">
        <f aca="false">9-F289</f>
        <v>1.65120620654794</v>
      </c>
      <c r="H289" s="20" t="n">
        <f aca="false">IF(G289&gt;=1,G289,0)</f>
        <v>1.65120620654794</v>
      </c>
      <c r="I289" s="5" t="s">
        <v>74</v>
      </c>
      <c r="J289" s="5" t="s">
        <v>696</v>
      </c>
    </row>
    <row r="290" customFormat="false" ht="15" hidden="false" customHeight="false" outlineLevel="0" collapsed="false">
      <c r="A290" s="5" t="s">
        <v>212</v>
      </c>
      <c r="B290" s="5" t="s">
        <v>171</v>
      </c>
      <c r="C290" s="5" t="n">
        <v>1</v>
      </c>
      <c r="D290" s="5" t="s">
        <v>697</v>
      </c>
      <c r="E290" s="5" t="n">
        <v>2</v>
      </c>
      <c r="F290" s="20" t="n">
        <v>7.63325474181509</v>
      </c>
      <c r="G290" s="20" t="n">
        <f aca="false">9-F290</f>
        <v>1.36674525818491</v>
      </c>
      <c r="H290" s="20" t="n">
        <f aca="false">IF(G290&gt;=1,G290,0)</f>
        <v>1.36674525818491</v>
      </c>
      <c r="I290" s="5" t="s">
        <v>74</v>
      </c>
      <c r="J290" s="5" t="s">
        <v>698</v>
      </c>
    </row>
    <row r="291" customFormat="false" ht="15" hidden="false" customHeight="false" outlineLevel="0" collapsed="false">
      <c r="A291" s="5" t="s">
        <v>212</v>
      </c>
      <c r="B291" s="5" t="s">
        <v>171</v>
      </c>
      <c r="C291" s="5" t="n">
        <v>2</v>
      </c>
      <c r="D291" s="5" t="s">
        <v>697</v>
      </c>
      <c r="E291" s="5" t="n">
        <v>2</v>
      </c>
      <c r="F291" s="20" t="n">
        <v>7.63325474181509</v>
      </c>
      <c r="G291" s="20" t="n">
        <f aca="false">9-F291</f>
        <v>1.36674525818491</v>
      </c>
      <c r="H291" s="20" t="n">
        <f aca="false">IF(G291&gt;=1,G291,0)</f>
        <v>1.36674525818491</v>
      </c>
      <c r="I291" s="5" t="s">
        <v>74</v>
      </c>
      <c r="J291" s="5" t="s">
        <v>699</v>
      </c>
    </row>
    <row r="292" customFormat="false" ht="15" hidden="false" customHeight="false" outlineLevel="0" collapsed="false">
      <c r="A292" s="5" t="s">
        <v>212</v>
      </c>
      <c r="B292" s="5" t="s">
        <v>171</v>
      </c>
      <c r="C292" s="5" t="n">
        <v>3</v>
      </c>
      <c r="D292" s="5" t="s">
        <v>697</v>
      </c>
      <c r="E292" s="5" t="n">
        <v>2</v>
      </c>
      <c r="F292" s="20" t="n">
        <v>7.63325474181509</v>
      </c>
      <c r="G292" s="20" t="n">
        <f aca="false">9-F292</f>
        <v>1.36674525818491</v>
      </c>
      <c r="H292" s="20" t="n">
        <f aca="false">IF(G292&gt;=1,G292,0)</f>
        <v>1.36674525818491</v>
      </c>
      <c r="I292" s="5" t="s">
        <v>74</v>
      </c>
      <c r="J292" s="5" t="s">
        <v>700</v>
      </c>
    </row>
    <row r="293" customFormat="false" ht="15" hidden="false" customHeight="false" outlineLevel="0" collapsed="false">
      <c r="A293" s="5" t="s">
        <v>212</v>
      </c>
      <c r="B293" s="5" t="s">
        <v>171</v>
      </c>
      <c r="C293" s="5" t="n">
        <v>4</v>
      </c>
      <c r="D293" s="5" t="s">
        <v>697</v>
      </c>
      <c r="E293" s="5" t="n">
        <v>2</v>
      </c>
      <c r="F293" s="20" t="n">
        <v>7.63325474181509</v>
      </c>
      <c r="G293" s="20" t="n">
        <f aca="false">9-F293</f>
        <v>1.36674525818491</v>
      </c>
      <c r="H293" s="20" t="n">
        <f aca="false">IF(G293&gt;=1,G293,0)</f>
        <v>1.36674525818491</v>
      </c>
      <c r="I293" s="5" t="s">
        <v>74</v>
      </c>
      <c r="J293" s="5" t="s">
        <v>701</v>
      </c>
    </row>
    <row r="294" customFormat="false" ht="15" hidden="false" customHeight="false" outlineLevel="0" collapsed="false">
      <c r="A294" s="5" t="s">
        <v>212</v>
      </c>
      <c r="B294" s="5" t="s">
        <v>171</v>
      </c>
      <c r="C294" s="5" t="n">
        <v>5</v>
      </c>
      <c r="D294" s="5" t="s">
        <v>697</v>
      </c>
      <c r="E294" s="5" t="n">
        <v>2</v>
      </c>
      <c r="F294" s="20" t="n">
        <v>7.63325474181509</v>
      </c>
      <c r="G294" s="20" t="n">
        <f aca="false">9-F294</f>
        <v>1.36674525818491</v>
      </c>
      <c r="H294" s="20" t="n">
        <f aca="false">IF(G294&gt;=1,G294,0)</f>
        <v>1.36674525818491</v>
      </c>
      <c r="I294" s="5" t="s">
        <v>74</v>
      </c>
      <c r="J294" s="5" t="s">
        <v>702</v>
      </c>
    </row>
    <row r="295" customFormat="false" ht="15" hidden="false" customHeight="false" outlineLevel="0" collapsed="false">
      <c r="A295" s="5" t="s">
        <v>212</v>
      </c>
      <c r="B295" s="5" t="s">
        <v>171</v>
      </c>
      <c r="C295" s="5" t="n">
        <v>6</v>
      </c>
      <c r="D295" s="5" t="s">
        <v>697</v>
      </c>
      <c r="E295" s="5" t="n">
        <v>2</v>
      </c>
      <c r="F295" s="20" t="n">
        <v>7.63325474181509</v>
      </c>
      <c r="G295" s="20" t="n">
        <f aca="false">9-F295</f>
        <v>1.36674525818491</v>
      </c>
      <c r="H295" s="20" t="n">
        <f aca="false">IF(G295&gt;=1,G295,0)</f>
        <v>1.36674525818491</v>
      </c>
      <c r="I295" s="5" t="s">
        <v>74</v>
      </c>
      <c r="J295" s="5" t="s">
        <v>703</v>
      </c>
    </row>
    <row r="296" customFormat="false" ht="15" hidden="false" customHeight="false" outlineLevel="0" collapsed="false">
      <c r="A296" s="5" t="s">
        <v>212</v>
      </c>
      <c r="B296" s="5" t="s">
        <v>171</v>
      </c>
      <c r="C296" s="5" t="n">
        <v>7</v>
      </c>
      <c r="D296" s="5" t="s">
        <v>697</v>
      </c>
      <c r="E296" s="5" t="n">
        <v>2</v>
      </c>
      <c r="F296" s="20" t="n">
        <v>7.63325474181509</v>
      </c>
      <c r="G296" s="20" t="n">
        <f aca="false">9-F296</f>
        <v>1.36674525818491</v>
      </c>
      <c r="H296" s="20" t="n">
        <f aca="false">IF(G296&gt;=1,G296,0)</f>
        <v>1.36674525818491</v>
      </c>
      <c r="I296" s="5" t="s">
        <v>74</v>
      </c>
      <c r="J296" s="5" t="s">
        <v>704</v>
      </c>
    </row>
    <row r="297" customFormat="false" ht="15" hidden="false" customHeight="false" outlineLevel="0" collapsed="false">
      <c r="A297" s="5" t="s">
        <v>212</v>
      </c>
      <c r="B297" s="5" t="s">
        <v>171</v>
      </c>
      <c r="C297" s="5" t="n">
        <v>8</v>
      </c>
      <c r="D297" s="5" t="s">
        <v>697</v>
      </c>
      <c r="E297" s="5" t="n">
        <v>2</v>
      </c>
      <c r="F297" s="20" t="n">
        <v>7.63325474181509</v>
      </c>
      <c r="G297" s="20" t="n">
        <f aca="false">9-F297</f>
        <v>1.36674525818491</v>
      </c>
      <c r="H297" s="20" t="n">
        <f aca="false">IF(G297&gt;=1,G297,0)</f>
        <v>1.36674525818491</v>
      </c>
      <c r="I297" s="5" t="s">
        <v>74</v>
      </c>
      <c r="J297" s="5" t="s">
        <v>705</v>
      </c>
    </row>
    <row r="298" customFormat="false" ht="15" hidden="false" customHeight="false" outlineLevel="0" collapsed="false">
      <c r="A298" s="5" t="s">
        <v>212</v>
      </c>
      <c r="B298" s="5" t="s">
        <v>171</v>
      </c>
      <c r="C298" s="5" t="n">
        <v>9</v>
      </c>
      <c r="D298" s="5" t="s">
        <v>697</v>
      </c>
      <c r="E298" s="5" t="n">
        <v>2</v>
      </c>
      <c r="F298" s="20" t="n">
        <v>7.63325474181509</v>
      </c>
      <c r="G298" s="20" t="n">
        <f aca="false">9-F298</f>
        <v>1.36674525818491</v>
      </c>
      <c r="H298" s="20" t="n">
        <f aca="false">IF(G298&gt;=1,G298,0)</f>
        <v>1.36674525818491</v>
      </c>
      <c r="I298" s="5" t="s">
        <v>74</v>
      </c>
      <c r="J298" s="5" t="s">
        <v>706</v>
      </c>
    </row>
    <row r="299" customFormat="false" ht="15" hidden="false" customHeight="false" outlineLevel="0" collapsed="false">
      <c r="A299" s="5" t="s">
        <v>212</v>
      </c>
      <c r="B299" s="5" t="s">
        <v>171</v>
      </c>
      <c r="C299" s="5" t="n">
        <v>10</v>
      </c>
      <c r="D299" s="5" t="s">
        <v>697</v>
      </c>
      <c r="E299" s="5" t="n">
        <v>2</v>
      </c>
      <c r="F299" s="20" t="n">
        <v>7.63325474181509</v>
      </c>
      <c r="G299" s="20" t="n">
        <f aca="false">9-F299</f>
        <v>1.36674525818491</v>
      </c>
      <c r="H299" s="20" t="n">
        <f aca="false">IF(G299&gt;=1,G299,0)</f>
        <v>1.36674525818491</v>
      </c>
      <c r="I299" s="5" t="s">
        <v>74</v>
      </c>
      <c r="J299" s="5" t="s">
        <v>707</v>
      </c>
    </row>
    <row r="300" customFormat="false" ht="15" hidden="false" customHeight="false" outlineLevel="0" collapsed="false">
      <c r="A300" s="5" t="s">
        <v>212</v>
      </c>
      <c r="B300" s="5" t="s">
        <v>171</v>
      </c>
      <c r="C300" s="5" t="n">
        <v>11</v>
      </c>
      <c r="D300" s="5" t="s">
        <v>697</v>
      </c>
      <c r="E300" s="5" t="n">
        <v>2</v>
      </c>
      <c r="F300" s="20" t="n">
        <v>7.63325474181509</v>
      </c>
      <c r="G300" s="20" t="n">
        <f aca="false">9-F300</f>
        <v>1.36674525818491</v>
      </c>
      <c r="H300" s="20" t="n">
        <f aca="false">IF(G300&gt;=1,G300,0)</f>
        <v>1.36674525818491</v>
      </c>
      <c r="I300" s="5" t="s">
        <v>74</v>
      </c>
      <c r="J300" s="5" t="s">
        <v>708</v>
      </c>
    </row>
    <row r="301" customFormat="false" ht="15" hidden="false" customHeight="false" outlineLevel="0" collapsed="false">
      <c r="A301" s="5" t="s">
        <v>212</v>
      </c>
      <c r="B301" s="5" t="s">
        <v>171</v>
      </c>
      <c r="C301" s="5" t="n">
        <v>12</v>
      </c>
      <c r="D301" s="5" t="s">
        <v>697</v>
      </c>
      <c r="E301" s="5" t="n">
        <v>2</v>
      </c>
      <c r="F301" s="20" t="n">
        <v>7.63325474181509</v>
      </c>
      <c r="G301" s="20" t="n">
        <f aca="false">9-F301</f>
        <v>1.36674525818492</v>
      </c>
      <c r="H301" s="20" t="n">
        <f aca="false">IF(G301&gt;=1,G301,0)</f>
        <v>1.36674525818492</v>
      </c>
      <c r="I301" s="5" t="s">
        <v>74</v>
      </c>
      <c r="J301" s="5" t="s">
        <v>709</v>
      </c>
    </row>
    <row r="302" customFormat="false" ht="15" hidden="false" customHeight="false" outlineLevel="0" collapsed="false">
      <c r="A302" s="5" t="s">
        <v>212</v>
      </c>
      <c r="B302" s="5" t="s">
        <v>171</v>
      </c>
      <c r="C302" s="5" t="n">
        <v>13</v>
      </c>
      <c r="D302" s="5" t="s">
        <v>697</v>
      </c>
      <c r="E302" s="5" t="n">
        <v>2</v>
      </c>
      <c r="F302" s="20" t="n">
        <v>7.63325474181509</v>
      </c>
      <c r="G302" s="20" t="n">
        <f aca="false">9-F302</f>
        <v>1.36674525818492</v>
      </c>
      <c r="H302" s="20" t="n">
        <f aca="false">IF(G302&gt;=1,G302,0)</f>
        <v>1.36674525818492</v>
      </c>
      <c r="I302" s="5" t="s">
        <v>74</v>
      </c>
      <c r="J302" s="5" t="s">
        <v>710</v>
      </c>
    </row>
    <row r="303" customFormat="false" ht="15" hidden="false" customHeight="false" outlineLevel="0" collapsed="false">
      <c r="A303" s="5" t="s">
        <v>212</v>
      </c>
      <c r="B303" s="5" t="s">
        <v>171</v>
      </c>
      <c r="C303" s="5" t="n">
        <v>14</v>
      </c>
      <c r="D303" s="5" t="s">
        <v>697</v>
      </c>
      <c r="E303" s="5" t="n">
        <v>2</v>
      </c>
      <c r="F303" s="20" t="n">
        <v>7.63325474181508</v>
      </c>
      <c r="G303" s="20" t="n">
        <f aca="false">9-F303</f>
        <v>1.36674525818492</v>
      </c>
      <c r="H303" s="20" t="n">
        <f aca="false">IF(G303&gt;=1,G303,0)</f>
        <v>1.36674525818492</v>
      </c>
      <c r="I303" s="5" t="s">
        <v>74</v>
      </c>
      <c r="J303" s="5" t="s">
        <v>711</v>
      </c>
    </row>
    <row r="304" customFormat="false" ht="15" hidden="false" customHeight="false" outlineLevel="0" collapsed="false">
      <c r="A304" s="5" t="s">
        <v>212</v>
      </c>
      <c r="B304" s="5" t="s">
        <v>171</v>
      </c>
      <c r="C304" s="5" t="n">
        <v>15</v>
      </c>
      <c r="D304" s="5" t="s">
        <v>697</v>
      </c>
      <c r="E304" s="5" t="n">
        <v>2</v>
      </c>
      <c r="F304" s="20" t="n">
        <v>7.63325474181508</v>
      </c>
      <c r="G304" s="20" t="n">
        <f aca="false">9-F304</f>
        <v>1.36674525818492</v>
      </c>
      <c r="H304" s="20" t="n">
        <f aca="false">IF(G304&gt;=1,G304,0)</f>
        <v>1.36674525818492</v>
      </c>
      <c r="I304" s="5" t="s">
        <v>74</v>
      </c>
      <c r="J304" s="5" t="s">
        <v>712</v>
      </c>
    </row>
    <row r="305" customFormat="false" ht="15" hidden="false" customHeight="false" outlineLevel="0" collapsed="false">
      <c r="A305" s="5" t="s">
        <v>212</v>
      </c>
      <c r="B305" s="5" t="s">
        <v>171</v>
      </c>
      <c r="C305" s="5" t="n">
        <v>16</v>
      </c>
      <c r="D305" s="5" t="s">
        <v>697</v>
      </c>
      <c r="E305" s="5" t="n">
        <v>2</v>
      </c>
      <c r="F305" s="20" t="n">
        <v>7.63325474181508</v>
      </c>
      <c r="G305" s="20" t="n">
        <f aca="false">9-F305</f>
        <v>1.36674525818492</v>
      </c>
      <c r="H305" s="20" t="n">
        <f aca="false">IF(G305&gt;=1,G305,0)</f>
        <v>1.36674525818492</v>
      </c>
      <c r="I305" s="5" t="s">
        <v>74</v>
      </c>
      <c r="J305" s="5" t="s">
        <v>713</v>
      </c>
    </row>
    <row r="306" customFormat="false" ht="15" hidden="false" customHeight="false" outlineLevel="0" collapsed="false">
      <c r="A306" s="5" t="s">
        <v>212</v>
      </c>
      <c r="B306" s="5" t="s">
        <v>171</v>
      </c>
      <c r="C306" s="5" t="n">
        <v>17</v>
      </c>
      <c r="D306" s="5" t="s">
        <v>697</v>
      </c>
      <c r="E306" s="5" t="n">
        <v>2</v>
      </c>
      <c r="F306" s="20" t="n">
        <v>7.63325474181508</v>
      </c>
      <c r="G306" s="20" t="n">
        <f aca="false">9-F306</f>
        <v>1.36674525818492</v>
      </c>
      <c r="H306" s="20" t="n">
        <f aca="false">IF(G306&gt;=1,G306,0)</f>
        <v>1.36674525818492</v>
      </c>
      <c r="I306" s="5" t="s">
        <v>74</v>
      </c>
      <c r="J306" s="5" t="s">
        <v>714</v>
      </c>
    </row>
    <row r="307" customFormat="false" ht="15" hidden="false" customHeight="false" outlineLevel="0" collapsed="false">
      <c r="A307" s="5" t="s">
        <v>212</v>
      </c>
      <c r="B307" s="5" t="s">
        <v>171</v>
      </c>
      <c r="C307" s="5" t="n">
        <v>18</v>
      </c>
      <c r="D307" s="5" t="s">
        <v>697</v>
      </c>
      <c r="E307" s="5" t="n">
        <v>2</v>
      </c>
      <c r="F307" s="20" t="n">
        <v>7.63325474181508</v>
      </c>
      <c r="G307" s="20" t="n">
        <f aca="false">9-F307</f>
        <v>1.36674525818492</v>
      </c>
      <c r="H307" s="20" t="n">
        <f aca="false">IF(G307&gt;=1,G307,0)</f>
        <v>1.36674525818492</v>
      </c>
      <c r="I307" s="5" t="s">
        <v>74</v>
      </c>
      <c r="J307" s="5" t="s">
        <v>715</v>
      </c>
    </row>
    <row r="308" customFormat="false" ht="15" hidden="false" customHeight="false" outlineLevel="0" collapsed="false">
      <c r="A308" s="5" t="s">
        <v>212</v>
      </c>
      <c r="B308" s="5" t="s">
        <v>171</v>
      </c>
      <c r="C308" s="5" t="n">
        <v>19</v>
      </c>
      <c r="D308" s="5" t="s">
        <v>697</v>
      </c>
      <c r="E308" s="5" t="n">
        <v>2</v>
      </c>
      <c r="F308" s="20" t="n">
        <v>7.63325474181508</v>
      </c>
      <c r="G308" s="20" t="n">
        <f aca="false">9-F308</f>
        <v>1.36674525818492</v>
      </c>
      <c r="H308" s="20" t="n">
        <f aca="false">IF(G308&gt;=1,G308,0)</f>
        <v>1.36674525818492</v>
      </c>
      <c r="I308" s="5" t="s">
        <v>74</v>
      </c>
      <c r="J308" s="5" t="s">
        <v>716</v>
      </c>
    </row>
    <row r="309" customFormat="false" ht="15" hidden="false" customHeight="false" outlineLevel="0" collapsed="false">
      <c r="A309" s="5" t="s">
        <v>212</v>
      </c>
      <c r="B309" s="5" t="s">
        <v>171</v>
      </c>
      <c r="C309" s="5" t="n">
        <v>20</v>
      </c>
      <c r="D309" s="5" t="s">
        <v>697</v>
      </c>
      <c r="E309" s="5" t="n">
        <v>2</v>
      </c>
      <c r="F309" s="20" t="n">
        <v>7.63325474181508</v>
      </c>
      <c r="G309" s="20" t="n">
        <f aca="false">9-F309</f>
        <v>1.36674525818492</v>
      </c>
      <c r="H309" s="20" t="n">
        <f aca="false">IF(G309&gt;=1,G309,0)</f>
        <v>1.36674525818492</v>
      </c>
      <c r="I309" s="5" t="s">
        <v>74</v>
      </c>
      <c r="J309" s="5" t="s">
        <v>717</v>
      </c>
    </row>
    <row r="310" customFormat="false" ht="15" hidden="false" customHeight="false" outlineLevel="0" collapsed="false">
      <c r="A310" s="5" t="s">
        <v>212</v>
      </c>
      <c r="B310" s="5" t="s">
        <v>171</v>
      </c>
      <c r="C310" s="5" t="n">
        <v>21</v>
      </c>
      <c r="D310" s="5" t="s">
        <v>697</v>
      </c>
      <c r="E310" s="5" t="n">
        <v>2</v>
      </c>
      <c r="F310" s="20" t="n">
        <v>7.63325474181508</v>
      </c>
      <c r="G310" s="20" t="n">
        <f aca="false">9-F310</f>
        <v>1.36674525818492</v>
      </c>
      <c r="H310" s="20" t="n">
        <f aca="false">IF(G310&gt;=1,G310,0)</f>
        <v>1.36674525818492</v>
      </c>
      <c r="I310" s="5" t="s">
        <v>74</v>
      </c>
      <c r="J310" s="5" t="s">
        <v>718</v>
      </c>
    </row>
    <row r="311" customFormat="false" ht="15" hidden="false" customHeight="false" outlineLevel="0" collapsed="false">
      <c r="A311" s="5" t="s">
        <v>212</v>
      </c>
      <c r="B311" s="5" t="s">
        <v>171</v>
      </c>
      <c r="C311" s="5" t="n">
        <v>22</v>
      </c>
      <c r="D311" s="5" t="s">
        <v>697</v>
      </c>
      <c r="E311" s="5" t="n">
        <v>2</v>
      </c>
      <c r="F311" s="20" t="n">
        <v>7.63325474181508</v>
      </c>
      <c r="G311" s="20" t="n">
        <f aca="false">9-F311</f>
        <v>1.36674525818492</v>
      </c>
      <c r="H311" s="20" t="n">
        <f aca="false">IF(G311&gt;=1,G311,0)</f>
        <v>1.36674525818492</v>
      </c>
      <c r="I311" s="5" t="s">
        <v>74</v>
      </c>
      <c r="J311" s="5" t="s">
        <v>719</v>
      </c>
    </row>
    <row r="312" customFormat="false" ht="15" hidden="false" customHeight="false" outlineLevel="0" collapsed="false">
      <c r="A312" s="5" t="s">
        <v>212</v>
      </c>
      <c r="B312" s="5" t="s">
        <v>171</v>
      </c>
      <c r="C312" s="5" t="n">
        <v>23</v>
      </c>
      <c r="D312" s="5" t="s">
        <v>697</v>
      </c>
      <c r="E312" s="5" t="n">
        <v>2</v>
      </c>
      <c r="F312" s="20" t="n">
        <v>7.63325474181508</v>
      </c>
      <c r="G312" s="20" t="n">
        <f aca="false">9-F312</f>
        <v>1.36674525818492</v>
      </c>
      <c r="H312" s="20" t="n">
        <f aca="false">IF(G312&gt;=1,G312,0)</f>
        <v>1.36674525818492</v>
      </c>
      <c r="I312" s="5" t="s">
        <v>74</v>
      </c>
      <c r="J312" s="5" t="s">
        <v>720</v>
      </c>
    </row>
    <row r="313" customFormat="false" ht="15" hidden="false" customHeight="false" outlineLevel="0" collapsed="false">
      <c r="A313" s="5" t="s">
        <v>212</v>
      </c>
      <c r="B313" s="5" t="s">
        <v>171</v>
      </c>
      <c r="C313" s="5" t="n">
        <v>24</v>
      </c>
      <c r="D313" s="5" t="s">
        <v>697</v>
      </c>
      <c r="E313" s="5" t="n">
        <v>2</v>
      </c>
      <c r="F313" s="20" t="n">
        <v>7.63325474181508</v>
      </c>
      <c r="G313" s="20" t="n">
        <f aca="false">9-F313</f>
        <v>1.36674525818492</v>
      </c>
      <c r="H313" s="20" t="n">
        <f aca="false">IF(G313&gt;=1,G313,0)</f>
        <v>1.36674525818492</v>
      </c>
      <c r="I313" s="5" t="s">
        <v>74</v>
      </c>
      <c r="J313" s="5" t="s">
        <v>721</v>
      </c>
    </row>
    <row r="314" customFormat="false" ht="15" hidden="false" customHeight="false" outlineLevel="0" collapsed="false">
      <c r="A314" s="5" t="s">
        <v>212</v>
      </c>
      <c r="B314" s="5" t="s">
        <v>171</v>
      </c>
      <c r="C314" s="5" t="n">
        <v>25</v>
      </c>
      <c r="D314" s="5" t="s">
        <v>697</v>
      </c>
      <c r="E314" s="5" t="n">
        <v>2</v>
      </c>
      <c r="F314" s="20" t="n">
        <v>7.63325474181508</v>
      </c>
      <c r="G314" s="20" t="n">
        <f aca="false">9-F314</f>
        <v>1.36674525818492</v>
      </c>
      <c r="H314" s="20" t="n">
        <f aca="false">IF(G314&gt;=1,G314,0)</f>
        <v>1.36674525818492</v>
      </c>
      <c r="I314" s="5" t="s">
        <v>74</v>
      </c>
      <c r="J314" s="5" t="s">
        <v>722</v>
      </c>
    </row>
    <row r="315" customFormat="false" ht="15" hidden="false" customHeight="false" outlineLevel="0" collapsed="false">
      <c r="A315" s="5" t="s">
        <v>212</v>
      </c>
      <c r="B315" s="5" t="s">
        <v>171</v>
      </c>
      <c r="C315" s="5" t="n">
        <v>26</v>
      </c>
      <c r="D315" s="5" t="s">
        <v>697</v>
      </c>
      <c r="E315" s="5" t="n">
        <v>2</v>
      </c>
      <c r="F315" s="20" t="n">
        <v>7.63325474181508</v>
      </c>
      <c r="G315" s="20" t="n">
        <f aca="false">9-F315</f>
        <v>1.36674525818492</v>
      </c>
      <c r="H315" s="20" t="n">
        <f aca="false">IF(G315&gt;=1,G315,0)</f>
        <v>1.36674525818492</v>
      </c>
      <c r="I315" s="5" t="s">
        <v>74</v>
      </c>
      <c r="J315" s="5" t="s">
        <v>723</v>
      </c>
    </row>
    <row r="316" customFormat="false" ht="15" hidden="false" customHeight="false" outlineLevel="0" collapsed="false">
      <c r="A316" s="5" t="s">
        <v>212</v>
      </c>
      <c r="B316" s="5" t="s">
        <v>171</v>
      </c>
      <c r="C316" s="5" t="n">
        <v>27</v>
      </c>
      <c r="D316" s="5" t="s">
        <v>697</v>
      </c>
      <c r="E316" s="5" t="n">
        <v>2</v>
      </c>
      <c r="F316" s="20" t="n">
        <v>7.63325474181508</v>
      </c>
      <c r="G316" s="20" t="n">
        <f aca="false">9-F316</f>
        <v>1.36674525818492</v>
      </c>
      <c r="H316" s="20" t="n">
        <f aca="false">IF(G316&gt;=1,G316,0)</f>
        <v>1.36674525818492</v>
      </c>
      <c r="I316" s="5" t="s">
        <v>74</v>
      </c>
      <c r="J316" s="5" t="s">
        <v>724</v>
      </c>
    </row>
    <row r="317" customFormat="false" ht="15" hidden="false" customHeight="false" outlineLevel="0" collapsed="false">
      <c r="A317" s="5" t="s">
        <v>212</v>
      </c>
      <c r="B317" s="5" t="s">
        <v>171</v>
      </c>
      <c r="C317" s="5" t="n">
        <v>28</v>
      </c>
      <c r="D317" s="5" t="s">
        <v>697</v>
      </c>
      <c r="E317" s="5" t="n">
        <v>2</v>
      </c>
      <c r="F317" s="20" t="n">
        <v>7.63325474181508</v>
      </c>
      <c r="G317" s="20" t="n">
        <f aca="false">9-F317</f>
        <v>1.36674525818492</v>
      </c>
      <c r="H317" s="20" t="n">
        <f aca="false">IF(G317&gt;=1,G317,0)</f>
        <v>1.36674525818492</v>
      </c>
      <c r="I317" s="5" t="s">
        <v>74</v>
      </c>
      <c r="J317" s="5" t="s">
        <v>725</v>
      </c>
    </row>
    <row r="318" customFormat="false" ht="15" hidden="false" customHeight="false" outlineLevel="0" collapsed="false">
      <c r="A318" s="5" t="s">
        <v>212</v>
      </c>
      <c r="B318" s="5" t="s">
        <v>171</v>
      </c>
      <c r="C318" s="5" t="n">
        <v>29</v>
      </c>
      <c r="D318" s="5" t="s">
        <v>697</v>
      </c>
      <c r="E318" s="5" t="n">
        <v>2</v>
      </c>
      <c r="F318" s="20" t="n">
        <v>7.63325474181508</v>
      </c>
      <c r="G318" s="20" t="n">
        <f aca="false">9-F318</f>
        <v>1.36674525818492</v>
      </c>
      <c r="H318" s="20" t="n">
        <f aca="false">IF(G318&gt;=1,G318,0)</f>
        <v>1.36674525818492</v>
      </c>
      <c r="I318" s="5" t="s">
        <v>74</v>
      </c>
      <c r="J318" s="5" t="s">
        <v>726</v>
      </c>
    </row>
    <row r="319" customFormat="false" ht="15" hidden="false" customHeight="false" outlineLevel="0" collapsed="false">
      <c r="A319" s="5" t="s">
        <v>212</v>
      </c>
      <c r="B319" s="5" t="s">
        <v>171</v>
      </c>
      <c r="C319" s="5" t="n">
        <v>30</v>
      </c>
      <c r="D319" s="5" t="s">
        <v>697</v>
      </c>
      <c r="E319" s="5" t="n">
        <v>2</v>
      </c>
      <c r="F319" s="20" t="n">
        <v>7.63325474181508</v>
      </c>
      <c r="G319" s="20" t="n">
        <f aca="false">9-F319</f>
        <v>1.36674525818492</v>
      </c>
      <c r="H319" s="20" t="n">
        <f aca="false">IF(G319&gt;=1,G319,0)</f>
        <v>1.36674525818492</v>
      </c>
      <c r="I319" s="5" t="s">
        <v>74</v>
      </c>
      <c r="J319" s="5" t="s">
        <v>727</v>
      </c>
    </row>
    <row r="320" customFormat="false" ht="15" hidden="false" customHeight="false" outlineLevel="0" collapsed="false">
      <c r="A320" s="5" t="s">
        <v>212</v>
      </c>
      <c r="B320" s="5" t="s">
        <v>171</v>
      </c>
      <c r="C320" s="5" t="n">
        <v>31</v>
      </c>
      <c r="D320" s="5" t="s">
        <v>697</v>
      </c>
      <c r="E320" s="5" t="n">
        <v>2</v>
      </c>
      <c r="F320" s="20" t="n">
        <v>7.63325474181508</v>
      </c>
      <c r="G320" s="20" t="n">
        <f aca="false">9-F320</f>
        <v>1.36674525818492</v>
      </c>
      <c r="H320" s="20" t="n">
        <f aca="false">IF(G320&gt;=1,G320,0)</f>
        <v>1.36674525818492</v>
      </c>
      <c r="I320" s="5" t="s">
        <v>74</v>
      </c>
      <c r="J320" s="5" t="s">
        <v>728</v>
      </c>
    </row>
    <row r="321" customFormat="false" ht="15" hidden="false" customHeight="false" outlineLevel="0" collapsed="false">
      <c r="A321" s="5" t="s">
        <v>212</v>
      </c>
      <c r="B321" s="5" t="s">
        <v>171</v>
      </c>
      <c r="C321" s="5" t="n">
        <v>32</v>
      </c>
      <c r="D321" s="5" t="s">
        <v>697</v>
      </c>
      <c r="E321" s="5" t="n">
        <v>2</v>
      </c>
      <c r="F321" s="20" t="n">
        <v>7.63325474181508</v>
      </c>
      <c r="G321" s="20" t="n">
        <f aca="false">9-F321</f>
        <v>1.36674525818492</v>
      </c>
      <c r="H321" s="20" t="n">
        <f aca="false">IF(G321&gt;=1,G321,0)</f>
        <v>1.36674525818492</v>
      </c>
      <c r="I321" s="5" t="s">
        <v>74</v>
      </c>
      <c r="J321" s="5" t="s">
        <v>729</v>
      </c>
    </row>
    <row r="322" customFormat="false" ht="15" hidden="false" customHeight="false" outlineLevel="0" collapsed="false">
      <c r="A322" s="5" t="s">
        <v>212</v>
      </c>
      <c r="B322" s="5" t="s">
        <v>171</v>
      </c>
      <c r="C322" s="5" t="n">
        <v>33</v>
      </c>
      <c r="D322" s="5" t="s">
        <v>697</v>
      </c>
      <c r="E322" s="5" t="n">
        <v>2</v>
      </c>
      <c r="F322" s="20" t="n">
        <v>7.63325474181508</v>
      </c>
      <c r="G322" s="20" t="n">
        <f aca="false">9-F322</f>
        <v>1.36674525818492</v>
      </c>
      <c r="H322" s="20" t="n">
        <f aca="false">IF(G322&gt;=1,G322,0)</f>
        <v>1.36674525818492</v>
      </c>
      <c r="I322" s="5" t="s">
        <v>74</v>
      </c>
      <c r="J322" s="5" t="s">
        <v>730</v>
      </c>
    </row>
    <row r="323" customFormat="false" ht="15" hidden="false" customHeight="false" outlineLevel="0" collapsed="false">
      <c r="A323" s="5" t="s">
        <v>212</v>
      </c>
      <c r="B323" s="5" t="s">
        <v>171</v>
      </c>
      <c r="C323" s="5" t="n">
        <v>34</v>
      </c>
      <c r="D323" s="5" t="s">
        <v>697</v>
      </c>
      <c r="E323" s="5" t="n">
        <v>2</v>
      </c>
      <c r="F323" s="20" t="n">
        <v>7.63325474181508</v>
      </c>
      <c r="G323" s="20" t="n">
        <f aca="false">9-F323</f>
        <v>1.36674525818492</v>
      </c>
      <c r="H323" s="20" t="n">
        <f aca="false">IF(G323&gt;=1,G323,0)</f>
        <v>1.36674525818492</v>
      </c>
      <c r="I323" s="5" t="s">
        <v>74</v>
      </c>
      <c r="J323" s="5" t="s">
        <v>731</v>
      </c>
    </row>
    <row r="324" customFormat="false" ht="15" hidden="false" customHeight="false" outlineLevel="0" collapsed="false">
      <c r="A324" s="5" t="s">
        <v>212</v>
      </c>
      <c r="B324" s="5" t="s">
        <v>171</v>
      </c>
      <c r="C324" s="5" t="n">
        <v>35</v>
      </c>
      <c r="D324" s="5" t="s">
        <v>732</v>
      </c>
      <c r="E324" s="5" t="n">
        <v>2</v>
      </c>
      <c r="F324" s="20" t="n">
        <v>7.58925474181509</v>
      </c>
      <c r="G324" s="20" t="n">
        <f aca="false">9-F324</f>
        <v>1.41074525818491</v>
      </c>
      <c r="H324" s="20" t="n">
        <f aca="false">IF(G324&gt;=1,G324,0)</f>
        <v>1.41074525818491</v>
      </c>
      <c r="I324" s="5" t="s">
        <v>74</v>
      </c>
      <c r="J324" s="5" t="s">
        <v>733</v>
      </c>
    </row>
    <row r="325" customFormat="false" ht="15" hidden="false" customHeight="false" outlineLevel="0" collapsed="false">
      <c r="A325" s="5" t="s">
        <v>212</v>
      </c>
      <c r="B325" s="5" t="s">
        <v>171</v>
      </c>
      <c r="C325" s="5" t="n">
        <v>36</v>
      </c>
      <c r="D325" s="5" t="s">
        <v>732</v>
      </c>
      <c r="E325" s="5" t="n">
        <v>2</v>
      </c>
      <c r="F325" s="20" t="n">
        <v>7.58925474181509</v>
      </c>
      <c r="G325" s="20" t="n">
        <f aca="false">9-F325</f>
        <v>1.41074525818491</v>
      </c>
      <c r="H325" s="20" t="n">
        <f aca="false">IF(G325&gt;=1,G325,0)</f>
        <v>1.41074525818491</v>
      </c>
      <c r="I325" s="5" t="s">
        <v>74</v>
      </c>
      <c r="J325" s="5" t="s">
        <v>734</v>
      </c>
    </row>
    <row r="326" customFormat="false" ht="15" hidden="false" customHeight="false" outlineLevel="0" collapsed="false">
      <c r="A326" s="5" t="s">
        <v>212</v>
      </c>
      <c r="B326" s="5" t="s">
        <v>171</v>
      </c>
      <c r="C326" s="5" t="n">
        <v>37</v>
      </c>
      <c r="D326" s="5" t="s">
        <v>732</v>
      </c>
      <c r="E326" s="5" t="n">
        <v>2</v>
      </c>
      <c r="F326" s="20" t="n">
        <v>7.58925474181509</v>
      </c>
      <c r="G326" s="20" t="n">
        <f aca="false">9-F326</f>
        <v>1.41074525818491</v>
      </c>
      <c r="H326" s="20" t="n">
        <f aca="false">IF(G326&gt;=1,G326,0)</f>
        <v>1.41074525818491</v>
      </c>
      <c r="I326" s="5" t="s">
        <v>74</v>
      </c>
      <c r="J326" s="5" t="s">
        <v>735</v>
      </c>
    </row>
    <row r="327" customFormat="false" ht="15" hidden="false" customHeight="false" outlineLevel="0" collapsed="false">
      <c r="A327" s="5" t="s">
        <v>212</v>
      </c>
      <c r="B327" s="5" t="s">
        <v>171</v>
      </c>
      <c r="C327" s="5" t="n">
        <v>38</v>
      </c>
      <c r="D327" s="5" t="s">
        <v>732</v>
      </c>
      <c r="E327" s="5" t="n">
        <v>2</v>
      </c>
      <c r="F327" s="20" t="n">
        <v>7.58925474181508</v>
      </c>
      <c r="G327" s="20" t="n">
        <f aca="false">9-F327</f>
        <v>1.41074525818492</v>
      </c>
      <c r="H327" s="20" t="n">
        <f aca="false">IF(G327&gt;=1,G327,0)</f>
        <v>1.41074525818492</v>
      </c>
      <c r="I327" s="5" t="s">
        <v>74</v>
      </c>
      <c r="J327" s="5" t="s">
        <v>736</v>
      </c>
    </row>
    <row r="328" customFormat="false" ht="15" hidden="false" customHeight="false" outlineLevel="0" collapsed="false">
      <c r="A328" s="5" t="s">
        <v>212</v>
      </c>
      <c r="B328" s="5" t="s">
        <v>171</v>
      </c>
      <c r="C328" s="5" t="n">
        <v>39</v>
      </c>
      <c r="D328" s="5" t="s">
        <v>732</v>
      </c>
      <c r="E328" s="5" t="n">
        <v>2</v>
      </c>
      <c r="F328" s="20" t="n">
        <v>7.58925474181508</v>
      </c>
      <c r="G328" s="20" t="n">
        <f aca="false">9-F328</f>
        <v>1.41074525818492</v>
      </c>
      <c r="H328" s="20" t="n">
        <f aca="false">IF(G328&gt;=1,G328,0)</f>
        <v>1.41074525818492</v>
      </c>
      <c r="I328" s="5" t="s">
        <v>74</v>
      </c>
      <c r="J328" s="5" t="s">
        <v>737</v>
      </c>
    </row>
    <row r="329" customFormat="false" ht="15" hidden="false" customHeight="false" outlineLevel="0" collapsed="false">
      <c r="A329" s="5" t="s">
        <v>212</v>
      </c>
      <c r="B329" s="5" t="s">
        <v>171</v>
      </c>
      <c r="C329" s="5" t="n">
        <v>40</v>
      </c>
      <c r="D329" s="5" t="s">
        <v>732</v>
      </c>
      <c r="E329" s="5" t="n">
        <v>2</v>
      </c>
      <c r="F329" s="20" t="n">
        <v>7.58925474181508</v>
      </c>
      <c r="G329" s="20" t="n">
        <f aca="false">9-F329</f>
        <v>1.41074525818492</v>
      </c>
      <c r="H329" s="20" t="n">
        <f aca="false">IF(G329&gt;=1,G329,0)</f>
        <v>1.41074525818492</v>
      </c>
      <c r="I329" s="5" t="s">
        <v>74</v>
      </c>
      <c r="J329" s="5" t="s">
        <v>738</v>
      </c>
    </row>
    <row r="330" customFormat="false" ht="15" hidden="false" customHeight="false" outlineLevel="0" collapsed="false">
      <c r="A330" s="5" t="s">
        <v>212</v>
      </c>
      <c r="B330" s="5" t="s">
        <v>171</v>
      </c>
      <c r="C330" s="5" t="n">
        <v>41</v>
      </c>
      <c r="D330" s="5" t="s">
        <v>732</v>
      </c>
      <c r="E330" s="5" t="n">
        <v>2</v>
      </c>
      <c r="F330" s="20" t="n">
        <v>7.58925474181508</v>
      </c>
      <c r="G330" s="20" t="n">
        <f aca="false">9-F330</f>
        <v>1.41074525818492</v>
      </c>
      <c r="H330" s="20" t="n">
        <f aca="false">IF(G330&gt;=1,G330,0)</f>
        <v>1.41074525818492</v>
      </c>
      <c r="I330" s="5" t="s">
        <v>74</v>
      </c>
      <c r="J330" s="5" t="s">
        <v>739</v>
      </c>
    </row>
    <row r="331" customFormat="false" ht="15" hidden="false" customHeight="false" outlineLevel="0" collapsed="false">
      <c r="A331" s="5" t="s">
        <v>212</v>
      </c>
      <c r="B331" s="5" t="s">
        <v>171</v>
      </c>
      <c r="C331" s="5" t="n">
        <v>42</v>
      </c>
      <c r="D331" s="5" t="s">
        <v>732</v>
      </c>
      <c r="E331" s="5" t="n">
        <v>2</v>
      </c>
      <c r="F331" s="20" t="n">
        <v>7.58925474181508</v>
      </c>
      <c r="G331" s="20" t="n">
        <f aca="false">9-F331</f>
        <v>1.41074525818492</v>
      </c>
      <c r="H331" s="20" t="n">
        <f aca="false">IF(G331&gt;=1,G331,0)</f>
        <v>1.41074525818492</v>
      </c>
      <c r="I331" s="5" t="s">
        <v>74</v>
      </c>
      <c r="J331" s="5" t="s">
        <v>740</v>
      </c>
    </row>
    <row r="332" customFormat="false" ht="15" hidden="false" customHeight="false" outlineLevel="0" collapsed="false">
      <c r="A332" s="5" t="s">
        <v>212</v>
      </c>
      <c r="B332" s="5" t="s">
        <v>171</v>
      </c>
      <c r="C332" s="5" t="n">
        <v>43</v>
      </c>
      <c r="D332" s="5" t="s">
        <v>732</v>
      </c>
      <c r="E332" s="5" t="n">
        <v>2</v>
      </c>
      <c r="F332" s="20" t="n">
        <v>7.58925474181508</v>
      </c>
      <c r="G332" s="20" t="n">
        <f aca="false">9-F332</f>
        <v>1.41074525818492</v>
      </c>
      <c r="H332" s="20" t="n">
        <f aca="false">IF(G332&gt;=1,G332,0)</f>
        <v>1.41074525818492</v>
      </c>
      <c r="I332" s="5" t="s">
        <v>74</v>
      </c>
      <c r="J332" s="5" t="s">
        <v>741</v>
      </c>
    </row>
    <row r="333" customFormat="false" ht="15" hidden="false" customHeight="false" outlineLevel="0" collapsed="false">
      <c r="A333" s="5" t="s">
        <v>212</v>
      </c>
      <c r="B333" s="5" t="s">
        <v>171</v>
      </c>
      <c r="C333" s="5" t="n">
        <v>44</v>
      </c>
      <c r="D333" s="5" t="s">
        <v>732</v>
      </c>
      <c r="E333" s="5" t="n">
        <v>2</v>
      </c>
      <c r="F333" s="20" t="n">
        <v>7.58925474181508</v>
      </c>
      <c r="G333" s="20" t="n">
        <f aca="false">9-F333</f>
        <v>1.41074525818492</v>
      </c>
      <c r="H333" s="20" t="n">
        <f aca="false">IF(G333&gt;=1,G333,0)</f>
        <v>1.41074525818492</v>
      </c>
      <c r="I333" s="5" t="s">
        <v>74</v>
      </c>
      <c r="J333" s="5" t="s">
        <v>742</v>
      </c>
    </row>
    <row r="334" customFormat="false" ht="15" hidden="false" customHeight="false" outlineLevel="0" collapsed="false">
      <c r="A334" s="5" t="s">
        <v>212</v>
      </c>
      <c r="B334" s="5" t="s">
        <v>171</v>
      </c>
      <c r="C334" s="5" t="n">
        <v>45</v>
      </c>
      <c r="D334" s="5" t="s">
        <v>743</v>
      </c>
      <c r="E334" s="5" t="n">
        <v>2</v>
      </c>
      <c r="F334" s="20" t="n">
        <v>7.56725474181509</v>
      </c>
      <c r="G334" s="20" t="n">
        <f aca="false">9-F334</f>
        <v>1.43274525818491</v>
      </c>
      <c r="H334" s="20" t="n">
        <f aca="false">IF(G334&gt;=1,G334,0)</f>
        <v>1.43274525818491</v>
      </c>
      <c r="I334" s="5" t="s">
        <v>74</v>
      </c>
      <c r="J334" s="5" t="s">
        <v>744</v>
      </c>
    </row>
    <row r="335" customFormat="false" ht="15" hidden="false" customHeight="false" outlineLevel="0" collapsed="false">
      <c r="A335" s="5" t="s">
        <v>212</v>
      </c>
      <c r="B335" s="5" t="s">
        <v>171</v>
      </c>
      <c r="C335" s="5" t="n">
        <v>46</v>
      </c>
      <c r="D335" s="5" t="s">
        <v>745</v>
      </c>
      <c r="E335" s="5" t="n">
        <v>2</v>
      </c>
      <c r="F335" s="20" t="n">
        <v>7.54525474181509</v>
      </c>
      <c r="G335" s="20" t="n">
        <f aca="false">9-F335</f>
        <v>1.45474525818491</v>
      </c>
      <c r="H335" s="20" t="n">
        <f aca="false">IF(G335&gt;=1,G335,0)</f>
        <v>1.45474525818491</v>
      </c>
      <c r="I335" s="5" t="s">
        <v>74</v>
      </c>
      <c r="J335" s="5" t="s">
        <v>746</v>
      </c>
    </row>
    <row r="336" customFormat="false" ht="15" hidden="false" customHeight="false" outlineLevel="0" collapsed="false">
      <c r="A336" s="5" t="s">
        <v>212</v>
      </c>
      <c r="B336" s="5" t="s">
        <v>171</v>
      </c>
      <c r="C336" s="5" t="n">
        <v>47</v>
      </c>
      <c r="D336" s="5" t="s">
        <v>745</v>
      </c>
      <c r="E336" s="5" t="n">
        <v>2</v>
      </c>
      <c r="F336" s="20" t="n">
        <v>7.54525474181509</v>
      </c>
      <c r="G336" s="20" t="n">
        <f aca="false">9-F336</f>
        <v>1.45474525818491</v>
      </c>
      <c r="H336" s="20" t="n">
        <f aca="false">IF(G336&gt;=1,G336,0)</f>
        <v>1.45474525818491</v>
      </c>
      <c r="I336" s="5" t="s">
        <v>74</v>
      </c>
      <c r="J336" s="5" t="s">
        <v>747</v>
      </c>
    </row>
    <row r="337" customFormat="false" ht="15" hidden="false" customHeight="false" outlineLevel="0" collapsed="false">
      <c r="A337" s="5" t="s">
        <v>212</v>
      </c>
      <c r="B337" s="5" t="s">
        <v>171</v>
      </c>
      <c r="C337" s="5" t="n">
        <v>48</v>
      </c>
      <c r="D337" s="5" t="s">
        <v>745</v>
      </c>
      <c r="E337" s="5" t="n">
        <v>2</v>
      </c>
      <c r="F337" s="20" t="n">
        <v>7.54525474181509</v>
      </c>
      <c r="G337" s="20" t="n">
        <f aca="false">9-F337</f>
        <v>1.45474525818491</v>
      </c>
      <c r="H337" s="20" t="n">
        <f aca="false">IF(G337&gt;=1,G337,0)</f>
        <v>1.45474525818491</v>
      </c>
      <c r="I337" s="5" t="s">
        <v>74</v>
      </c>
      <c r="J337" s="5" t="s">
        <v>748</v>
      </c>
    </row>
    <row r="338" customFormat="false" ht="15" hidden="false" customHeight="false" outlineLevel="0" collapsed="false">
      <c r="A338" s="5" t="s">
        <v>212</v>
      </c>
      <c r="B338" s="5" t="s">
        <v>171</v>
      </c>
      <c r="C338" s="5" t="n">
        <v>49</v>
      </c>
      <c r="D338" s="5" t="s">
        <v>745</v>
      </c>
      <c r="E338" s="5" t="n">
        <v>2</v>
      </c>
      <c r="F338" s="20" t="n">
        <v>7.54525474181509</v>
      </c>
      <c r="G338" s="20" t="n">
        <f aca="false">9-F338</f>
        <v>1.45474525818492</v>
      </c>
      <c r="H338" s="20" t="n">
        <f aca="false">IF(G338&gt;=1,G338,0)</f>
        <v>1.45474525818492</v>
      </c>
      <c r="I338" s="5" t="s">
        <v>74</v>
      </c>
      <c r="J338" s="5" t="s">
        <v>749</v>
      </c>
    </row>
    <row r="339" customFormat="false" ht="15" hidden="false" customHeight="false" outlineLevel="0" collapsed="false">
      <c r="A339" s="5" t="s">
        <v>212</v>
      </c>
      <c r="B339" s="5" t="s">
        <v>171</v>
      </c>
      <c r="C339" s="5" t="n">
        <v>50</v>
      </c>
      <c r="D339" s="5" t="s">
        <v>745</v>
      </c>
      <c r="E339" s="5" t="n">
        <v>2</v>
      </c>
      <c r="F339" s="20" t="n">
        <v>7.54525474181508</v>
      </c>
      <c r="G339" s="20" t="n">
        <f aca="false">9-F339</f>
        <v>1.45474525818492</v>
      </c>
      <c r="H339" s="20" t="n">
        <f aca="false">IF(G339&gt;=1,G339,0)</f>
        <v>1.45474525818492</v>
      </c>
      <c r="I339" s="5" t="s">
        <v>74</v>
      </c>
      <c r="J339" s="5" t="s">
        <v>750</v>
      </c>
    </row>
    <row r="340" customFormat="false" ht="15" hidden="false" customHeight="false" outlineLevel="0" collapsed="false">
      <c r="A340" s="5" t="s">
        <v>212</v>
      </c>
      <c r="B340" s="5" t="s">
        <v>171</v>
      </c>
      <c r="C340" s="5" t="n">
        <v>51</v>
      </c>
      <c r="D340" s="5" t="s">
        <v>745</v>
      </c>
      <c r="E340" s="5" t="n">
        <v>2</v>
      </c>
      <c r="F340" s="20" t="n">
        <v>7.54525474181508</v>
      </c>
      <c r="G340" s="20" t="n">
        <f aca="false">9-F340</f>
        <v>1.45474525818492</v>
      </c>
      <c r="H340" s="20" t="n">
        <f aca="false">IF(G340&gt;=1,G340,0)</f>
        <v>1.45474525818492</v>
      </c>
      <c r="I340" s="5" t="s">
        <v>74</v>
      </c>
      <c r="J340" s="5" t="s">
        <v>751</v>
      </c>
    </row>
    <row r="341" customFormat="false" ht="15" hidden="false" customHeight="false" outlineLevel="0" collapsed="false">
      <c r="A341" s="5" t="s">
        <v>212</v>
      </c>
      <c r="B341" s="5" t="s">
        <v>171</v>
      </c>
      <c r="C341" s="5" t="n">
        <v>52</v>
      </c>
      <c r="D341" s="5" t="s">
        <v>745</v>
      </c>
      <c r="E341" s="5" t="n">
        <v>2</v>
      </c>
      <c r="F341" s="20" t="n">
        <v>7.54525474181508</v>
      </c>
      <c r="G341" s="20" t="n">
        <f aca="false">9-F341</f>
        <v>1.45474525818492</v>
      </c>
      <c r="H341" s="20" t="n">
        <f aca="false">IF(G341&gt;=1,G341,0)</f>
        <v>1.45474525818492</v>
      </c>
      <c r="I341" s="5" t="s">
        <v>74</v>
      </c>
      <c r="J341" s="5" t="s">
        <v>752</v>
      </c>
    </row>
    <row r="342" customFormat="false" ht="15" hidden="false" customHeight="false" outlineLevel="0" collapsed="false">
      <c r="A342" s="5" t="s">
        <v>212</v>
      </c>
      <c r="B342" s="5" t="s">
        <v>171</v>
      </c>
      <c r="C342" s="5" t="n">
        <v>53</v>
      </c>
      <c r="D342" s="5" t="s">
        <v>745</v>
      </c>
      <c r="E342" s="5" t="n">
        <v>2</v>
      </c>
      <c r="F342" s="20" t="n">
        <v>7.54525474181508</v>
      </c>
      <c r="G342" s="20" t="n">
        <f aca="false">9-F342</f>
        <v>1.45474525818492</v>
      </c>
      <c r="H342" s="20" t="n">
        <f aca="false">IF(G342&gt;=1,G342,0)</f>
        <v>1.45474525818492</v>
      </c>
      <c r="I342" s="5" t="s">
        <v>74</v>
      </c>
      <c r="J342" s="5" t="s">
        <v>753</v>
      </c>
    </row>
    <row r="343" customFormat="false" ht="15" hidden="false" customHeight="false" outlineLevel="0" collapsed="false">
      <c r="A343" s="5" t="s">
        <v>212</v>
      </c>
      <c r="B343" s="5" t="s">
        <v>171</v>
      </c>
      <c r="C343" s="5" t="n">
        <v>54</v>
      </c>
      <c r="D343" s="5" t="s">
        <v>754</v>
      </c>
      <c r="E343" s="5" t="n">
        <v>2</v>
      </c>
      <c r="F343" s="20" t="n">
        <v>7.52325474181509</v>
      </c>
      <c r="G343" s="20" t="n">
        <f aca="false">9-F343</f>
        <v>1.47674525818492</v>
      </c>
      <c r="H343" s="20" t="n">
        <f aca="false">IF(G343&gt;=1,G343,0)</f>
        <v>1.47674525818492</v>
      </c>
      <c r="I343" s="5" t="s">
        <v>74</v>
      </c>
      <c r="J343" s="5" t="s">
        <v>755</v>
      </c>
    </row>
    <row r="344" customFormat="false" ht="15" hidden="false" customHeight="false" outlineLevel="0" collapsed="false">
      <c r="A344" s="5" t="s">
        <v>212</v>
      </c>
      <c r="B344" s="5" t="s">
        <v>171</v>
      </c>
      <c r="C344" s="5" t="n">
        <v>55</v>
      </c>
      <c r="D344" s="5" t="s">
        <v>756</v>
      </c>
      <c r="E344" s="5" t="n">
        <v>2</v>
      </c>
      <c r="F344" s="20" t="n">
        <v>7.50125474181509</v>
      </c>
      <c r="G344" s="20" t="n">
        <f aca="false">9-F344</f>
        <v>1.49874525818491</v>
      </c>
      <c r="H344" s="20" t="n">
        <f aca="false">IF(G344&gt;=1,G344,0)</f>
        <v>1.49874525818491</v>
      </c>
      <c r="I344" s="5" t="s">
        <v>74</v>
      </c>
      <c r="J344" s="5" t="s">
        <v>757</v>
      </c>
    </row>
    <row r="345" customFormat="false" ht="15" hidden="false" customHeight="false" outlineLevel="0" collapsed="false">
      <c r="A345" s="5" t="s">
        <v>212</v>
      </c>
      <c r="B345" s="5" t="s">
        <v>171</v>
      </c>
      <c r="C345" s="5" t="n">
        <v>56</v>
      </c>
      <c r="D345" s="5" t="s">
        <v>756</v>
      </c>
      <c r="E345" s="5" t="n">
        <v>2</v>
      </c>
      <c r="F345" s="20" t="n">
        <v>7.50125474181509</v>
      </c>
      <c r="G345" s="20" t="n">
        <f aca="false">9-F345</f>
        <v>1.49874525818491</v>
      </c>
      <c r="H345" s="20" t="n">
        <f aca="false">IF(G345&gt;=1,G345,0)</f>
        <v>1.49874525818491</v>
      </c>
      <c r="I345" s="5" t="s">
        <v>74</v>
      </c>
      <c r="J345" s="5" t="s">
        <v>758</v>
      </c>
    </row>
    <row r="346" customFormat="false" ht="15" hidden="false" customHeight="false" outlineLevel="0" collapsed="false">
      <c r="A346" s="5" t="s">
        <v>212</v>
      </c>
      <c r="B346" s="5" t="s">
        <v>171</v>
      </c>
      <c r="C346" s="5" t="n">
        <v>57</v>
      </c>
      <c r="D346" s="5" t="s">
        <v>756</v>
      </c>
      <c r="E346" s="5" t="n">
        <v>2</v>
      </c>
      <c r="F346" s="20" t="n">
        <v>7.50125474181509</v>
      </c>
      <c r="G346" s="20" t="n">
        <f aca="false">9-F346</f>
        <v>1.49874525818491</v>
      </c>
      <c r="H346" s="20" t="n">
        <f aca="false">IF(G346&gt;=1,G346,0)</f>
        <v>1.49874525818491</v>
      </c>
      <c r="I346" s="5" t="s">
        <v>74</v>
      </c>
      <c r="J346" s="5" t="s">
        <v>759</v>
      </c>
    </row>
    <row r="347" customFormat="false" ht="15" hidden="false" customHeight="false" outlineLevel="0" collapsed="false">
      <c r="A347" s="5" t="s">
        <v>212</v>
      </c>
      <c r="B347" s="5" t="s">
        <v>171</v>
      </c>
      <c r="C347" s="5" t="n">
        <v>58</v>
      </c>
      <c r="D347" s="5" t="s">
        <v>756</v>
      </c>
      <c r="E347" s="5" t="n">
        <v>2</v>
      </c>
      <c r="F347" s="20" t="n">
        <v>7.50125474181508</v>
      </c>
      <c r="G347" s="20" t="n">
        <f aca="false">9-F347</f>
        <v>1.49874525818492</v>
      </c>
      <c r="H347" s="20" t="n">
        <f aca="false">IF(G347&gt;=1,G347,0)</f>
        <v>1.49874525818492</v>
      </c>
      <c r="I347" s="5" t="s">
        <v>74</v>
      </c>
      <c r="J347" s="5" t="s">
        <v>760</v>
      </c>
    </row>
    <row r="348" customFormat="false" ht="15" hidden="false" customHeight="false" outlineLevel="0" collapsed="false">
      <c r="A348" s="5" t="s">
        <v>212</v>
      </c>
      <c r="B348" s="5" t="s">
        <v>171</v>
      </c>
      <c r="C348" s="5" t="n">
        <v>59</v>
      </c>
      <c r="D348" s="5" t="s">
        <v>756</v>
      </c>
      <c r="E348" s="5" t="n">
        <v>2</v>
      </c>
      <c r="F348" s="20" t="n">
        <v>7.50125474181508</v>
      </c>
      <c r="G348" s="20" t="n">
        <f aca="false">9-F348</f>
        <v>1.49874525818492</v>
      </c>
      <c r="H348" s="20" t="n">
        <f aca="false">IF(G348&gt;=1,G348,0)</f>
        <v>1.49874525818492</v>
      </c>
      <c r="I348" s="5" t="s">
        <v>74</v>
      </c>
      <c r="J348" s="5" t="s">
        <v>761</v>
      </c>
    </row>
    <row r="349" customFormat="false" ht="15" hidden="false" customHeight="false" outlineLevel="0" collapsed="false">
      <c r="A349" s="5" t="s">
        <v>212</v>
      </c>
      <c r="B349" s="5" t="s">
        <v>171</v>
      </c>
      <c r="C349" s="5" t="n">
        <v>60</v>
      </c>
      <c r="D349" s="5" t="s">
        <v>756</v>
      </c>
      <c r="E349" s="5" t="n">
        <v>2</v>
      </c>
      <c r="F349" s="20" t="n">
        <v>7.50125474181508</v>
      </c>
      <c r="G349" s="20" t="n">
        <f aca="false">9-F349</f>
        <v>1.49874525818492</v>
      </c>
      <c r="H349" s="20" t="n">
        <f aca="false">IF(G349&gt;=1,G349,0)</f>
        <v>1.49874525818492</v>
      </c>
      <c r="I349" s="5" t="s">
        <v>74</v>
      </c>
      <c r="J349" s="5" t="s">
        <v>762</v>
      </c>
    </row>
    <row r="350" customFormat="false" ht="15" hidden="false" customHeight="false" outlineLevel="0" collapsed="false">
      <c r="A350" s="5" t="s">
        <v>212</v>
      </c>
      <c r="B350" s="5" t="s">
        <v>171</v>
      </c>
      <c r="C350" s="5" t="n">
        <v>61</v>
      </c>
      <c r="D350" s="5" t="s">
        <v>756</v>
      </c>
      <c r="E350" s="5" t="n">
        <v>2</v>
      </c>
      <c r="F350" s="20" t="n">
        <v>7.50125474181508</v>
      </c>
      <c r="G350" s="20" t="n">
        <f aca="false">9-F350</f>
        <v>1.49874525818492</v>
      </c>
      <c r="H350" s="20" t="n">
        <f aca="false">IF(G350&gt;=1,G350,0)</f>
        <v>1.49874525818492</v>
      </c>
      <c r="I350" s="5" t="s">
        <v>74</v>
      </c>
      <c r="J350" s="5" t="s">
        <v>763</v>
      </c>
    </row>
    <row r="351" customFormat="false" ht="15" hidden="false" customHeight="false" outlineLevel="0" collapsed="false">
      <c r="A351" s="5" t="s">
        <v>212</v>
      </c>
      <c r="B351" s="5" t="s">
        <v>171</v>
      </c>
      <c r="C351" s="5" t="n">
        <v>62</v>
      </c>
      <c r="D351" s="5" t="s">
        <v>756</v>
      </c>
      <c r="E351" s="5" t="n">
        <v>2</v>
      </c>
      <c r="F351" s="20" t="n">
        <v>7.50125474181508</v>
      </c>
      <c r="G351" s="20" t="n">
        <f aca="false">9-F351</f>
        <v>1.49874525818492</v>
      </c>
      <c r="H351" s="20" t="n">
        <f aca="false">IF(G351&gt;=1,G351,0)</f>
        <v>1.49874525818492</v>
      </c>
      <c r="I351" s="5" t="s">
        <v>74</v>
      </c>
      <c r="J351" s="5" t="s">
        <v>764</v>
      </c>
    </row>
    <row r="352" customFormat="false" ht="15" hidden="false" customHeight="false" outlineLevel="0" collapsed="false">
      <c r="A352" s="5" t="s">
        <v>212</v>
      </c>
      <c r="B352" s="5" t="s">
        <v>171</v>
      </c>
      <c r="C352" s="5" t="n">
        <v>63</v>
      </c>
      <c r="D352" s="5" t="s">
        <v>765</v>
      </c>
      <c r="E352" s="5" t="n">
        <v>2</v>
      </c>
      <c r="F352" s="20" t="n">
        <v>7.47925474181508</v>
      </c>
      <c r="G352" s="20" t="n">
        <f aca="false">9-F352</f>
        <v>1.52074525818492</v>
      </c>
      <c r="H352" s="20" t="n">
        <f aca="false">IF(G352&gt;=1,G352,0)</f>
        <v>1.52074525818492</v>
      </c>
      <c r="I352" s="5" t="s">
        <v>74</v>
      </c>
      <c r="J352" s="5" t="s">
        <v>766</v>
      </c>
    </row>
    <row r="353" customFormat="false" ht="15" hidden="false" customHeight="false" outlineLevel="0" collapsed="false">
      <c r="A353" s="5" t="s">
        <v>212</v>
      </c>
      <c r="B353" s="5" t="s">
        <v>171</v>
      </c>
      <c r="C353" s="5" t="n">
        <v>64</v>
      </c>
      <c r="D353" s="5" t="s">
        <v>767</v>
      </c>
      <c r="E353" s="5" t="n">
        <v>2</v>
      </c>
      <c r="F353" s="20" t="n">
        <v>7.45725474181509</v>
      </c>
      <c r="G353" s="20" t="n">
        <f aca="false">9-F353</f>
        <v>1.54274525818491</v>
      </c>
      <c r="H353" s="20" t="n">
        <f aca="false">IF(G353&gt;=1,G353,0)</f>
        <v>1.54274525818491</v>
      </c>
      <c r="I353" s="5" t="s">
        <v>74</v>
      </c>
      <c r="J353" s="5" t="s">
        <v>768</v>
      </c>
    </row>
    <row r="354" customFormat="false" ht="15" hidden="false" customHeight="false" outlineLevel="0" collapsed="false">
      <c r="A354" s="5" t="s">
        <v>212</v>
      </c>
      <c r="B354" s="5" t="s">
        <v>171</v>
      </c>
      <c r="C354" s="5" t="n">
        <v>65</v>
      </c>
      <c r="D354" s="5" t="s">
        <v>767</v>
      </c>
      <c r="E354" s="5" t="n">
        <v>2</v>
      </c>
      <c r="F354" s="20" t="n">
        <v>7.45725474181509</v>
      </c>
      <c r="G354" s="20" t="n">
        <f aca="false">9-F354</f>
        <v>1.54274525818492</v>
      </c>
      <c r="H354" s="20" t="n">
        <f aca="false">IF(G354&gt;=1,G354,0)</f>
        <v>1.54274525818492</v>
      </c>
      <c r="I354" s="5" t="s">
        <v>74</v>
      </c>
      <c r="J354" s="5" t="s">
        <v>769</v>
      </c>
    </row>
    <row r="355" customFormat="false" ht="15" hidden="false" customHeight="false" outlineLevel="0" collapsed="false">
      <c r="A355" s="5" t="s">
        <v>212</v>
      </c>
      <c r="B355" s="5" t="s">
        <v>171</v>
      </c>
      <c r="C355" s="5" t="n">
        <v>66</v>
      </c>
      <c r="D355" s="5" t="s">
        <v>767</v>
      </c>
      <c r="E355" s="5" t="n">
        <v>2</v>
      </c>
      <c r="F355" s="20" t="n">
        <v>7.45725474181509</v>
      </c>
      <c r="G355" s="20" t="n">
        <f aca="false">9-F355</f>
        <v>1.54274525818492</v>
      </c>
      <c r="H355" s="20" t="n">
        <f aca="false">IF(G355&gt;=1,G355,0)</f>
        <v>1.54274525818492</v>
      </c>
      <c r="I355" s="5" t="s">
        <v>74</v>
      </c>
      <c r="J355" s="5" t="s">
        <v>770</v>
      </c>
    </row>
    <row r="356" customFormat="false" ht="15" hidden="false" customHeight="false" outlineLevel="0" collapsed="false">
      <c r="A356" s="5" t="s">
        <v>212</v>
      </c>
      <c r="B356" s="5" t="s">
        <v>171</v>
      </c>
      <c r="C356" s="5" t="n">
        <v>67</v>
      </c>
      <c r="D356" s="5" t="s">
        <v>767</v>
      </c>
      <c r="E356" s="5" t="n">
        <v>2</v>
      </c>
      <c r="F356" s="20" t="n">
        <v>7.45725474181508</v>
      </c>
      <c r="G356" s="20" t="n">
        <f aca="false">9-F356</f>
        <v>1.54274525818492</v>
      </c>
      <c r="H356" s="20" t="n">
        <f aca="false">IF(G356&gt;=1,G356,0)</f>
        <v>1.54274525818492</v>
      </c>
      <c r="I356" s="5" t="s">
        <v>74</v>
      </c>
      <c r="J356" s="5" t="s">
        <v>771</v>
      </c>
    </row>
    <row r="357" customFormat="false" ht="15" hidden="false" customHeight="false" outlineLevel="0" collapsed="false">
      <c r="A357" s="5" t="s">
        <v>212</v>
      </c>
      <c r="B357" s="5" t="s">
        <v>171</v>
      </c>
      <c r="C357" s="5" t="n">
        <v>68</v>
      </c>
      <c r="D357" s="5" t="s">
        <v>767</v>
      </c>
      <c r="E357" s="5" t="n">
        <v>2</v>
      </c>
      <c r="F357" s="20" t="n">
        <v>7.45725474181508</v>
      </c>
      <c r="G357" s="20" t="n">
        <f aca="false">9-F357</f>
        <v>1.54274525818492</v>
      </c>
      <c r="H357" s="20" t="n">
        <f aca="false">IF(G357&gt;=1,G357,0)</f>
        <v>1.54274525818492</v>
      </c>
      <c r="I357" s="5" t="s">
        <v>74</v>
      </c>
      <c r="J357" s="5" t="s">
        <v>772</v>
      </c>
    </row>
    <row r="358" customFormat="false" ht="15" hidden="false" customHeight="false" outlineLevel="0" collapsed="false">
      <c r="A358" s="5" t="s">
        <v>216</v>
      </c>
      <c r="B358" s="5" t="s">
        <v>168</v>
      </c>
      <c r="C358" s="5" t="n">
        <v>1</v>
      </c>
      <c r="D358" s="5" t="s">
        <v>773</v>
      </c>
      <c r="E358" s="5" t="n">
        <v>2</v>
      </c>
      <c r="F358" s="20" t="n">
        <v>8.45646835012722</v>
      </c>
      <c r="G358" s="20" t="n">
        <f aca="false">9-F358</f>
        <v>0.543531649872783</v>
      </c>
      <c r="H358" s="20" t="n">
        <f aca="false">IF(G358&gt;=1,G358,0)</f>
        <v>0</v>
      </c>
      <c r="I358" s="5" t="s">
        <v>774</v>
      </c>
      <c r="J358" s="5" t="s">
        <v>775</v>
      </c>
    </row>
    <row r="359" customFormat="false" ht="15" hidden="false" customHeight="false" outlineLevel="0" collapsed="false">
      <c r="A359" s="5" t="s">
        <v>216</v>
      </c>
      <c r="B359" s="5" t="s">
        <v>168</v>
      </c>
      <c r="C359" s="5" t="n">
        <v>2</v>
      </c>
      <c r="D359" s="5" t="s">
        <v>773</v>
      </c>
      <c r="E359" s="5" t="n">
        <v>2</v>
      </c>
      <c r="F359" s="20" t="n">
        <v>8.45646835012722</v>
      </c>
      <c r="G359" s="20" t="n">
        <f aca="false">9-F359</f>
        <v>0.543531649872783</v>
      </c>
      <c r="H359" s="20" t="n">
        <f aca="false">IF(G359&gt;=1,G359,0)</f>
        <v>0</v>
      </c>
      <c r="I359" s="5" t="s">
        <v>774</v>
      </c>
      <c r="J359" s="5" t="s">
        <v>776</v>
      </c>
    </row>
    <row r="360" customFormat="false" ht="15" hidden="false" customHeight="false" outlineLevel="0" collapsed="false">
      <c r="A360" s="5" t="s">
        <v>216</v>
      </c>
      <c r="B360" s="5" t="s">
        <v>168</v>
      </c>
      <c r="C360" s="5" t="n">
        <v>3</v>
      </c>
      <c r="D360" s="5" t="s">
        <v>773</v>
      </c>
      <c r="E360" s="5" t="n">
        <v>2</v>
      </c>
      <c r="F360" s="20" t="n">
        <v>8.45646835012722</v>
      </c>
      <c r="G360" s="20" t="n">
        <f aca="false">9-F360</f>
        <v>0.543531649872783</v>
      </c>
      <c r="H360" s="20" t="n">
        <f aca="false">IF(G360&gt;=1,G360,0)</f>
        <v>0</v>
      </c>
      <c r="I360" s="5" t="s">
        <v>774</v>
      </c>
      <c r="J360" s="5" t="s">
        <v>777</v>
      </c>
    </row>
    <row r="361" customFormat="false" ht="15" hidden="false" customHeight="false" outlineLevel="0" collapsed="false">
      <c r="A361" s="5" t="s">
        <v>216</v>
      </c>
      <c r="B361" s="5" t="s">
        <v>168</v>
      </c>
      <c r="C361" s="5" t="n">
        <v>4</v>
      </c>
      <c r="D361" s="5" t="s">
        <v>773</v>
      </c>
      <c r="E361" s="5" t="n">
        <v>2</v>
      </c>
      <c r="F361" s="20" t="n">
        <v>8.45646835012722</v>
      </c>
      <c r="G361" s="20" t="n">
        <f aca="false">9-F361</f>
        <v>0.543531649872783</v>
      </c>
      <c r="H361" s="20" t="n">
        <f aca="false">IF(G361&gt;=1,G361,0)</f>
        <v>0</v>
      </c>
      <c r="I361" s="5" t="s">
        <v>774</v>
      </c>
      <c r="J361" s="5" t="s">
        <v>778</v>
      </c>
    </row>
    <row r="362" customFormat="false" ht="15" hidden="false" customHeight="false" outlineLevel="0" collapsed="false">
      <c r="A362" s="5" t="s">
        <v>216</v>
      </c>
      <c r="B362" s="5" t="s">
        <v>168</v>
      </c>
      <c r="C362" s="5" t="n">
        <v>5</v>
      </c>
      <c r="D362" s="5" t="s">
        <v>773</v>
      </c>
      <c r="E362" s="5" t="n">
        <v>2</v>
      </c>
      <c r="F362" s="20" t="n">
        <v>8.45646835012722</v>
      </c>
      <c r="G362" s="20" t="n">
        <f aca="false">9-F362</f>
        <v>0.543531649872783</v>
      </c>
      <c r="H362" s="20" t="n">
        <f aca="false">IF(G362&gt;=1,G362,0)</f>
        <v>0</v>
      </c>
      <c r="I362" s="5" t="s">
        <v>774</v>
      </c>
      <c r="J362" s="5" t="s">
        <v>779</v>
      </c>
    </row>
    <row r="363" customFormat="false" ht="15" hidden="false" customHeight="false" outlineLevel="0" collapsed="false">
      <c r="A363" s="5" t="s">
        <v>216</v>
      </c>
      <c r="B363" s="5" t="s">
        <v>168</v>
      </c>
      <c r="C363" s="5" t="n">
        <v>6</v>
      </c>
      <c r="D363" s="5" t="s">
        <v>773</v>
      </c>
      <c r="E363" s="5" t="n">
        <v>2</v>
      </c>
      <c r="F363" s="20" t="n">
        <v>8.45646835012722</v>
      </c>
      <c r="G363" s="20" t="n">
        <f aca="false">9-F363</f>
        <v>0.543531649872783</v>
      </c>
      <c r="H363" s="20" t="n">
        <f aca="false">IF(G363&gt;=1,G363,0)</f>
        <v>0</v>
      </c>
      <c r="I363" s="5" t="s">
        <v>774</v>
      </c>
      <c r="J363" s="5" t="s">
        <v>780</v>
      </c>
    </row>
    <row r="364" customFormat="false" ht="15" hidden="false" customHeight="false" outlineLevel="0" collapsed="false">
      <c r="A364" s="5" t="s">
        <v>216</v>
      </c>
      <c r="B364" s="5" t="s">
        <v>168</v>
      </c>
      <c r="C364" s="5" t="n">
        <v>7</v>
      </c>
      <c r="D364" s="5" t="s">
        <v>773</v>
      </c>
      <c r="E364" s="5" t="n">
        <v>2</v>
      </c>
      <c r="F364" s="20" t="n">
        <v>8.45646835012722</v>
      </c>
      <c r="G364" s="20" t="n">
        <f aca="false">9-F364</f>
        <v>0.543531649872783</v>
      </c>
      <c r="H364" s="20" t="n">
        <f aca="false">IF(G364&gt;=1,G364,0)</f>
        <v>0</v>
      </c>
      <c r="I364" s="5" t="s">
        <v>774</v>
      </c>
      <c r="J364" s="5" t="s">
        <v>781</v>
      </c>
    </row>
    <row r="365" customFormat="false" ht="15" hidden="false" customHeight="false" outlineLevel="0" collapsed="false">
      <c r="A365" s="5" t="s">
        <v>216</v>
      </c>
      <c r="B365" s="5" t="s">
        <v>168</v>
      </c>
      <c r="C365" s="5" t="n">
        <v>8</v>
      </c>
      <c r="D365" s="5" t="s">
        <v>773</v>
      </c>
      <c r="E365" s="5" t="n">
        <v>2</v>
      </c>
      <c r="F365" s="20" t="n">
        <v>8.45646835012722</v>
      </c>
      <c r="G365" s="20" t="n">
        <f aca="false">9-F365</f>
        <v>0.543531649872783</v>
      </c>
      <c r="H365" s="20" t="n">
        <f aca="false">IF(G365&gt;=1,G365,0)</f>
        <v>0</v>
      </c>
      <c r="I365" s="5" t="s">
        <v>774</v>
      </c>
      <c r="J365" s="5" t="s">
        <v>782</v>
      </c>
    </row>
    <row r="366" customFormat="false" ht="15" hidden="false" customHeight="false" outlineLevel="0" collapsed="false">
      <c r="A366" s="5" t="s">
        <v>216</v>
      </c>
      <c r="B366" s="5" t="s">
        <v>168</v>
      </c>
      <c r="C366" s="5" t="n">
        <v>9</v>
      </c>
      <c r="D366" s="5" t="s">
        <v>773</v>
      </c>
      <c r="E366" s="5" t="n">
        <v>2</v>
      </c>
      <c r="F366" s="20" t="n">
        <v>8.45646835012722</v>
      </c>
      <c r="G366" s="20" t="n">
        <f aca="false">9-F366</f>
        <v>0.543531649872783</v>
      </c>
      <c r="H366" s="20" t="n">
        <f aca="false">IF(G366&gt;=1,G366,0)</f>
        <v>0</v>
      </c>
      <c r="I366" s="5" t="s">
        <v>774</v>
      </c>
      <c r="J366" s="5" t="s">
        <v>783</v>
      </c>
    </row>
    <row r="367" customFormat="false" ht="15" hidden="false" customHeight="false" outlineLevel="0" collapsed="false">
      <c r="A367" s="5" t="s">
        <v>216</v>
      </c>
      <c r="B367" s="5" t="s">
        <v>168</v>
      </c>
      <c r="C367" s="5" t="n">
        <v>10</v>
      </c>
      <c r="D367" s="5" t="s">
        <v>773</v>
      </c>
      <c r="E367" s="5" t="n">
        <v>2</v>
      </c>
      <c r="F367" s="20" t="n">
        <v>8.45646835012722</v>
      </c>
      <c r="G367" s="20" t="n">
        <f aca="false">9-F367</f>
        <v>0.543531649872783</v>
      </c>
      <c r="H367" s="20" t="n">
        <f aca="false">IF(G367&gt;=1,G367,0)</f>
        <v>0</v>
      </c>
      <c r="I367" s="5" t="s">
        <v>774</v>
      </c>
      <c r="J367" s="5" t="s">
        <v>784</v>
      </c>
    </row>
    <row r="368" customFormat="false" ht="15" hidden="false" customHeight="false" outlineLevel="0" collapsed="false">
      <c r="A368" s="5" t="s">
        <v>216</v>
      </c>
      <c r="B368" s="5" t="s">
        <v>168</v>
      </c>
      <c r="C368" s="5" t="n">
        <v>11</v>
      </c>
      <c r="D368" s="5" t="s">
        <v>773</v>
      </c>
      <c r="E368" s="5" t="n">
        <v>2</v>
      </c>
      <c r="F368" s="20" t="n">
        <v>8.45646835012722</v>
      </c>
      <c r="G368" s="20" t="n">
        <f aca="false">9-F368</f>
        <v>0.543531649872783</v>
      </c>
      <c r="H368" s="20" t="n">
        <f aca="false">IF(G368&gt;=1,G368,0)</f>
        <v>0</v>
      </c>
      <c r="I368" s="5" t="s">
        <v>774</v>
      </c>
      <c r="J368" s="5" t="s">
        <v>785</v>
      </c>
    </row>
    <row r="369" customFormat="false" ht="15" hidden="false" customHeight="false" outlineLevel="0" collapsed="false">
      <c r="A369" s="5" t="s">
        <v>216</v>
      </c>
      <c r="B369" s="5" t="s">
        <v>168</v>
      </c>
      <c r="C369" s="5" t="n">
        <v>12</v>
      </c>
      <c r="D369" s="5" t="s">
        <v>773</v>
      </c>
      <c r="E369" s="5" t="n">
        <v>2</v>
      </c>
      <c r="F369" s="20" t="n">
        <v>8.45646835012722</v>
      </c>
      <c r="G369" s="20" t="n">
        <f aca="false">9-F369</f>
        <v>0.543531649872783</v>
      </c>
      <c r="H369" s="20" t="n">
        <f aca="false">IF(G369&gt;=1,G369,0)</f>
        <v>0</v>
      </c>
      <c r="I369" s="5" t="s">
        <v>774</v>
      </c>
      <c r="J369" s="5" t="s">
        <v>786</v>
      </c>
    </row>
    <row r="370" customFormat="false" ht="15" hidden="false" customHeight="false" outlineLevel="0" collapsed="false">
      <c r="A370" s="5" t="s">
        <v>216</v>
      </c>
      <c r="B370" s="5" t="s">
        <v>168</v>
      </c>
      <c r="C370" s="5" t="n">
        <v>13</v>
      </c>
      <c r="D370" s="5" t="s">
        <v>773</v>
      </c>
      <c r="E370" s="5" t="n">
        <v>2</v>
      </c>
      <c r="F370" s="20" t="n">
        <v>8.45646835012722</v>
      </c>
      <c r="G370" s="20" t="n">
        <f aca="false">9-F370</f>
        <v>0.543531649872785</v>
      </c>
      <c r="H370" s="20" t="n">
        <f aca="false">IF(G370&gt;=1,G370,0)</f>
        <v>0</v>
      </c>
      <c r="I370" s="5" t="s">
        <v>774</v>
      </c>
      <c r="J370" s="5" t="s">
        <v>787</v>
      </c>
    </row>
    <row r="371" customFormat="false" ht="15" hidden="false" customHeight="false" outlineLevel="0" collapsed="false">
      <c r="A371" s="5" t="s">
        <v>216</v>
      </c>
      <c r="B371" s="5" t="s">
        <v>168</v>
      </c>
      <c r="C371" s="5" t="n">
        <v>14</v>
      </c>
      <c r="D371" s="5" t="s">
        <v>773</v>
      </c>
      <c r="E371" s="5" t="n">
        <v>2</v>
      </c>
      <c r="F371" s="20" t="n">
        <v>8.45646835012722</v>
      </c>
      <c r="G371" s="20" t="n">
        <f aca="false">9-F371</f>
        <v>0.543531649872785</v>
      </c>
      <c r="H371" s="20" t="n">
        <f aca="false">IF(G371&gt;=1,G371,0)</f>
        <v>0</v>
      </c>
      <c r="I371" s="5" t="s">
        <v>774</v>
      </c>
      <c r="J371" s="5" t="s">
        <v>788</v>
      </c>
    </row>
    <row r="372" customFormat="false" ht="15" hidden="false" customHeight="false" outlineLevel="0" collapsed="false">
      <c r="A372" s="5" t="s">
        <v>216</v>
      </c>
      <c r="B372" s="5" t="s">
        <v>168</v>
      </c>
      <c r="C372" s="5" t="n">
        <v>15</v>
      </c>
      <c r="D372" s="5" t="s">
        <v>773</v>
      </c>
      <c r="E372" s="5" t="n">
        <v>2</v>
      </c>
      <c r="F372" s="20" t="n">
        <v>8.45646835012722</v>
      </c>
      <c r="G372" s="20" t="n">
        <f aca="false">9-F372</f>
        <v>0.543531649872785</v>
      </c>
      <c r="H372" s="20" t="n">
        <f aca="false">IF(G372&gt;=1,G372,0)</f>
        <v>0</v>
      </c>
      <c r="I372" s="5" t="s">
        <v>774</v>
      </c>
      <c r="J372" s="5" t="s">
        <v>789</v>
      </c>
    </row>
    <row r="373" customFormat="false" ht="15" hidden="false" customHeight="false" outlineLevel="0" collapsed="false">
      <c r="A373" s="5" t="s">
        <v>216</v>
      </c>
      <c r="B373" s="5" t="s">
        <v>168</v>
      </c>
      <c r="C373" s="5" t="n">
        <v>16</v>
      </c>
      <c r="D373" s="5" t="s">
        <v>773</v>
      </c>
      <c r="E373" s="5" t="n">
        <v>2</v>
      </c>
      <c r="F373" s="20" t="n">
        <v>8.45646835012722</v>
      </c>
      <c r="G373" s="20" t="n">
        <f aca="false">9-F373</f>
        <v>0.543531649872785</v>
      </c>
      <c r="H373" s="20" t="n">
        <f aca="false">IF(G373&gt;=1,G373,0)</f>
        <v>0</v>
      </c>
      <c r="I373" s="5" t="s">
        <v>774</v>
      </c>
      <c r="J373" s="5" t="s">
        <v>790</v>
      </c>
    </row>
    <row r="374" customFormat="false" ht="15" hidden="false" customHeight="false" outlineLevel="0" collapsed="false">
      <c r="A374" s="5" t="s">
        <v>216</v>
      </c>
      <c r="B374" s="5" t="s">
        <v>168</v>
      </c>
      <c r="C374" s="5" t="n">
        <v>17</v>
      </c>
      <c r="D374" s="5" t="s">
        <v>773</v>
      </c>
      <c r="E374" s="5" t="n">
        <v>2</v>
      </c>
      <c r="F374" s="20" t="n">
        <v>8.45646835012722</v>
      </c>
      <c r="G374" s="20" t="n">
        <f aca="false">9-F374</f>
        <v>0.543531649872785</v>
      </c>
      <c r="H374" s="20" t="n">
        <f aca="false">IF(G374&gt;=1,G374,0)</f>
        <v>0</v>
      </c>
      <c r="I374" s="5" t="s">
        <v>774</v>
      </c>
      <c r="J374" s="5" t="s">
        <v>791</v>
      </c>
    </row>
    <row r="375" customFormat="false" ht="15" hidden="false" customHeight="false" outlineLevel="0" collapsed="false">
      <c r="A375" s="5" t="s">
        <v>216</v>
      </c>
      <c r="B375" s="5" t="s">
        <v>168</v>
      </c>
      <c r="C375" s="5" t="n">
        <v>18</v>
      </c>
      <c r="D375" s="5" t="s">
        <v>792</v>
      </c>
      <c r="E375" s="5" t="n">
        <v>3</v>
      </c>
      <c r="F375" s="20" t="n">
        <v>8.78793670025443</v>
      </c>
      <c r="G375" s="20" t="n">
        <f aca="false">9-F375</f>
        <v>0.212063299745568</v>
      </c>
      <c r="H375" s="20" t="n">
        <f aca="false">IF(G375&gt;=1,G375,0)</f>
        <v>0</v>
      </c>
      <c r="I375" s="5" t="s">
        <v>774</v>
      </c>
      <c r="J375" s="5" t="s">
        <v>793</v>
      </c>
    </row>
    <row r="376" customFormat="false" ht="15" hidden="false" customHeight="false" outlineLevel="0" collapsed="false">
      <c r="A376" s="5" t="s">
        <v>216</v>
      </c>
      <c r="B376" s="5" t="s">
        <v>168</v>
      </c>
      <c r="C376" s="5" t="n">
        <v>19</v>
      </c>
      <c r="D376" s="5" t="s">
        <v>794</v>
      </c>
      <c r="E376" s="5" t="n">
        <v>3</v>
      </c>
      <c r="F376" s="20" t="n">
        <v>8.78793670025443</v>
      </c>
      <c r="G376" s="20" t="n">
        <f aca="false">9-F376</f>
        <v>0.212063299745573</v>
      </c>
      <c r="H376" s="20" t="n">
        <f aca="false">IF(G376&gt;=1,G376,0)</f>
        <v>0</v>
      </c>
      <c r="I376" s="5" t="s">
        <v>774</v>
      </c>
      <c r="J376" s="5" t="s">
        <v>795</v>
      </c>
    </row>
    <row r="377" customFormat="false" ht="15" hidden="false" customHeight="false" outlineLevel="0" collapsed="false">
      <c r="A377" s="5" t="s">
        <v>216</v>
      </c>
      <c r="B377" s="5" t="s">
        <v>168</v>
      </c>
      <c r="C377" s="5" t="n">
        <v>20</v>
      </c>
      <c r="D377" s="5" t="s">
        <v>794</v>
      </c>
      <c r="E377" s="5" t="n">
        <v>3</v>
      </c>
      <c r="F377" s="20" t="n">
        <v>8.78793670025443</v>
      </c>
      <c r="G377" s="20" t="n">
        <f aca="false">9-F377</f>
        <v>0.212063299745575</v>
      </c>
      <c r="H377" s="20" t="n">
        <f aca="false">IF(G377&gt;=1,G377,0)</f>
        <v>0</v>
      </c>
      <c r="I377" s="5" t="s">
        <v>774</v>
      </c>
      <c r="J377" s="5" t="s">
        <v>796</v>
      </c>
    </row>
    <row r="378" customFormat="false" ht="15" hidden="false" customHeight="false" outlineLevel="0" collapsed="false">
      <c r="A378" s="5" t="s">
        <v>216</v>
      </c>
      <c r="B378" s="5" t="s">
        <v>168</v>
      </c>
      <c r="C378" s="5" t="n">
        <v>21</v>
      </c>
      <c r="D378" s="5" t="s">
        <v>794</v>
      </c>
      <c r="E378" s="5" t="n">
        <v>3</v>
      </c>
      <c r="F378" s="20" t="n">
        <v>8.78793670025443</v>
      </c>
      <c r="G378" s="20" t="n">
        <f aca="false">9-F378</f>
        <v>0.212063299745575</v>
      </c>
      <c r="H378" s="20" t="n">
        <f aca="false">IF(G378&gt;=1,G378,0)</f>
        <v>0</v>
      </c>
      <c r="I378" s="5" t="s">
        <v>774</v>
      </c>
      <c r="J378" s="5" t="s">
        <v>797</v>
      </c>
    </row>
    <row r="379" customFormat="false" ht="15" hidden="false" customHeight="false" outlineLevel="0" collapsed="false">
      <c r="A379" s="5" t="s">
        <v>216</v>
      </c>
      <c r="B379" s="5" t="s">
        <v>168</v>
      </c>
      <c r="C379" s="5" t="n">
        <v>22</v>
      </c>
      <c r="D379" s="5" t="s">
        <v>794</v>
      </c>
      <c r="E379" s="5" t="n">
        <v>3</v>
      </c>
      <c r="F379" s="20" t="n">
        <v>8.78793670025443</v>
      </c>
      <c r="G379" s="20" t="n">
        <f aca="false">9-F379</f>
        <v>0.212063299745575</v>
      </c>
      <c r="H379" s="20" t="n">
        <f aca="false">IF(G379&gt;=1,G379,0)</f>
        <v>0</v>
      </c>
      <c r="I379" s="5" t="s">
        <v>774</v>
      </c>
      <c r="J379" s="5" t="s">
        <v>798</v>
      </c>
    </row>
    <row r="380" customFormat="false" ht="15" hidden="false" customHeight="false" outlineLevel="0" collapsed="false">
      <c r="A380" s="5" t="s">
        <v>216</v>
      </c>
      <c r="B380" s="5" t="s">
        <v>168</v>
      </c>
      <c r="C380" s="5" t="n">
        <v>23</v>
      </c>
      <c r="D380" s="5" t="s">
        <v>794</v>
      </c>
      <c r="E380" s="5" t="n">
        <v>3</v>
      </c>
      <c r="F380" s="20" t="n">
        <v>8.78793670025443</v>
      </c>
      <c r="G380" s="20" t="n">
        <f aca="false">9-F380</f>
        <v>0.212063299745575</v>
      </c>
      <c r="H380" s="20" t="n">
        <f aca="false">IF(G380&gt;=1,G380,0)</f>
        <v>0</v>
      </c>
      <c r="I380" s="5" t="s">
        <v>774</v>
      </c>
      <c r="J380" s="5" t="s">
        <v>799</v>
      </c>
    </row>
    <row r="381" customFormat="false" ht="15" hidden="false" customHeight="false" outlineLevel="0" collapsed="false">
      <c r="A381" s="5" t="s">
        <v>216</v>
      </c>
      <c r="B381" s="5" t="s">
        <v>168</v>
      </c>
      <c r="C381" s="5" t="n">
        <v>24</v>
      </c>
      <c r="D381" s="5" t="s">
        <v>794</v>
      </c>
      <c r="E381" s="5" t="n">
        <v>3</v>
      </c>
      <c r="F381" s="20" t="n">
        <v>8.78793670025443</v>
      </c>
      <c r="G381" s="20" t="n">
        <f aca="false">9-F381</f>
        <v>0.212063299745575</v>
      </c>
      <c r="H381" s="20" t="n">
        <f aca="false">IF(G381&gt;=1,G381,0)</f>
        <v>0</v>
      </c>
      <c r="I381" s="5" t="s">
        <v>774</v>
      </c>
      <c r="J381" s="5" t="s">
        <v>800</v>
      </c>
    </row>
    <row r="382" customFormat="false" ht="15" hidden="false" customHeight="false" outlineLevel="0" collapsed="false">
      <c r="A382" s="5" t="s">
        <v>216</v>
      </c>
      <c r="B382" s="5" t="s">
        <v>168</v>
      </c>
      <c r="C382" s="5" t="n">
        <v>25</v>
      </c>
      <c r="D382" s="5" t="s">
        <v>794</v>
      </c>
      <c r="E382" s="5" t="n">
        <v>3</v>
      </c>
      <c r="F382" s="20" t="n">
        <v>8.78793670025443</v>
      </c>
      <c r="G382" s="20" t="n">
        <f aca="false">9-F382</f>
        <v>0.212063299745575</v>
      </c>
      <c r="H382" s="20" t="n">
        <f aca="false">IF(G382&gt;=1,G382,0)</f>
        <v>0</v>
      </c>
      <c r="I382" s="5" t="s">
        <v>774</v>
      </c>
      <c r="J382" s="5" t="s">
        <v>801</v>
      </c>
    </row>
    <row r="383" customFormat="false" ht="15" hidden="false" customHeight="false" outlineLevel="0" collapsed="false">
      <c r="A383" s="5" t="s">
        <v>216</v>
      </c>
      <c r="B383" s="5" t="s">
        <v>168</v>
      </c>
      <c r="C383" s="5" t="n">
        <v>26</v>
      </c>
      <c r="D383" s="5" t="s">
        <v>794</v>
      </c>
      <c r="E383" s="5" t="n">
        <v>3</v>
      </c>
      <c r="F383" s="20" t="n">
        <v>8.78793670025443</v>
      </c>
      <c r="G383" s="20" t="n">
        <f aca="false">9-F383</f>
        <v>0.212063299745575</v>
      </c>
      <c r="H383" s="20" t="n">
        <f aca="false">IF(G383&gt;=1,G383,0)</f>
        <v>0</v>
      </c>
      <c r="I383" s="5" t="s">
        <v>774</v>
      </c>
      <c r="J383" s="5" t="s">
        <v>802</v>
      </c>
    </row>
    <row r="384" customFormat="false" ht="15" hidden="false" customHeight="false" outlineLevel="0" collapsed="false">
      <c r="A384" s="5" t="s">
        <v>216</v>
      </c>
      <c r="B384" s="5" t="s">
        <v>168</v>
      </c>
      <c r="C384" s="5" t="n">
        <v>27</v>
      </c>
      <c r="D384" s="5" t="s">
        <v>794</v>
      </c>
      <c r="E384" s="5" t="n">
        <v>3</v>
      </c>
      <c r="F384" s="20" t="n">
        <v>8.78793670025443</v>
      </c>
      <c r="G384" s="20" t="n">
        <f aca="false">9-F384</f>
        <v>0.212063299745575</v>
      </c>
      <c r="H384" s="20" t="n">
        <f aca="false">IF(G384&gt;=1,G384,0)</f>
        <v>0</v>
      </c>
      <c r="I384" s="5" t="s">
        <v>774</v>
      </c>
      <c r="J384" s="5" t="s">
        <v>803</v>
      </c>
    </row>
    <row r="385" customFormat="false" ht="15" hidden="false" customHeight="false" outlineLevel="0" collapsed="false">
      <c r="A385" s="5" t="s">
        <v>216</v>
      </c>
      <c r="B385" s="5" t="s">
        <v>168</v>
      </c>
      <c r="C385" s="5" t="n">
        <v>28</v>
      </c>
      <c r="D385" s="5" t="s">
        <v>794</v>
      </c>
      <c r="E385" s="5" t="n">
        <v>3</v>
      </c>
      <c r="F385" s="20" t="n">
        <v>8.78793670025443</v>
      </c>
      <c r="G385" s="20" t="n">
        <f aca="false">9-F385</f>
        <v>0.212063299745575</v>
      </c>
      <c r="H385" s="20" t="n">
        <f aca="false">IF(G385&gt;=1,G385,0)</f>
        <v>0</v>
      </c>
      <c r="I385" s="5" t="s">
        <v>774</v>
      </c>
      <c r="J385" s="5" t="s">
        <v>804</v>
      </c>
    </row>
    <row r="386" customFormat="false" ht="15" hidden="false" customHeight="false" outlineLevel="0" collapsed="false">
      <c r="A386" s="5" t="s">
        <v>216</v>
      </c>
      <c r="B386" s="5" t="s">
        <v>168</v>
      </c>
      <c r="C386" s="5" t="n">
        <v>29</v>
      </c>
      <c r="D386" s="5" t="s">
        <v>794</v>
      </c>
      <c r="E386" s="5" t="n">
        <v>3</v>
      </c>
      <c r="F386" s="20" t="n">
        <v>8.78793670025443</v>
      </c>
      <c r="G386" s="20" t="n">
        <f aca="false">9-F386</f>
        <v>0.212063299745575</v>
      </c>
      <c r="H386" s="20" t="n">
        <f aca="false">IF(G386&gt;=1,G386,0)</f>
        <v>0</v>
      </c>
      <c r="I386" s="5" t="s">
        <v>774</v>
      </c>
      <c r="J386" s="5" t="s">
        <v>805</v>
      </c>
    </row>
    <row r="387" customFormat="false" ht="15" hidden="false" customHeight="false" outlineLevel="0" collapsed="false">
      <c r="A387" s="5" t="s">
        <v>216</v>
      </c>
      <c r="B387" s="5" t="s">
        <v>168</v>
      </c>
      <c r="C387" s="5" t="n">
        <v>30</v>
      </c>
      <c r="D387" s="5" t="s">
        <v>794</v>
      </c>
      <c r="E387" s="5" t="n">
        <v>3</v>
      </c>
      <c r="F387" s="20" t="n">
        <v>8.78793670025443</v>
      </c>
      <c r="G387" s="20" t="n">
        <f aca="false">9-F387</f>
        <v>0.212063299745575</v>
      </c>
      <c r="H387" s="20" t="n">
        <f aca="false">IF(G387&gt;=1,G387,0)</f>
        <v>0</v>
      </c>
      <c r="I387" s="5" t="s">
        <v>774</v>
      </c>
      <c r="J387" s="5" t="s">
        <v>806</v>
      </c>
    </row>
    <row r="388" customFormat="false" ht="15" hidden="false" customHeight="false" outlineLevel="0" collapsed="false">
      <c r="A388" s="5" t="s">
        <v>216</v>
      </c>
      <c r="B388" s="5" t="s">
        <v>168</v>
      </c>
      <c r="C388" s="5" t="n">
        <v>31</v>
      </c>
      <c r="D388" s="5" t="s">
        <v>794</v>
      </c>
      <c r="E388" s="5" t="n">
        <v>3</v>
      </c>
      <c r="F388" s="20" t="n">
        <v>8.78793670025443</v>
      </c>
      <c r="G388" s="20" t="n">
        <f aca="false">9-F388</f>
        <v>0.212063299745575</v>
      </c>
      <c r="H388" s="20" t="n">
        <f aca="false">IF(G388&gt;=1,G388,0)</f>
        <v>0</v>
      </c>
      <c r="I388" s="5" t="s">
        <v>774</v>
      </c>
      <c r="J388" s="5" t="s">
        <v>807</v>
      </c>
    </row>
    <row r="389" customFormat="false" ht="15" hidden="false" customHeight="false" outlineLevel="0" collapsed="false">
      <c r="A389" s="5" t="s">
        <v>216</v>
      </c>
      <c r="B389" s="5" t="s">
        <v>168</v>
      </c>
      <c r="C389" s="5" t="n">
        <v>32</v>
      </c>
      <c r="D389" s="5" t="s">
        <v>794</v>
      </c>
      <c r="E389" s="5" t="n">
        <v>3</v>
      </c>
      <c r="F389" s="20" t="n">
        <v>8.78793670025443</v>
      </c>
      <c r="G389" s="20" t="n">
        <f aca="false">9-F389</f>
        <v>0.212063299745575</v>
      </c>
      <c r="H389" s="20" t="n">
        <f aca="false">IF(G389&gt;=1,G389,0)</f>
        <v>0</v>
      </c>
      <c r="I389" s="5" t="s">
        <v>774</v>
      </c>
      <c r="J389" s="5" t="s">
        <v>808</v>
      </c>
    </row>
    <row r="390" customFormat="false" ht="15" hidden="false" customHeight="false" outlineLevel="0" collapsed="false">
      <c r="A390" s="5" t="s">
        <v>216</v>
      </c>
      <c r="B390" s="5" t="s">
        <v>168</v>
      </c>
      <c r="C390" s="5" t="n">
        <v>33</v>
      </c>
      <c r="D390" s="5" t="s">
        <v>794</v>
      </c>
      <c r="E390" s="5" t="n">
        <v>3</v>
      </c>
      <c r="F390" s="20" t="n">
        <v>8.78793670025443</v>
      </c>
      <c r="G390" s="20" t="n">
        <f aca="false">9-F390</f>
        <v>0.212063299745575</v>
      </c>
      <c r="H390" s="20" t="n">
        <f aca="false">IF(G390&gt;=1,G390,0)</f>
        <v>0</v>
      </c>
      <c r="I390" s="5" t="s">
        <v>774</v>
      </c>
      <c r="J390" s="5" t="s">
        <v>809</v>
      </c>
    </row>
    <row r="391" customFormat="false" ht="15" hidden="false" customHeight="false" outlineLevel="0" collapsed="false">
      <c r="A391" s="5" t="s">
        <v>216</v>
      </c>
      <c r="B391" s="5" t="s">
        <v>168</v>
      </c>
      <c r="C391" s="5" t="n">
        <v>34</v>
      </c>
      <c r="D391" s="5" t="s">
        <v>794</v>
      </c>
      <c r="E391" s="5" t="n">
        <v>3</v>
      </c>
      <c r="F391" s="20" t="n">
        <v>8.78553748821429</v>
      </c>
      <c r="G391" s="20" t="n">
        <f aca="false">9-F391</f>
        <v>0.214462511785708</v>
      </c>
      <c r="H391" s="20" t="n">
        <f aca="false">IF(G391&gt;=1,G391,0)</f>
        <v>0</v>
      </c>
      <c r="I391" s="5" t="s">
        <v>774</v>
      </c>
      <c r="J391" s="5" t="s">
        <v>810</v>
      </c>
    </row>
    <row r="392" customFormat="false" ht="15" hidden="false" customHeight="false" outlineLevel="0" collapsed="false">
      <c r="A392" s="5" t="s">
        <v>216</v>
      </c>
      <c r="B392" s="5" t="s">
        <v>168</v>
      </c>
      <c r="C392" s="5" t="n">
        <v>35</v>
      </c>
      <c r="D392" s="5" t="s">
        <v>811</v>
      </c>
      <c r="E392" s="5" t="n">
        <v>3</v>
      </c>
      <c r="F392" s="20" t="n">
        <v>8.76672028391321</v>
      </c>
      <c r="G392" s="20" t="n">
        <f aca="false">9-F392</f>
        <v>0.233279716086786</v>
      </c>
      <c r="H392" s="20" t="n">
        <f aca="false">IF(G392&gt;=1,G392,0)</f>
        <v>0</v>
      </c>
      <c r="I392" s="5" t="s">
        <v>774</v>
      </c>
      <c r="J392" s="5" t="s">
        <v>812</v>
      </c>
    </row>
    <row r="393" customFormat="false" ht="15" hidden="false" customHeight="false" outlineLevel="0" collapsed="false">
      <c r="A393" s="5" t="s">
        <v>216</v>
      </c>
      <c r="B393" s="5" t="s">
        <v>168</v>
      </c>
      <c r="C393" s="5" t="n">
        <v>36</v>
      </c>
      <c r="D393" s="5" t="s">
        <v>813</v>
      </c>
      <c r="E393" s="5" t="n">
        <v>3</v>
      </c>
      <c r="F393" s="20" t="n">
        <v>8.74790307961214</v>
      </c>
      <c r="G393" s="20" t="n">
        <f aca="false">9-F393</f>
        <v>0.252096920387865</v>
      </c>
      <c r="H393" s="20" t="n">
        <f aca="false">IF(G393&gt;=1,G393,0)</f>
        <v>0</v>
      </c>
      <c r="I393" s="5" t="s">
        <v>774</v>
      </c>
      <c r="J393" s="5" t="s">
        <v>814</v>
      </c>
    </row>
    <row r="394" customFormat="false" ht="15" hidden="false" customHeight="false" outlineLevel="0" collapsed="false">
      <c r="A394" s="5" t="s">
        <v>216</v>
      </c>
      <c r="B394" s="5" t="s">
        <v>168</v>
      </c>
      <c r="C394" s="5" t="n">
        <v>37</v>
      </c>
      <c r="D394" s="5" t="s">
        <v>815</v>
      </c>
      <c r="E394" s="5" t="n">
        <v>3</v>
      </c>
      <c r="F394" s="20" t="n">
        <v>8.72908587531106</v>
      </c>
      <c r="G394" s="20" t="n">
        <f aca="false">9-F394</f>
        <v>0.270914124688936</v>
      </c>
      <c r="H394" s="20" t="n">
        <f aca="false">IF(G394&gt;=1,G394,0)</f>
        <v>0</v>
      </c>
      <c r="I394" s="5" t="s">
        <v>774</v>
      </c>
      <c r="J394" s="5" t="s">
        <v>816</v>
      </c>
    </row>
    <row r="395" customFormat="false" ht="15" hidden="false" customHeight="false" outlineLevel="0" collapsed="false">
      <c r="A395" s="5" t="s">
        <v>216</v>
      </c>
      <c r="B395" s="5" t="s">
        <v>168</v>
      </c>
      <c r="C395" s="5" t="n">
        <v>38</v>
      </c>
      <c r="D395" s="5" t="s">
        <v>817</v>
      </c>
      <c r="E395" s="5" t="n">
        <v>3</v>
      </c>
      <c r="F395" s="20" t="n">
        <v>8.71026867101</v>
      </c>
      <c r="G395" s="20" t="n">
        <f aca="false">9-F395</f>
        <v>0.289731328990005</v>
      </c>
      <c r="H395" s="20" t="n">
        <f aca="false">IF(G395&gt;=1,G395,0)</f>
        <v>0</v>
      </c>
      <c r="I395" s="5" t="s">
        <v>774</v>
      </c>
      <c r="J395" s="5" t="s">
        <v>818</v>
      </c>
    </row>
    <row r="396" customFormat="false" ht="15" hidden="false" customHeight="false" outlineLevel="0" collapsed="false">
      <c r="A396" s="5" t="s">
        <v>216</v>
      </c>
      <c r="B396" s="5" t="s">
        <v>168</v>
      </c>
      <c r="C396" s="5" t="n">
        <v>39</v>
      </c>
      <c r="D396" s="5" t="s">
        <v>819</v>
      </c>
      <c r="E396" s="5" t="n">
        <v>3</v>
      </c>
      <c r="F396" s="20" t="n">
        <v>8.69145146670892</v>
      </c>
      <c r="G396" s="20" t="n">
        <f aca="false">9-F396</f>
        <v>0.308548533291084</v>
      </c>
      <c r="H396" s="20" t="n">
        <f aca="false">IF(G396&gt;=1,G396,0)</f>
        <v>0</v>
      </c>
      <c r="I396" s="5" t="s">
        <v>774</v>
      </c>
      <c r="J396" s="5" t="s">
        <v>820</v>
      </c>
    </row>
    <row r="397" customFormat="false" ht="15" hidden="false" customHeight="false" outlineLevel="0" collapsed="false">
      <c r="A397" s="5" t="s">
        <v>216</v>
      </c>
      <c r="B397" s="5" t="s">
        <v>168</v>
      </c>
      <c r="C397" s="5" t="n">
        <v>40</v>
      </c>
      <c r="D397" s="5" t="s">
        <v>821</v>
      </c>
      <c r="E397" s="5" t="n">
        <v>3</v>
      </c>
      <c r="F397" s="20" t="n">
        <v>8.67263426240785</v>
      </c>
      <c r="G397" s="20" t="n">
        <f aca="false">9-F397</f>
        <v>0.327365737592155</v>
      </c>
      <c r="H397" s="20" t="n">
        <f aca="false">IF(G397&gt;=1,G397,0)</f>
        <v>0</v>
      </c>
      <c r="I397" s="5" t="s">
        <v>774</v>
      </c>
      <c r="J397" s="5" t="s">
        <v>822</v>
      </c>
    </row>
    <row r="398" customFormat="false" ht="15" hidden="false" customHeight="false" outlineLevel="0" collapsed="false">
      <c r="A398" s="5" t="s">
        <v>216</v>
      </c>
      <c r="B398" s="5" t="s">
        <v>168</v>
      </c>
      <c r="C398" s="5" t="n">
        <v>41</v>
      </c>
      <c r="D398" s="5" t="s">
        <v>823</v>
      </c>
      <c r="E398" s="5" t="n">
        <v>3</v>
      </c>
      <c r="F398" s="20" t="n">
        <v>8.65381705810676</v>
      </c>
      <c r="G398" s="20" t="n">
        <f aca="false">9-F398</f>
        <v>0.346182941893241</v>
      </c>
      <c r="H398" s="20" t="n">
        <f aca="false">IF(G398&gt;=1,G398,0)</f>
        <v>0</v>
      </c>
      <c r="I398" s="5" t="s">
        <v>774</v>
      </c>
      <c r="J398" s="5" t="s">
        <v>824</v>
      </c>
    </row>
    <row r="399" customFormat="false" ht="15" hidden="false" customHeight="false" outlineLevel="0" collapsed="false">
      <c r="A399" s="5" t="s">
        <v>216</v>
      </c>
      <c r="B399" s="5" t="s">
        <v>168</v>
      </c>
      <c r="C399" s="5" t="n">
        <v>42</v>
      </c>
      <c r="D399" s="5" t="s">
        <v>825</v>
      </c>
      <c r="E399" s="5" t="n">
        <v>1</v>
      </c>
      <c r="F399" s="20" t="n">
        <v>6.92206315355126</v>
      </c>
      <c r="G399" s="20" t="n">
        <f aca="false">9-F399</f>
        <v>2.07793684644874</v>
      </c>
      <c r="H399" s="20" t="n">
        <f aca="false">IF(G399&gt;=1,G399,0)</f>
        <v>2.07793684644874</v>
      </c>
      <c r="I399" s="5" t="s">
        <v>774</v>
      </c>
      <c r="J399" s="5" t="s">
        <v>826</v>
      </c>
    </row>
    <row r="400" customFormat="false" ht="15" hidden="false" customHeight="false" outlineLevel="0" collapsed="false">
      <c r="A400" s="5" t="s">
        <v>216</v>
      </c>
      <c r="B400" s="5" t="s">
        <v>168</v>
      </c>
      <c r="C400" s="5" t="n">
        <v>43</v>
      </c>
      <c r="D400" s="5" t="s">
        <v>827</v>
      </c>
      <c r="E400" s="5" t="n">
        <v>1</v>
      </c>
      <c r="F400" s="20" t="n">
        <v>6.90324594925019</v>
      </c>
      <c r="G400" s="20" t="n">
        <f aca="false">9-F400</f>
        <v>2.09675405074981</v>
      </c>
      <c r="H400" s="20" t="n">
        <f aca="false">IF(G400&gt;=1,G400,0)</f>
        <v>2.09675405074981</v>
      </c>
      <c r="I400" s="5" t="s">
        <v>774</v>
      </c>
      <c r="J400" s="5" t="s">
        <v>828</v>
      </c>
    </row>
    <row r="401" customFormat="false" ht="15" hidden="false" customHeight="false" outlineLevel="0" collapsed="false">
      <c r="A401" s="5" t="s">
        <v>216</v>
      </c>
      <c r="B401" s="5" t="s">
        <v>168</v>
      </c>
      <c r="C401" s="5" t="n">
        <v>44</v>
      </c>
      <c r="D401" s="5" t="s">
        <v>829</v>
      </c>
      <c r="E401" s="5" t="n">
        <v>1</v>
      </c>
      <c r="F401" s="20" t="n">
        <v>6.89480519480516</v>
      </c>
      <c r="G401" s="20" t="n">
        <f aca="false">9-F401</f>
        <v>2.10519480519484</v>
      </c>
      <c r="H401" s="20" t="n">
        <f aca="false">IF(G401&gt;=1,G401,0)</f>
        <v>2.10519480519484</v>
      </c>
      <c r="I401" s="5" t="s">
        <v>774</v>
      </c>
      <c r="J401" s="5" t="s">
        <v>830</v>
      </c>
    </row>
    <row r="402" customFormat="false" ht="15" hidden="false" customHeight="false" outlineLevel="0" collapsed="false">
      <c r="A402" s="5" t="s">
        <v>216</v>
      </c>
      <c r="B402" s="5" t="s">
        <v>168</v>
      </c>
      <c r="C402" s="5" t="n">
        <v>45</v>
      </c>
      <c r="D402" s="5" t="s">
        <v>831</v>
      </c>
      <c r="E402" s="5" t="n">
        <v>1</v>
      </c>
      <c r="F402" s="20" t="n">
        <v>6.88442874494911</v>
      </c>
      <c r="G402" s="20" t="n">
        <f aca="false">9-F402</f>
        <v>2.11557125505089</v>
      </c>
      <c r="H402" s="20" t="n">
        <f aca="false">IF(G402&gt;=1,G402,0)</f>
        <v>2.11557125505089</v>
      </c>
      <c r="I402" s="5" t="s">
        <v>774</v>
      </c>
      <c r="J402" s="5" t="s">
        <v>832</v>
      </c>
    </row>
    <row r="403" customFormat="false" ht="15" hidden="false" customHeight="false" outlineLevel="0" collapsed="false">
      <c r="A403" s="5" t="s">
        <v>216</v>
      </c>
      <c r="B403" s="5" t="s">
        <v>168</v>
      </c>
      <c r="C403" s="5" t="n">
        <v>46</v>
      </c>
      <c r="D403" s="5" t="s">
        <v>833</v>
      </c>
      <c r="E403" s="5" t="n">
        <v>1</v>
      </c>
      <c r="F403" s="20" t="n">
        <v>6.86561154064804</v>
      </c>
      <c r="G403" s="20" t="n">
        <f aca="false">9-F403</f>
        <v>2.13438845935196</v>
      </c>
      <c r="H403" s="20" t="n">
        <f aca="false">IF(G403&gt;=1,G403,0)</f>
        <v>2.13438845935196</v>
      </c>
      <c r="I403" s="5" t="s">
        <v>774</v>
      </c>
      <c r="J403" s="5" t="s">
        <v>834</v>
      </c>
    </row>
    <row r="404" customFormat="false" ht="15" hidden="false" customHeight="false" outlineLevel="0" collapsed="false">
      <c r="A404" s="5" t="s">
        <v>216</v>
      </c>
      <c r="B404" s="5" t="s">
        <v>168</v>
      </c>
      <c r="C404" s="5" t="n">
        <v>47</v>
      </c>
      <c r="D404" s="5" t="s">
        <v>835</v>
      </c>
      <c r="E404" s="5" t="n">
        <v>1</v>
      </c>
      <c r="F404" s="20" t="n">
        <v>6.84679433634696</v>
      </c>
      <c r="G404" s="20" t="n">
        <f aca="false">9-F404</f>
        <v>2.15320566365304</v>
      </c>
      <c r="H404" s="20" t="n">
        <f aca="false">IF(G404&gt;=1,G404,0)</f>
        <v>2.15320566365304</v>
      </c>
      <c r="I404" s="5" t="s">
        <v>774</v>
      </c>
      <c r="J404" s="5" t="s">
        <v>836</v>
      </c>
    </row>
    <row r="405" customFormat="false" ht="15" hidden="false" customHeight="false" outlineLevel="0" collapsed="false">
      <c r="A405" s="5" t="s">
        <v>216</v>
      </c>
      <c r="B405" s="5" t="s">
        <v>168</v>
      </c>
      <c r="C405" s="5" t="n">
        <v>48</v>
      </c>
      <c r="D405" s="5" t="s">
        <v>837</v>
      </c>
      <c r="E405" s="5" t="n">
        <v>1</v>
      </c>
      <c r="F405" s="20" t="n">
        <v>6.82948250838998</v>
      </c>
      <c r="G405" s="20" t="n">
        <f aca="false">9-F405</f>
        <v>2.17051749161003</v>
      </c>
      <c r="H405" s="20" t="n">
        <f aca="false">IF(G405&gt;=1,G405,0)</f>
        <v>2.17051749161003</v>
      </c>
      <c r="I405" s="5" t="s">
        <v>774</v>
      </c>
      <c r="J405" s="5" t="s">
        <v>838</v>
      </c>
    </row>
    <row r="406" customFormat="false" ht="15" hidden="false" customHeight="false" outlineLevel="0" collapsed="false">
      <c r="A406" s="5" t="s">
        <v>216</v>
      </c>
      <c r="B406" s="5" t="s">
        <v>168</v>
      </c>
      <c r="C406" s="5" t="n">
        <v>49</v>
      </c>
      <c r="D406" s="5" t="s">
        <v>839</v>
      </c>
      <c r="E406" s="5" t="n">
        <v>1</v>
      </c>
      <c r="F406" s="20" t="n">
        <v>6.8091599277448</v>
      </c>
      <c r="G406" s="20" t="n">
        <f aca="false">9-F406</f>
        <v>2.1908400722552</v>
      </c>
      <c r="H406" s="20" t="n">
        <f aca="false">IF(G406&gt;=1,G406,0)</f>
        <v>2.1908400722552</v>
      </c>
      <c r="I406" s="5" t="s">
        <v>774</v>
      </c>
      <c r="J406" s="5" t="s">
        <v>840</v>
      </c>
    </row>
    <row r="407" customFormat="false" ht="15" hidden="false" customHeight="false" outlineLevel="0" collapsed="false">
      <c r="A407" s="5" t="s">
        <v>216</v>
      </c>
      <c r="B407" s="5" t="s">
        <v>168</v>
      </c>
      <c r="C407" s="5" t="n">
        <v>50</v>
      </c>
      <c r="D407" s="5" t="s">
        <v>841</v>
      </c>
      <c r="E407" s="5" t="n">
        <v>1</v>
      </c>
      <c r="F407" s="20" t="n">
        <v>6.31471422882008</v>
      </c>
      <c r="G407" s="20" t="n">
        <f aca="false">9-F407</f>
        <v>2.68528577117992</v>
      </c>
      <c r="H407" s="20" t="n">
        <f aca="false">IF(G407&gt;=1,G407,0)</f>
        <v>2.68528577117992</v>
      </c>
      <c r="I407" s="5" t="s">
        <v>774</v>
      </c>
      <c r="J407" s="5" t="s">
        <v>842</v>
      </c>
    </row>
    <row r="408" customFormat="false" ht="15" hidden="false" customHeight="false" outlineLevel="0" collapsed="false">
      <c r="A408" s="5" t="s">
        <v>216</v>
      </c>
      <c r="B408" s="5" t="s">
        <v>168</v>
      </c>
      <c r="C408" s="5" t="n">
        <v>51</v>
      </c>
      <c r="D408" s="5" t="s">
        <v>843</v>
      </c>
      <c r="E408" s="5" t="n">
        <v>1</v>
      </c>
      <c r="F408" s="20" t="n">
        <v>6.29589702451901</v>
      </c>
      <c r="G408" s="20" t="n">
        <f aca="false">9-F408</f>
        <v>2.70410297548099</v>
      </c>
      <c r="H408" s="20" t="n">
        <f aca="false">IF(G408&gt;=1,G408,0)</f>
        <v>2.70410297548099</v>
      </c>
      <c r="I408" s="5" t="s">
        <v>774</v>
      </c>
      <c r="J408" s="5" t="s">
        <v>844</v>
      </c>
    </row>
    <row r="409" customFormat="false" ht="15" hidden="false" customHeight="false" outlineLevel="0" collapsed="false">
      <c r="A409" s="5" t="s">
        <v>216</v>
      </c>
      <c r="B409" s="5" t="s">
        <v>168</v>
      </c>
      <c r="C409" s="5" t="n">
        <v>52</v>
      </c>
      <c r="D409" s="5" t="s">
        <v>845</v>
      </c>
      <c r="E409" s="5" t="n">
        <v>1</v>
      </c>
      <c r="F409" s="20" t="n">
        <v>6.27707982021792</v>
      </c>
      <c r="G409" s="20" t="n">
        <f aca="false">9-F409</f>
        <v>2.72292017978208</v>
      </c>
      <c r="H409" s="20" t="n">
        <f aca="false">IF(G409&gt;=1,G409,0)</f>
        <v>2.72292017978208</v>
      </c>
      <c r="I409" s="5" t="s">
        <v>774</v>
      </c>
      <c r="J409" s="5" t="s">
        <v>846</v>
      </c>
    </row>
    <row r="410" customFormat="false" ht="15" hidden="false" customHeight="false" outlineLevel="0" collapsed="false">
      <c r="A410" s="5" t="s">
        <v>216</v>
      </c>
      <c r="B410" s="5" t="s">
        <v>168</v>
      </c>
      <c r="C410" s="5" t="n">
        <v>53</v>
      </c>
      <c r="D410" s="5" t="s">
        <v>847</v>
      </c>
      <c r="E410" s="5" t="n">
        <v>1</v>
      </c>
      <c r="F410" s="20" t="n">
        <v>6.25826261591685</v>
      </c>
      <c r="G410" s="20" t="n">
        <f aca="false">9-F410</f>
        <v>2.74173738408315</v>
      </c>
      <c r="H410" s="20" t="n">
        <f aca="false">IF(G410&gt;=1,G410,0)</f>
        <v>2.74173738408315</v>
      </c>
      <c r="I410" s="5" t="s">
        <v>774</v>
      </c>
      <c r="J410" s="5" t="s">
        <v>848</v>
      </c>
    </row>
    <row r="411" customFormat="false" ht="15" hidden="false" customHeight="false" outlineLevel="0" collapsed="false">
      <c r="A411" s="5" t="s">
        <v>216</v>
      </c>
      <c r="B411" s="5" t="s">
        <v>168</v>
      </c>
      <c r="C411" s="5" t="n">
        <v>54</v>
      </c>
      <c r="D411" s="5" t="s">
        <v>849</v>
      </c>
      <c r="E411" s="5" t="n">
        <v>1</v>
      </c>
      <c r="F411" s="20" t="n">
        <v>6.23944541161578</v>
      </c>
      <c r="G411" s="20" t="n">
        <f aca="false">9-F411</f>
        <v>2.76055458838423</v>
      </c>
      <c r="H411" s="20" t="n">
        <f aca="false">IF(G411&gt;=1,G411,0)</f>
        <v>2.76055458838423</v>
      </c>
      <c r="I411" s="5" t="s">
        <v>774</v>
      </c>
      <c r="J411" s="5" t="s">
        <v>850</v>
      </c>
    </row>
    <row r="412" customFormat="false" ht="15" hidden="false" customHeight="false" outlineLevel="0" collapsed="false">
      <c r="A412" s="5" t="s">
        <v>216</v>
      </c>
      <c r="B412" s="5" t="s">
        <v>168</v>
      </c>
      <c r="C412" s="5" t="n">
        <v>55</v>
      </c>
      <c r="D412" s="5" t="s">
        <v>851</v>
      </c>
      <c r="E412" s="5" t="n">
        <v>1</v>
      </c>
      <c r="F412" s="20" t="n">
        <v>6.2206282073147</v>
      </c>
      <c r="G412" s="20" t="n">
        <f aca="false">9-F412</f>
        <v>2.7793717926853</v>
      </c>
      <c r="H412" s="20" t="n">
        <f aca="false">IF(G412&gt;=1,G412,0)</f>
        <v>2.7793717926853</v>
      </c>
      <c r="I412" s="5" t="s">
        <v>774</v>
      </c>
      <c r="J412" s="5" t="s">
        <v>852</v>
      </c>
    </row>
    <row r="413" customFormat="false" ht="15" hidden="false" customHeight="false" outlineLevel="0" collapsed="false">
      <c r="A413" s="5" t="s">
        <v>216</v>
      </c>
      <c r="B413" s="5" t="s">
        <v>168</v>
      </c>
      <c r="C413" s="5" t="n">
        <v>56</v>
      </c>
      <c r="D413" s="5" t="s">
        <v>853</v>
      </c>
      <c r="E413" s="5" t="n">
        <v>1</v>
      </c>
      <c r="F413" s="20" t="n">
        <v>6.20204998150824</v>
      </c>
      <c r="G413" s="20" t="n">
        <f aca="false">9-F413</f>
        <v>2.79795001849176</v>
      </c>
      <c r="H413" s="20" t="n">
        <f aca="false">IF(G413&gt;=1,G413,0)</f>
        <v>2.79795001849176</v>
      </c>
      <c r="I413" s="5" t="s">
        <v>774</v>
      </c>
      <c r="J413" s="5" t="s">
        <v>854</v>
      </c>
    </row>
    <row r="414" customFormat="false" ht="15" hidden="false" customHeight="false" outlineLevel="0" collapsed="false">
      <c r="A414" s="5" t="s">
        <v>216</v>
      </c>
      <c r="B414" s="5" t="s">
        <v>168</v>
      </c>
      <c r="C414" s="5" t="n">
        <v>57</v>
      </c>
      <c r="D414" s="5" t="s">
        <v>855</v>
      </c>
      <c r="E414" s="5" t="n">
        <v>1</v>
      </c>
      <c r="F414" s="20" t="n">
        <v>5.52500000000001</v>
      </c>
      <c r="G414" s="20" t="n">
        <f aca="false">9-F414</f>
        <v>3.475</v>
      </c>
      <c r="H414" s="20" t="n">
        <f aca="false">IF(G414&gt;=1,G414,0)</f>
        <v>3.475</v>
      </c>
      <c r="I414" s="5" t="s">
        <v>774</v>
      </c>
      <c r="J414" s="5" t="s">
        <v>856</v>
      </c>
    </row>
    <row r="415" customFormat="false" ht="15" hidden="false" customHeight="false" outlineLevel="0" collapsed="false">
      <c r="A415" s="5" t="s">
        <v>216</v>
      </c>
      <c r="B415" s="5" t="s">
        <v>168</v>
      </c>
      <c r="C415" s="5" t="n">
        <v>58</v>
      </c>
      <c r="D415" s="5" t="s">
        <v>855</v>
      </c>
      <c r="E415" s="5" t="n">
        <v>1</v>
      </c>
      <c r="F415" s="20" t="n">
        <v>5.52500000000001</v>
      </c>
      <c r="G415" s="20" t="n">
        <f aca="false">9-F415</f>
        <v>3.475</v>
      </c>
      <c r="H415" s="20" t="n">
        <f aca="false">IF(G415&gt;=1,G415,0)</f>
        <v>3.475</v>
      </c>
      <c r="I415" s="5" t="s">
        <v>774</v>
      </c>
      <c r="J415" s="5" t="s">
        <v>857</v>
      </c>
    </row>
    <row r="416" customFormat="false" ht="15" hidden="false" customHeight="false" outlineLevel="0" collapsed="false">
      <c r="A416" s="5" t="s">
        <v>216</v>
      </c>
      <c r="B416" s="5" t="s">
        <v>168</v>
      </c>
      <c r="C416" s="5" t="n">
        <v>59</v>
      </c>
      <c r="D416" s="5" t="s">
        <v>855</v>
      </c>
      <c r="E416" s="5" t="n">
        <v>1</v>
      </c>
      <c r="F416" s="20" t="n">
        <v>5.52500000000001</v>
      </c>
      <c r="G416" s="20" t="n">
        <f aca="false">9-F416</f>
        <v>3.475</v>
      </c>
      <c r="H416" s="20" t="n">
        <f aca="false">IF(G416&gt;=1,G416,0)</f>
        <v>3.475</v>
      </c>
      <c r="I416" s="5" t="s">
        <v>774</v>
      </c>
      <c r="J416" s="5" t="s">
        <v>858</v>
      </c>
    </row>
    <row r="417" customFormat="false" ht="15" hidden="false" customHeight="false" outlineLevel="0" collapsed="false">
      <c r="A417" s="5" t="s">
        <v>216</v>
      </c>
      <c r="B417" s="5" t="s">
        <v>168</v>
      </c>
      <c r="C417" s="5" t="n">
        <v>60</v>
      </c>
      <c r="D417" s="5" t="s">
        <v>855</v>
      </c>
      <c r="E417" s="5" t="n">
        <v>1</v>
      </c>
      <c r="F417" s="20" t="n">
        <v>5.52500000000001</v>
      </c>
      <c r="G417" s="20" t="n">
        <f aca="false">9-F417</f>
        <v>3.475</v>
      </c>
      <c r="H417" s="20" t="n">
        <f aca="false">IF(G417&gt;=1,G417,0)</f>
        <v>3.475</v>
      </c>
      <c r="I417" s="5" t="s">
        <v>774</v>
      </c>
      <c r="J417" s="5" t="s">
        <v>859</v>
      </c>
    </row>
    <row r="418" customFormat="false" ht="15" hidden="false" customHeight="false" outlineLevel="0" collapsed="false">
      <c r="A418" s="5" t="s">
        <v>216</v>
      </c>
      <c r="B418" s="5" t="s">
        <v>168</v>
      </c>
      <c r="C418" s="5" t="n">
        <v>61</v>
      </c>
      <c r="D418" s="5" t="s">
        <v>855</v>
      </c>
      <c r="E418" s="5" t="n">
        <v>1</v>
      </c>
      <c r="F418" s="20" t="n">
        <v>5.52500000000001</v>
      </c>
      <c r="G418" s="20" t="n">
        <f aca="false">9-F418</f>
        <v>3.475</v>
      </c>
      <c r="H418" s="20" t="n">
        <f aca="false">IF(G418&gt;=1,G418,0)</f>
        <v>3.475</v>
      </c>
      <c r="I418" s="5" t="s">
        <v>774</v>
      </c>
      <c r="J418" s="5" t="s">
        <v>860</v>
      </c>
    </row>
    <row r="419" customFormat="false" ht="15" hidden="false" customHeight="false" outlineLevel="0" collapsed="false">
      <c r="A419" s="5" t="s">
        <v>216</v>
      </c>
      <c r="B419" s="5" t="s">
        <v>168</v>
      </c>
      <c r="C419" s="5" t="n">
        <v>62</v>
      </c>
      <c r="D419" s="5" t="s">
        <v>855</v>
      </c>
      <c r="E419" s="5" t="n">
        <v>1</v>
      </c>
      <c r="F419" s="20" t="n">
        <v>5.525</v>
      </c>
      <c r="G419" s="20" t="n">
        <f aca="false">9-F419</f>
        <v>3.475</v>
      </c>
      <c r="H419" s="20" t="n">
        <f aca="false">IF(G419&gt;=1,G419,0)</f>
        <v>3.475</v>
      </c>
      <c r="I419" s="5" t="s">
        <v>774</v>
      </c>
      <c r="J419" s="5" t="s">
        <v>861</v>
      </c>
    </row>
    <row r="420" customFormat="false" ht="15" hidden="false" customHeight="false" outlineLevel="0" collapsed="false">
      <c r="A420" s="5" t="s">
        <v>216</v>
      </c>
      <c r="B420" s="5" t="s">
        <v>168</v>
      </c>
      <c r="C420" s="5" t="n">
        <v>63</v>
      </c>
      <c r="D420" s="5" t="s">
        <v>855</v>
      </c>
      <c r="E420" s="5" t="n">
        <v>1</v>
      </c>
      <c r="F420" s="20" t="n">
        <v>5.525</v>
      </c>
      <c r="G420" s="20" t="n">
        <f aca="false">9-F420</f>
        <v>3.475</v>
      </c>
      <c r="H420" s="20" t="n">
        <f aca="false">IF(G420&gt;=1,G420,0)</f>
        <v>3.475</v>
      </c>
      <c r="I420" s="5" t="s">
        <v>774</v>
      </c>
      <c r="J420" s="5" t="s">
        <v>862</v>
      </c>
    </row>
    <row r="421" customFormat="false" ht="15" hidden="false" customHeight="false" outlineLevel="0" collapsed="false">
      <c r="A421" s="5" t="s">
        <v>216</v>
      </c>
      <c r="B421" s="5" t="s">
        <v>168</v>
      </c>
      <c r="C421" s="5" t="n">
        <v>64</v>
      </c>
      <c r="D421" s="5" t="s">
        <v>855</v>
      </c>
      <c r="E421" s="5" t="n">
        <v>1</v>
      </c>
      <c r="F421" s="20" t="n">
        <v>5.525</v>
      </c>
      <c r="G421" s="20" t="n">
        <f aca="false">9-F421</f>
        <v>3.475</v>
      </c>
      <c r="H421" s="20" t="n">
        <f aca="false">IF(G421&gt;=1,G421,0)</f>
        <v>3.475</v>
      </c>
      <c r="I421" s="5" t="s">
        <v>774</v>
      </c>
      <c r="J421" s="5" t="s">
        <v>863</v>
      </c>
    </row>
    <row r="422" customFormat="false" ht="15" hidden="false" customHeight="false" outlineLevel="0" collapsed="false">
      <c r="A422" s="5" t="s">
        <v>216</v>
      </c>
      <c r="B422" s="5" t="s">
        <v>168</v>
      </c>
      <c r="C422" s="5" t="n">
        <v>65</v>
      </c>
      <c r="D422" s="5" t="s">
        <v>855</v>
      </c>
      <c r="E422" s="5" t="n">
        <v>1</v>
      </c>
      <c r="F422" s="20" t="n">
        <v>5.525</v>
      </c>
      <c r="G422" s="20" t="n">
        <f aca="false">9-F422</f>
        <v>3.475</v>
      </c>
      <c r="H422" s="20" t="n">
        <f aca="false">IF(G422&gt;=1,G422,0)</f>
        <v>3.475</v>
      </c>
      <c r="I422" s="5" t="s">
        <v>774</v>
      </c>
      <c r="J422" s="5" t="s">
        <v>864</v>
      </c>
    </row>
    <row r="423" customFormat="false" ht="15" hidden="false" customHeight="false" outlineLevel="0" collapsed="false">
      <c r="A423" s="5" t="s">
        <v>216</v>
      </c>
      <c r="B423" s="5" t="s">
        <v>168</v>
      </c>
      <c r="C423" s="5" t="n">
        <v>66</v>
      </c>
      <c r="D423" s="5" t="s">
        <v>855</v>
      </c>
      <c r="E423" s="5" t="n">
        <v>1</v>
      </c>
      <c r="F423" s="20" t="n">
        <v>5.525</v>
      </c>
      <c r="G423" s="20" t="n">
        <f aca="false">9-F423</f>
        <v>3.475</v>
      </c>
      <c r="H423" s="20" t="n">
        <f aca="false">IF(G423&gt;=1,G423,0)</f>
        <v>3.475</v>
      </c>
      <c r="I423" s="5" t="s">
        <v>774</v>
      </c>
      <c r="J423" s="5" t="s">
        <v>865</v>
      </c>
    </row>
    <row r="424" customFormat="false" ht="15" hidden="false" customHeight="false" outlineLevel="0" collapsed="false">
      <c r="A424" s="5" t="s">
        <v>216</v>
      </c>
      <c r="B424" s="5" t="s">
        <v>168</v>
      </c>
      <c r="C424" s="5" t="n">
        <v>67</v>
      </c>
      <c r="D424" s="5" t="s">
        <v>855</v>
      </c>
      <c r="E424" s="5" t="n">
        <v>1</v>
      </c>
      <c r="F424" s="20" t="n">
        <v>5.525</v>
      </c>
      <c r="G424" s="20" t="n">
        <f aca="false">9-F424</f>
        <v>3.475</v>
      </c>
      <c r="H424" s="20" t="n">
        <f aca="false">IF(G424&gt;=1,G424,0)</f>
        <v>3.475</v>
      </c>
      <c r="I424" s="5" t="s">
        <v>774</v>
      </c>
      <c r="J424" s="5" t="s">
        <v>866</v>
      </c>
    </row>
    <row r="425" customFormat="false" ht="15" hidden="false" customHeight="false" outlineLevel="0" collapsed="false">
      <c r="A425" s="5" t="s">
        <v>216</v>
      </c>
      <c r="B425" s="5" t="s">
        <v>168</v>
      </c>
      <c r="C425" s="5" t="n">
        <v>68</v>
      </c>
      <c r="D425" s="5" t="s">
        <v>855</v>
      </c>
      <c r="E425" s="5" t="n">
        <v>1</v>
      </c>
      <c r="F425" s="20" t="n">
        <v>5.525</v>
      </c>
      <c r="G425" s="20" t="n">
        <f aca="false">9-F425</f>
        <v>3.475</v>
      </c>
      <c r="H425" s="20" t="n">
        <f aca="false">IF(G425&gt;=1,G425,0)</f>
        <v>3.475</v>
      </c>
      <c r="I425" s="5" t="s">
        <v>774</v>
      </c>
      <c r="J425" s="5" t="s">
        <v>867</v>
      </c>
    </row>
    <row r="426" customFormat="false" ht="15" hidden="false" customHeight="false" outlineLevel="0" collapsed="false">
      <c r="A426" s="5" t="s">
        <v>216</v>
      </c>
      <c r="B426" s="5" t="s">
        <v>168</v>
      </c>
      <c r="C426" s="5" t="n">
        <v>69</v>
      </c>
      <c r="D426" s="5" t="s">
        <v>855</v>
      </c>
      <c r="E426" s="5" t="n">
        <v>1</v>
      </c>
      <c r="F426" s="20" t="n">
        <v>5.525</v>
      </c>
      <c r="G426" s="20" t="n">
        <f aca="false">9-F426</f>
        <v>3.475</v>
      </c>
      <c r="H426" s="20" t="n">
        <f aca="false">IF(G426&gt;=1,G426,0)</f>
        <v>3.475</v>
      </c>
      <c r="I426" s="5" t="s">
        <v>774</v>
      </c>
      <c r="J426" s="5" t="s">
        <v>868</v>
      </c>
    </row>
    <row r="427" customFormat="false" ht="15" hidden="false" customHeight="false" outlineLevel="0" collapsed="false">
      <c r="A427" s="5" t="s">
        <v>216</v>
      </c>
      <c r="B427" s="5" t="s">
        <v>168</v>
      </c>
      <c r="C427" s="5" t="n">
        <v>70</v>
      </c>
      <c r="D427" s="5" t="s">
        <v>855</v>
      </c>
      <c r="E427" s="5" t="n">
        <v>1</v>
      </c>
      <c r="F427" s="20" t="n">
        <v>5.525</v>
      </c>
      <c r="G427" s="20" t="n">
        <f aca="false">9-F427</f>
        <v>3.475</v>
      </c>
      <c r="H427" s="20" t="n">
        <f aca="false">IF(G427&gt;=1,G427,0)</f>
        <v>3.475</v>
      </c>
      <c r="I427" s="5" t="s">
        <v>774</v>
      </c>
      <c r="J427" s="5" t="s">
        <v>869</v>
      </c>
    </row>
    <row r="428" customFormat="false" ht="15" hidden="false" customHeight="false" outlineLevel="0" collapsed="false">
      <c r="A428" s="5" t="s">
        <v>216</v>
      </c>
      <c r="B428" s="5" t="s">
        <v>168</v>
      </c>
      <c r="C428" s="5" t="n">
        <v>71</v>
      </c>
      <c r="D428" s="5" t="s">
        <v>855</v>
      </c>
      <c r="E428" s="5" t="n">
        <v>1</v>
      </c>
      <c r="F428" s="20" t="n">
        <v>5.525</v>
      </c>
      <c r="G428" s="20" t="n">
        <f aca="false">9-F428</f>
        <v>3.475</v>
      </c>
      <c r="H428" s="20" t="n">
        <f aca="false">IF(G428&gt;=1,G428,0)</f>
        <v>3.475</v>
      </c>
      <c r="I428" s="5" t="s">
        <v>774</v>
      </c>
      <c r="J428" s="5" t="s">
        <v>870</v>
      </c>
    </row>
    <row r="429" customFormat="false" ht="15" hidden="false" customHeight="false" outlineLevel="0" collapsed="false">
      <c r="A429" s="5" t="s">
        <v>216</v>
      </c>
      <c r="B429" s="5" t="s">
        <v>168</v>
      </c>
      <c r="C429" s="5" t="n">
        <v>72</v>
      </c>
      <c r="D429" s="5" t="s">
        <v>855</v>
      </c>
      <c r="E429" s="5" t="n">
        <v>1</v>
      </c>
      <c r="F429" s="20" t="n">
        <v>5.525</v>
      </c>
      <c r="G429" s="20" t="n">
        <f aca="false">9-F429</f>
        <v>3.475</v>
      </c>
      <c r="H429" s="20" t="n">
        <f aca="false">IF(G429&gt;=1,G429,0)</f>
        <v>3.475</v>
      </c>
      <c r="I429" s="5" t="s">
        <v>774</v>
      </c>
      <c r="J429" s="5" t="s">
        <v>871</v>
      </c>
    </row>
    <row r="430" customFormat="false" ht="15" hidden="false" customHeight="false" outlineLevel="0" collapsed="false">
      <c r="A430" s="5" t="s">
        <v>216</v>
      </c>
      <c r="B430" s="5" t="s">
        <v>168</v>
      </c>
      <c r="C430" s="5" t="n">
        <v>73</v>
      </c>
      <c r="D430" s="5" t="s">
        <v>855</v>
      </c>
      <c r="E430" s="5" t="n">
        <v>1</v>
      </c>
      <c r="F430" s="20" t="n">
        <v>5.525</v>
      </c>
      <c r="G430" s="20" t="n">
        <f aca="false">9-F430</f>
        <v>3.475</v>
      </c>
      <c r="H430" s="20" t="n">
        <f aca="false">IF(G430&gt;=1,G430,0)</f>
        <v>3.475</v>
      </c>
      <c r="I430" s="5" t="s">
        <v>774</v>
      </c>
      <c r="J430" s="5" t="s">
        <v>872</v>
      </c>
    </row>
    <row r="431" customFormat="false" ht="15" hidden="false" customHeight="false" outlineLevel="0" collapsed="false">
      <c r="A431" s="5" t="s">
        <v>216</v>
      </c>
      <c r="B431" s="5" t="s">
        <v>168</v>
      </c>
      <c r="C431" s="5" t="n">
        <v>74</v>
      </c>
      <c r="D431" s="5" t="s">
        <v>855</v>
      </c>
      <c r="E431" s="5" t="n">
        <v>1</v>
      </c>
      <c r="F431" s="20" t="n">
        <v>5.525</v>
      </c>
      <c r="G431" s="20" t="n">
        <f aca="false">9-F431</f>
        <v>3.475</v>
      </c>
      <c r="H431" s="20" t="n">
        <f aca="false">IF(G431&gt;=1,G431,0)</f>
        <v>3.475</v>
      </c>
      <c r="I431" s="5" t="s">
        <v>774</v>
      </c>
      <c r="J431" s="5" t="s">
        <v>873</v>
      </c>
    </row>
    <row r="432" customFormat="false" ht="15" hidden="false" customHeight="false" outlineLevel="0" collapsed="false">
      <c r="A432" s="5" t="s">
        <v>216</v>
      </c>
      <c r="B432" s="5" t="s">
        <v>168</v>
      </c>
      <c r="C432" s="5" t="n">
        <v>75</v>
      </c>
      <c r="D432" s="5" t="s">
        <v>855</v>
      </c>
      <c r="E432" s="5" t="n">
        <v>1</v>
      </c>
      <c r="F432" s="20" t="n">
        <v>5.525</v>
      </c>
      <c r="G432" s="20" t="n">
        <f aca="false">9-F432</f>
        <v>3.475</v>
      </c>
      <c r="H432" s="20" t="n">
        <f aca="false">IF(G432&gt;=1,G432,0)</f>
        <v>3.475</v>
      </c>
      <c r="I432" s="5" t="s">
        <v>774</v>
      </c>
      <c r="J432" s="5" t="s">
        <v>874</v>
      </c>
    </row>
    <row r="433" customFormat="false" ht="15" hidden="false" customHeight="false" outlineLevel="0" collapsed="false">
      <c r="A433" s="5" t="s">
        <v>216</v>
      </c>
      <c r="B433" s="5" t="s">
        <v>168</v>
      </c>
      <c r="C433" s="5" t="n">
        <v>76</v>
      </c>
      <c r="D433" s="5" t="s">
        <v>855</v>
      </c>
      <c r="E433" s="5" t="n">
        <v>1</v>
      </c>
      <c r="F433" s="20" t="n">
        <v>5.525</v>
      </c>
      <c r="G433" s="20" t="n">
        <f aca="false">9-F433</f>
        <v>3.475</v>
      </c>
      <c r="H433" s="20" t="n">
        <f aca="false">IF(G433&gt;=1,G433,0)</f>
        <v>3.475</v>
      </c>
      <c r="I433" s="5" t="s">
        <v>774</v>
      </c>
      <c r="J433" s="5" t="s">
        <v>875</v>
      </c>
    </row>
    <row r="434" customFormat="false" ht="15" hidden="false" customHeight="false" outlineLevel="0" collapsed="false">
      <c r="A434" s="5" t="s">
        <v>216</v>
      </c>
      <c r="B434" s="5" t="s">
        <v>168</v>
      </c>
      <c r="C434" s="5" t="n">
        <v>77</v>
      </c>
      <c r="D434" s="5" t="s">
        <v>855</v>
      </c>
      <c r="E434" s="5" t="n">
        <v>1</v>
      </c>
      <c r="F434" s="20" t="n">
        <v>5.525</v>
      </c>
      <c r="G434" s="20" t="n">
        <f aca="false">9-F434</f>
        <v>3.475</v>
      </c>
      <c r="H434" s="20" t="n">
        <f aca="false">IF(G434&gt;=1,G434,0)</f>
        <v>3.475</v>
      </c>
      <c r="I434" s="5" t="s">
        <v>774</v>
      </c>
      <c r="J434" s="5" t="s">
        <v>876</v>
      </c>
    </row>
    <row r="435" customFormat="false" ht="15" hidden="false" customHeight="false" outlineLevel="0" collapsed="false">
      <c r="A435" s="5" t="s">
        <v>216</v>
      </c>
      <c r="B435" s="5" t="s">
        <v>168</v>
      </c>
      <c r="C435" s="5" t="n">
        <v>78</v>
      </c>
      <c r="D435" s="5" t="s">
        <v>855</v>
      </c>
      <c r="E435" s="5" t="n">
        <v>1</v>
      </c>
      <c r="F435" s="20" t="n">
        <v>5.525</v>
      </c>
      <c r="G435" s="20" t="n">
        <f aca="false">9-F435</f>
        <v>3.475</v>
      </c>
      <c r="H435" s="20" t="n">
        <f aca="false">IF(G435&gt;=1,G435,0)</f>
        <v>3.475</v>
      </c>
      <c r="I435" s="5" t="s">
        <v>774</v>
      </c>
      <c r="J435" s="5" t="s">
        <v>877</v>
      </c>
    </row>
    <row r="436" customFormat="false" ht="15" hidden="false" customHeight="false" outlineLevel="0" collapsed="false">
      <c r="A436" s="5" t="s">
        <v>216</v>
      </c>
      <c r="B436" s="5" t="s">
        <v>168</v>
      </c>
      <c r="C436" s="5" t="n">
        <v>79</v>
      </c>
      <c r="D436" s="5" t="s">
        <v>855</v>
      </c>
      <c r="E436" s="5" t="n">
        <v>1</v>
      </c>
      <c r="F436" s="20" t="n">
        <v>5.525</v>
      </c>
      <c r="G436" s="20" t="n">
        <f aca="false">9-F436</f>
        <v>3.475</v>
      </c>
      <c r="H436" s="20" t="n">
        <f aca="false">IF(G436&gt;=1,G436,0)</f>
        <v>3.475</v>
      </c>
      <c r="I436" s="5" t="s">
        <v>774</v>
      </c>
      <c r="J436" s="5" t="s">
        <v>878</v>
      </c>
    </row>
    <row r="437" customFormat="false" ht="15" hidden="false" customHeight="false" outlineLevel="0" collapsed="false">
      <c r="A437" s="5" t="s">
        <v>216</v>
      </c>
      <c r="B437" s="5" t="s">
        <v>168</v>
      </c>
      <c r="C437" s="5" t="n">
        <v>80</v>
      </c>
      <c r="D437" s="5" t="s">
        <v>855</v>
      </c>
      <c r="E437" s="5" t="n">
        <v>1</v>
      </c>
      <c r="F437" s="20" t="n">
        <v>5.525</v>
      </c>
      <c r="G437" s="20" t="n">
        <f aca="false">9-F437</f>
        <v>3.475</v>
      </c>
      <c r="H437" s="20" t="n">
        <f aca="false">IF(G437&gt;=1,G437,0)</f>
        <v>3.475</v>
      </c>
      <c r="I437" s="5" t="s">
        <v>774</v>
      </c>
      <c r="J437" s="5" t="s">
        <v>879</v>
      </c>
    </row>
    <row r="438" customFormat="false" ht="15" hidden="false" customHeight="false" outlineLevel="0" collapsed="false">
      <c r="A438" s="5" t="s">
        <v>216</v>
      </c>
      <c r="B438" s="5" t="s">
        <v>168</v>
      </c>
      <c r="C438" s="5" t="n">
        <v>81</v>
      </c>
      <c r="D438" s="5" t="s">
        <v>855</v>
      </c>
      <c r="E438" s="5" t="n">
        <v>1</v>
      </c>
      <c r="F438" s="20" t="n">
        <v>5.525</v>
      </c>
      <c r="G438" s="20" t="n">
        <f aca="false">9-F438</f>
        <v>3.475</v>
      </c>
      <c r="H438" s="20" t="n">
        <f aca="false">IF(G438&gt;=1,G438,0)</f>
        <v>3.475</v>
      </c>
      <c r="I438" s="5" t="s">
        <v>774</v>
      </c>
      <c r="J438" s="5" t="s">
        <v>880</v>
      </c>
    </row>
    <row r="439" customFormat="false" ht="15" hidden="false" customHeight="false" outlineLevel="0" collapsed="false">
      <c r="A439" s="5" t="s">
        <v>216</v>
      </c>
      <c r="B439" s="5" t="s">
        <v>168</v>
      </c>
      <c r="C439" s="5" t="n">
        <v>82</v>
      </c>
      <c r="D439" s="5" t="s">
        <v>881</v>
      </c>
      <c r="E439" s="5" t="n">
        <v>2</v>
      </c>
      <c r="F439" s="20" t="n">
        <v>8.32853490925306</v>
      </c>
      <c r="G439" s="20" t="n">
        <f aca="false">9-F439</f>
        <v>0.671465090746938</v>
      </c>
      <c r="H439" s="20" t="n">
        <f aca="false">IF(G439&gt;=1,G439,0)</f>
        <v>0</v>
      </c>
      <c r="I439" s="5" t="s">
        <v>774</v>
      </c>
      <c r="J439" s="5" t="s">
        <v>882</v>
      </c>
    </row>
    <row r="440" customFormat="false" ht="15" hidden="false" customHeight="false" outlineLevel="0" collapsed="false">
      <c r="A440" s="5" t="s">
        <v>216</v>
      </c>
      <c r="B440" s="5" t="s">
        <v>168</v>
      </c>
      <c r="C440" s="5" t="n">
        <v>83</v>
      </c>
      <c r="D440" s="5" t="s">
        <v>883</v>
      </c>
      <c r="E440" s="5" t="n">
        <v>2</v>
      </c>
      <c r="F440" s="20" t="n">
        <v>8.25326609204876</v>
      </c>
      <c r="G440" s="20" t="n">
        <f aca="false">9-F440</f>
        <v>0.746733907951242</v>
      </c>
      <c r="H440" s="20" t="n">
        <f aca="false">IF(G440&gt;=1,G440,0)</f>
        <v>0</v>
      </c>
      <c r="I440" s="5" t="s">
        <v>774</v>
      </c>
      <c r="J440" s="5" t="s">
        <v>884</v>
      </c>
    </row>
    <row r="441" customFormat="false" ht="15" hidden="false" customHeight="false" outlineLevel="0" collapsed="false">
      <c r="A441" s="5" t="s">
        <v>216</v>
      </c>
      <c r="B441" s="5" t="s">
        <v>168</v>
      </c>
      <c r="C441" s="5" t="n">
        <v>84</v>
      </c>
      <c r="D441" s="5" t="s">
        <v>885</v>
      </c>
      <c r="E441" s="5" t="n">
        <v>2</v>
      </c>
      <c r="F441" s="20" t="n">
        <v>8.17799727484446</v>
      </c>
      <c r="G441" s="20" t="n">
        <f aca="false">9-F441</f>
        <v>0.822002725155539</v>
      </c>
      <c r="H441" s="20" t="n">
        <f aca="false">IF(G441&gt;=1,G441,0)</f>
        <v>0</v>
      </c>
      <c r="I441" s="5" t="s">
        <v>774</v>
      </c>
      <c r="J441" s="5" t="s">
        <v>886</v>
      </c>
    </row>
    <row r="442" customFormat="false" ht="15" hidden="false" customHeight="false" outlineLevel="0" collapsed="false">
      <c r="A442" s="5" t="s">
        <v>216</v>
      </c>
      <c r="B442" s="5" t="s">
        <v>168</v>
      </c>
      <c r="C442" s="5" t="n">
        <v>85</v>
      </c>
      <c r="D442" s="5" t="s">
        <v>887</v>
      </c>
      <c r="E442" s="5" t="n">
        <v>3</v>
      </c>
      <c r="F442" s="20" t="n">
        <v>8.95919680776737</v>
      </c>
      <c r="G442" s="20" t="n">
        <f aca="false">9-F442</f>
        <v>0.0408031922326284</v>
      </c>
      <c r="H442" s="20" t="n">
        <f aca="false">IF(G442&gt;=1,G442,0)</f>
        <v>0</v>
      </c>
      <c r="I442" s="5" t="s">
        <v>774</v>
      </c>
      <c r="J442" s="5" t="s">
        <v>888</v>
      </c>
    </row>
    <row r="443" customFormat="false" ht="15" hidden="false" customHeight="false" outlineLevel="0" collapsed="false">
      <c r="A443" s="5" t="s">
        <v>216</v>
      </c>
      <c r="B443" s="5" t="s">
        <v>168</v>
      </c>
      <c r="C443" s="5" t="n">
        <v>86</v>
      </c>
      <c r="D443" s="5" t="s">
        <v>889</v>
      </c>
      <c r="E443" s="5" t="n">
        <v>3</v>
      </c>
      <c r="F443" s="20" t="n">
        <v>8.90646835012722</v>
      </c>
      <c r="G443" s="20" t="n">
        <f aca="false">9-F443</f>
        <v>0.0935316498727854</v>
      </c>
      <c r="H443" s="20" t="n">
        <f aca="false">IF(G443&gt;=1,G443,0)</f>
        <v>0</v>
      </c>
      <c r="I443" s="5" t="s">
        <v>774</v>
      </c>
      <c r="J443" s="5" t="s">
        <v>890</v>
      </c>
    </row>
    <row r="444" customFormat="false" ht="15" hidden="false" customHeight="false" outlineLevel="0" collapsed="false">
      <c r="A444" s="5" t="s">
        <v>216</v>
      </c>
      <c r="B444" s="5" t="s">
        <v>168</v>
      </c>
      <c r="C444" s="5" t="n">
        <v>87</v>
      </c>
      <c r="D444" s="5" t="s">
        <v>889</v>
      </c>
      <c r="E444" s="5" t="n">
        <v>3</v>
      </c>
      <c r="F444" s="20" t="n">
        <v>8.90646835012722</v>
      </c>
      <c r="G444" s="20" t="n">
        <f aca="false">9-F444</f>
        <v>0.0935316498727854</v>
      </c>
      <c r="H444" s="20" t="n">
        <f aca="false">IF(G444&gt;=1,G444,0)</f>
        <v>0</v>
      </c>
      <c r="I444" s="5" t="s">
        <v>774</v>
      </c>
      <c r="J444" s="5" t="s">
        <v>891</v>
      </c>
    </row>
    <row r="445" customFormat="false" ht="15" hidden="false" customHeight="false" outlineLevel="0" collapsed="false">
      <c r="A445" s="5" t="s">
        <v>216</v>
      </c>
      <c r="B445" s="5" t="s">
        <v>168</v>
      </c>
      <c r="C445" s="5" t="n">
        <v>88</v>
      </c>
      <c r="D445" s="5" t="s">
        <v>889</v>
      </c>
      <c r="E445" s="5" t="n">
        <v>3</v>
      </c>
      <c r="F445" s="20" t="n">
        <v>8.90646835012722</v>
      </c>
      <c r="G445" s="20" t="n">
        <f aca="false">9-F445</f>
        <v>0.0935316498727854</v>
      </c>
      <c r="H445" s="20" t="n">
        <f aca="false">IF(G445&gt;=1,G445,0)</f>
        <v>0</v>
      </c>
      <c r="I445" s="5" t="s">
        <v>774</v>
      </c>
      <c r="J445" s="5" t="s">
        <v>892</v>
      </c>
    </row>
    <row r="446" customFormat="false" ht="15" hidden="false" customHeight="false" outlineLevel="0" collapsed="false">
      <c r="A446" s="5" t="s">
        <v>216</v>
      </c>
      <c r="B446" s="5" t="s">
        <v>168</v>
      </c>
      <c r="C446" s="5" t="n">
        <v>89</v>
      </c>
      <c r="D446" s="5" t="s">
        <v>889</v>
      </c>
      <c r="E446" s="5" t="n">
        <v>3</v>
      </c>
      <c r="F446" s="20" t="n">
        <v>8.90646835012722</v>
      </c>
      <c r="G446" s="20" t="n">
        <f aca="false">9-F446</f>
        <v>0.0935316498727854</v>
      </c>
      <c r="H446" s="20" t="n">
        <f aca="false">IF(G446&gt;=1,G446,0)</f>
        <v>0</v>
      </c>
      <c r="I446" s="5" t="s">
        <v>774</v>
      </c>
      <c r="J446" s="5" t="s">
        <v>893</v>
      </c>
    </row>
    <row r="447" customFormat="false" ht="15" hidden="false" customHeight="false" outlineLevel="0" collapsed="false">
      <c r="A447" s="5" t="s">
        <v>216</v>
      </c>
      <c r="B447" s="5" t="s">
        <v>168</v>
      </c>
      <c r="C447" s="5" t="n">
        <v>90</v>
      </c>
      <c r="D447" s="5" t="s">
        <v>889</v>
      </c>
      <c r="E447" s="5" t="n">
        <v>3</v>
      </c>
      <c r="F447" s="20" t="n">
        <v>8.90646835012721</v>
      </c>
      <c r="G447" s="20" t="n">
        <f aca="false">9-F447</f>
        <v>0.0935316498727872</v>
      </c>
      <c r="H447" s="20" t="n">
        <f aca="false">IF(G447&gt;=1,G447,0)</f>
        <v>0</v>
      </c>
      <c r="I447" s="5" t="s">
        <v>774</v>
      </c>
      <c r="J447" s="5" t="s">
        <v>894</v>
      </c>
    </row>
    <row r="448" customFormat="false" ht="15" hidden="false" customHeight="false" outlineLevel="0" collapsed="false">
      <c r="A448" s="5" t="s">
        <v>216</v>
      </c>
      <c r="B448" s="5" t="s">
        <v>168</v>
      </c>
      <c r="C448" s="5" t="n">
        <v>91</v>
      </c>
      <c r="D448" s="5" t="s">
        <v>889</v>
      </c>
      <c r="E448" s="5" t="n">
        <v>3</v>
      </c>
      <c r="F448" s="20" t="n">
        <v>8.90646835012721</v>
      </c>
      <c r="G448" s="20" t="n">
        <f aca="false">9-F448</f>
        <v>0.0935316498727872</v>
      </c>
      <c r="H448" s="20" t="n">
        <f aca="false">IF(G448&gt;=1,G448,0)</f>
        <v>0</v>
      </c>
      <c r="I448" s="5" t="s">
        <v>774</v>
      </c>
      <c r="J448" s="5" t="s">
        <v>895</v>
      </c>
    </row>
    <row r="449" customFormat="false" ht="15" hidden="false" customHeight="false" outlineLevel="0" collapsed="false">
      <c r="A449" s="5" t="s">
        <v>216</v>
      </c>
      <c r="B449" s="5" t="s">
        <v>168</v>
      </c>
      <c r="C449" s="5" t="n">
        <v>92</v>
      </c>
      <c r="D449" s="5" t="s">
        <v>889</v>
      </c>
      <c r="E449" s="5" t="n">
        <v>3</v>
      </c>
      <c r="F449" s="20" t="n">
        <v>8.90646835012721</v>
      </c>
      <c r="G449" s="20" t="n">
        <f aca="false">9-F449</f>
        <v>0.0935316498727872</v>
      </c>
      <c r="H449" s="20" t="n">
        <f aca="false">IF(G449&gt;=1,G449,0)</f>
        <v>0</v>
      </c>
      <c r="I449" s="5" t="s">
        <v>774</v>
      </c>
      <c r="J449" s="5" t="s">
        <v>896</v>
      </c>
    </row>
    <row r="450" customFormat="false" ht="15" hidden="false" customHeight="false" outlineLevel="0" collapsed="false">
      <c r="A450" s="5" t="s">
        <v>216</v>
      </c>
      <c r="B450" s="5" t="s">
        <v>168</v>
      </c>
      <c r="C450" s="5" t="n">
        <v>93</v>
      </c>
      <c r="D450" s="5" t="s">
        <v>889</v>
      </c>
      <c r="E450" s="5" t="n">
        <v>3</v>
      </c>
      <c r="F450" s="20" t="n">
        <v>8.90646835012721</v>
      </c>
      <c r="G450" s="20" t="n">
        <f aca="false">9-F450</f>
        <v>0.0935316498727872</v>
      </c>
      <c r="H450" s="20" t="n">
        <f aca="false">IF(G450&gt;=1,G450,0)</f>
        <v>0</v>
      </c>
      <c r="I450" s="5" t="s">
        <v>774</v>
      </c>
      <c r="J450" s="5" t="s">
        <v>897</v>
      </c>
    </row>
    <row r="451" customFormat="false" ht="15" hidden="false" customHeight="false" outlineLevel="0" collapsed="false">
      <c r="A451" s="5" t="s">
        <v>216</v>
      </c>
      <c r="B451" s="5" t="s">
        <v>168</v>
      </c>
      <c r="C451" s="5" t="n">
        <v>94</v>
      </c>
      <c r="D451" s="5" t="s">
        <v>889</v>
      </c>
      <c r="E451" s="5" t="n">
        <v>3</v>
      </c>
      <c r="F451" s="20" t="n">
        <v>8.90646835012721</v>
      </c>
      <c r="G451" s="20" t="n">
        <f aca="false">9-F451</f>
        <v>0.0935316498727872</v>
      </c>
      <c r="H451" s="20" t="n">
        <f aca="false">IF(G451&gt;=1,G451,0)</f>
        <v>0</v>
      </c>
      <c r="I451" s="5" t="s">
        <v>774</v>
      </c>
      <c r="J451" s="5" t="s">
        <v>898</v>
      </c>
    </row>
    <row r="452" customFormat="false" ht="15" hidden="false" customHeight="false" outlineLevel="0" collapsed="false">
      <c r="A452" s="5" t="s">
        <v>216</v>
      </c>
      <c r="B452" s="5" t="s">
        <v>168</v>
      </c>
      <c r="C452" s="5" t="n">
        <v>95</v>
      </c>
      <c r="D452" s="5" t="s">
        <v>889</v>
      </c>
      <c r="E452" s="5" t="n">
        <v>3</v>
      </c>
      <c r="F452" s="20" t="n">
        <v>8.90646835012721</v>
      </c>
      <c r="G452" s="20" t="n">
        <f aca="false">9-F452</f>
        <v>0.0935316498727872</v>
      </c>
      <c r="H452" s="20" t="n">
        <f aca="false">IF(G452&gt;=1,G452,0)</f>
        <v>0</v>
      </c>
      <c r="I452" s="5" t="s">
        <v>774</v>
      </c>
      <c r="J452" s="5" t="s">
        <v>899</v>
      </c>
    </row>
    <row r="453" customFormat="false" ht="15" hidden="false" customHeight="false" outlineLevel="0" collapsed="false">
      <c r="A453" s="5" t="s">
        <v>216</v>
      </c>
      <c r="B453" s="5" t="s">
        <v>168</v>
      </c>
      <c r="C453" s="5" t="n">
        <v>96</v>
      </c>
      <c r="D453" s="5" t="s">
        <v>889</v>
      </c>
      <c r="E453" s="5" t="n">
        <v>3</v>
      </c>
      <c r="F453" s="20" t="n">
        <v>8.90646835012721</v>
      </c>
      <c r="G453" s="20" t="n">
        <f aca="false">9-F453</f>
        <v>0.0935316498727872</v>
      </c>
      <c r="H453" s="20" t="n">
        <f aca="false">IF(G453&gt;=1,G453,0)</f>
        <v>0</v>
      </c>
      <c r="I453" s="5" t="s">
        <v>774</v>
      </c>
      <c r="J453" s="5" t="s">
        <v>900</v>
      </c>
    </row>
    <row r="454" customFormat="false" ht="15" hidden="false" customHeight="false" outlineLevel="0" collapsed="false">
      <c r="A454" s="5" t="s">
        <v>216</v>
      </c>
      <c r="B454" s="5" t="s">
        <v>168</v>
      </c>
      <c r="C454" s="5" t="n">
        <v>97</v>
      </c>
      <c r="D454" s="5" t="s">
        <v>889</v>
      </c>
      <c r="E454" s="5" t="n">
        <v>3</v>
      </c>
      <c r="F454" s="20" t="n">
        <v>8.90646835012721</v>
      </c>
      <c r="G454" s="20" t="n">
        <f aca="false">9-F454</f>
        <v>0.0935316498727872</v>
      </c>
      <c r="H454" s="20" t="n">
        <f aca="false">IF(G454&gt;=1,G454,0)</f>
        <v>0</v>
      </c>
      <c r="I454" s="5" t="s">
        <v>774</v>
      </c>
      <c r="J454" s="5" t="s">
        <v>901</v>
      </c>
    </row>
    <row r="455" customFormat="false" ht="15" hidden="false" customHeight="false" outlineLevel="0" collapsed="false">
      <c r="A455" s="5" t="s">
        <v>216</v>
      </c>
      <c r="B455" s="5" t="s">
        <v>168</v>
      </c>
      <c r="C455" s="5" t="n">
        <v>98</v>
      </c>
      <c r="D455" s="5" t="s">
        <v>889</v>
      </c>
      <c r="E455" s="5" t="n">
        <v>3</v>
      </c>
      <c r="F455" s="20" t="n">
        <v>8.90460677249567</v>
      </c>
      <c r="G455" s="20" t="n">
        <f aca="false">9-F455</f>
        <v>0.0953932275043261</v>
      </c>
      <c r="H455" s="20" t="n">
        <f aca="false">IF(G455&gt;=1,G455,0)</f>
        <v>0</v>
      </c>
      <c r="I455" s="5" t="s">
        <v>774</v>
      </c>
      <c r="J455" s="5" t="s">
        <v>902</v>
      </c>
    </row>
    <row r="456" customFormat="false" ht="15" hidden="false" customHeight="false" outlineLevel="0" collapsed="false">
      <c r="A456" s="5" t="s">
        <v>216</v>
      </c>
      <c r="B456" s="5" t="s">
        <v>168</v>
      </c>
      <c r="C456" s="5" t="n">
        <v>99</v>
      </c>
      <c r="D456" s="5" t="s">
        <v>903</v>
      </c>
      <c r="E456" s="5" t="n">
        <v>3</v>
      </c>
      <c r="F456" s="20" t="n">
        <v>8.84629358196091</v>
      </c>
      <c r="G456" s="20" t="n">
        <f aca="false">9-F456</f>
        <v>0.153706418039087</v>
      </c>
      <c r="H456" s="20" t="n">
        <f aca="false">IF(G456&gt;=1,G456,0)</f>
        <v>0</v>
      </c>
      <c r="I456" s="5" t="s">
        <v>774</v>
      </c>
      <c r="J456" s="5" t="s">
        <v>904</v>
      </c>
    </row>
    <row r="457" customFormat="false" ht="15" hidden="false" customHeight="false" outlineLevel="0" collapsed="false">
      <c r="A457" s="5" t="s">
        <v>216</v>
      </c>
      <c r="B457" s="5" t="s">
        <v>168</v>
      </c>
      <c r="C457" s="5" t="n">
        <v>100</v>
      </c>
      <c r="D457" s="5" t="s">
        <v>905</v>
      </c>
      <c r="E457" s="5" t="n">
        <v>3</v>
      </c>
      <c r="F457" s="20" t="n">
        <v>8.77102476475661</v>
      </c>
      <c r="G457" s="20" t="n">
        <f aca="false">9-F457</f>
        <v>0.228975235243389</v>
      </c>
      <c r="H457" s="20" t="n">
        <f aca="false">IF(G457&gt;=1,G457,0)</f>
        <v>0</v>
      </c>
      <c r="I457" s="5" t="s">
        <v>774</v>
      </c>
      <c r="J457" s="5" t="s">
        <v>906</v>
      </c>
    </row>
    <row r="458" customFormat="false" ht="15" hidden="false" customHeight="false" outlineLevel="0" collapsed="false">
      <c r="A458" s="5" t="s">
        <v>216</v>
      </c>
      <c r="B458" s="5" t="s">
        <v>168</v>
      </c>
      <c r="C458" s="5" t="n">
        <v>101</v>
      </c>
      <c r="D458" s="5" t="s">
        <v>907</v>
      </c>
      <c r="E458" s="5" t="n">
        <v>3</v>
      </c>
      <c r="F458" s="20" t="n">
        <v>8.6957559475523</v>
      </c>
      <c r="G458" s="20" t="n">
        <f aca="false">9-F458</f>
        <v>0.304244052447697</v>
      </c>
      <c r="H458" s="20" t="n">
        <f aca="false">IF(G458&gt;=1,G458,0)</f>
        <v>0</v>
      </c>
      <c r="I458" s="5" t="s">
        <v>774</v>
      </c>
      <c r="J458" s="5" t="s">
        <v>908</v>
      </c>
    </row>
    <row r="459" customFormat="false" ht="15" hidden="false" customHeight="false" outlineLevel="0" collapsed="false">
      <c r="A459" s="5" t="s">
        <v>216</v>
      </c>
      <c r="B459" s="5" t="s">
        <v>168</v>
      </c>
      <c r="C459" s="5" t="n">
        <v>102</v>
      </c>
      <c r="D459" s="5" t="s">
        <v>909</v>
      </c>
      <c r="E459" s="5" t="n">
        <v>3</v>
      </c>
      <c r="F459" s="20" t="n">
        <v>8.62288634238816</v>
      </c>
      <c r="G459" s="20" t="n">
        <f aca="false">9-F459</f>
        <v>0.377113657611844</v>
      </c>
      <c r="H459" s="20" t="n">
        <f aca="false">IF(G459&gt;=1,G459,0)</f>
        <v>0</v>
      </c>
      <c r="I459" s="5" t="s">
        <v>774</v>
      </c>
      <c r="J459" s="5" t="s">
        <v>910</v>
      </c>
    </row>
    <row r="460" customFormat="false" ht="15" hidden="false" customHeight="false" outlineLevel="0" collapsed="false">
      <c r="A460" s="5" t="s">
        <v>216</v>
      </c>
      <c r="B460" s="5" t="s">
        <v>168</v>
      </c>
      <c r="C460" s="5" t="n">
        <v>103</v>
      </c>
      <c r="D460" s="5" t="s">
        <v>911</v>
      </c>
      <c r="E460" s="5" t="n">
        <v>3</v>
      </c>
      <c r="F460" s="20" t="n">
        <v>8.60646835012722</v>
      </c>
      <c r="G460" s="20" t="n">
        <f aca="false">9-F460</f>
        <v>0.393531649872781</v>
      </c>
      <c r="H460" s="20" t="n">
        <f aca="false">IF(G460&gt;=1,G460,0)</f>
        <v>0</v>
      </c>
      <c r="I460" s="5" t="s">
        <v>774</v>
      </c>
      <c r="J460" s="5" t="s">
        <v>912</v>
      </c>
    </row>
    <row r="461" customFormat="false" ht="15" hidden="false" customHeight="false" outlineLevel="0" collapsed="false">
      <c r="A461" s="5" t="s">
        <v>216</v>
      </c>
      <c r="B461" s="5" t="s">
        <v>168</v>
      </c>
      <c r="C461" s="5" t="n">
        <v>104</v>
      </c>
      <c r="D461" s="5" t="s">
        <v>911</v>
      </c>
      <c r="E461" s="5" t="n">
        <v>3</v>
      </c>
      <c r="F461" s="20" t="n">
        <v>8.60646835012722</v>
      </c>
      <c r="G461" s="20" t="n">
        <f aca="false">9-F461</f>
        <v>0.393531649872781</v>
      </c>
      <c r="H461" s="20" t="n">
        <f aca="false">IF(G461&gt;=1,G461,0)</f>
        <v>0</v>
      </c>
      <c r="I461" s="5" t="s">
        <v>774</v>
      </c>
      <c r="J461" s="5" t="s">
        <v>913</v>
      </c>
    </row>
    <row r="462" customFormat="false" ht="15" hidden="false" customHeight="false" outlineLevel="0" collapsed="false">
      <c r="A462" s="5" t="s">
        <v>216</v>
      </c>
      <c r="B462" s="5" t="s">
        <v>168</v>
      </c>
      <c r="C462" s="5" t="n">
        <v>105</v>
      </c>
      <c r="D462" s="5" t="s">
        <v>911</v>
      </c>
      <c r="E462" s="5" t="n">
        <v>3</v>
      </c>
      <c r="F462" s="20" t="n">
        <v>8.60646835012722</v>
      </c>
      <c r="G462" s="20" t="n">
        <f aca="false">9-F462</f>
        <v>0.393531649872781</v>
      </c>
      <c r="H462" s="20" t="n">
        <f aca="false">IF(G462&gt;=1,G462,0)</f>
        <v>0</v>
      </c>
      <c r="I462" s="5" t="s">
        <v>774</v>
      </c>
      <c r="J462" s="5" t="s">
        <v>914</v>
      </c>
    </row>
    <row r="463" customFormat="false" ht="15" hidden="false" customHeight="false" outlineLevel="0" collapsed="false">
      <c r="A463" s="5" t="s">
        <v>216</v>
      </c>
      <c r="B463" s="5" t="s">
        <v>168</v>
      </c>
      <c r="C463" s="5" t="n">
        <v>106</v>
      </c>
      <c r="D463" s="5" t="s">
        <v>911</v>
      </c>
      <c r="E463" s="5" t="n">
        <v>3</v>
      </c>
      <c r="F463" s="20" t="n">
        <v>8.60646835012722</v>
      </c>
      <c r="G463" s="20" t="n">
        <f aca="false">9-F463</f>
        <v>0.393531649872781</v>
      </c>
      <c r="H463" s="20" t="n">
        <f aca="false">IF(G463&gt;=1,G463,0)</f>
        <v>0</v>
      </c>
      <c r="I463" s="5" t="s">
        <v>774</v>
      </c>
      <c r="J463" s="5" t="s">
        <v>915</v>
      </c>
    </row>
    <row r="464" customFormat="false" ht="15" hidden="false" customHeight="false" outlineLevel="0" collapsed="false">
      <c r="A464" s="5" t="s">
        <v>216</v>
      </c>
      <c r="B464" s="5" t="s">
        <v>168</v>
      </c>
      <c r="C464" s="5" t="n">
        <v>107</v>
      </c>
      <c r="D464" s="5" t="s">
        <v>911</v>
      </c>
      <c r="E464" s="5" t="n">
        <v>3</v>
      </c>
      <c r="F464" s="20" t="n">
        <v>8.60646835012722</v>
      </c>
      <c r="G464" s="20" t="n">
        <f aca="false">9-F464</f>
        <v>0.393531649872781</v>
      </c>
      <c r="H464" s="20" t="n">
        <f aca="false">IF(G464&gt;=1,G464,0)</f>
        <v>0</v>
      </c>
      <c r="I464" s="5" t="s">
        <v>774</v>
      </c>
      <c r="J464" s="5" t="s">
        <v>916</v>
      </c>
    </row>
    <row r="465" customFormat="false" ht="15" hidden="false" customHeight="false" outlineLevel="0" collapsed="false">
      <c r="A465" s="5" t="s">
        <v>216</v>
      </c>
      <c r="B465" s="5" t="s">
        <v>168</v>
      </c>
      <c r="C465" s="5" t="n">
        <v>108</v>
      </c>
      <c r="D465" s="5" t="s">
        <v>911</v>
      </c>
      <c r="E465" s="5" t="n">
        <v>3</v>
      </c>
      <c r="F465" s="20" t="n">
        <v>8.60646835012722</v>
      </c>
      <c r="G465" s="20" t="n">
        <f aca="false">9-F465</f>
        <v>0.393531649872781</v>
      </c>
      <c r="H465" s="20" t="n">
        <f aca="false">IF(G465&gt;=1,G465,0)</f>
        <v>0</v>
      </c>
      <c r="I465" s="5" t="s">
        <v>774</v>
      </c>
      <c r="J465" s="5" t="s">
        <v>917</v>
      </c>
    </row>
    <row r="466" customFormat="false" ht="15" hidden="false" customHeight="false" outlineLevel="0" collapsed="false">
      <c r="A466" s="5" t="s">
        <v>216</v>
      </c>
      <c r="B466" s="5" t="s">
        <v>168</v>
      </c>
      <c r="C466" s="5" t="n">
        <v>109</v>
      </c>
      <c r="D466" s="5" t="s">
        <v>911</v>
      </c>
      <c r="E466" s="5" t="n">
        <v>3</v>
      </c>
      <c r="F466" s="20" t="n">
        <v>8.60646835012722</v>
      </c>
      <c r="G466" s="20" t="n">
        <f aca="false">9-F466</f>
        <v>0.393531649872781</v>
      </c>
      <c r="H466" s="20" t="n">
        <f aca="false">IF(G466&gt;=1,G466,0)</f>
        <v>0</v>
      </c>
      <c r="I466" s="5" t="s">
        <v>774</v>
      </c>
      <c r="J466" s="5" t="s">
        <v>918</v>
      </c>
    </row>
    <row r="467" customFormat="false" ht="15" hidden="false" customHeight="false" outlineLevel="0" collapsed="false">
      <c r="A467" s="5" t="s">
        <v>216</v>
      </c>
      <c r="B467" s="5" t="s">
        <v>168</v>
      </c>
      <c r="C467" s="5" t="n">
        <v>110</v>
      </c>
      <c r="D467" s="5" t="s">
        <v>919</v>
      </c>
      <c r="E467" s="5" t="n">
        <v>1</v>
      </c>
      <c r="F467" s="20" t="n">
        <v>3.58847402597399</v>
      </c>
      <c r="G467" s="20" t="n">
        <f aca="false">9-F467</f>
        <v>5.41152597402602</v>
      </c>
      <c r="H467" s="20" t="n">
        <f aca="false">IF(G467&gt;=1,G467,0)</f>
        <v>5.41152597402602</v>
      </c>
      <c r="I467" s="5" t="s">
        <v>774</v>
      </c>
      <c r="J467" s="5" t="s">
        <v>920</v>
      </c>
    </row>
    <row r="468" customFormat="false" ht="15" hidden="false" customHeight="false" outlineLevel="0" collapsed="false">
      <c r="A468" s="5" t="s">
        <v>216</v>
      </c>
      <c r="B468" s="5" t="s">
        <v>169</v>
      </c>
      <c r="C468" s="5" t="n">
        <v>1</v>
      </c>
      <c r="D468" s="5" t="s">
        <v>921</v>
      </c>
      <c r="E468" s="5" t="n">
        <v>3</v>
      </c>
      <c r="F468" s="20" t="n">
        <v>8.76778409194415</v>
      </c>
      <c r="G468" s="20" t="n">
        <f aca="false">9-F468</f>
        <v>0.232215908055846</v>
      </c>
      <c r="H468" s="20" t="n">
        <f aca="false">IF(G468&gt;=1,G468,0)</f>
        <v>0</v>
      </c>
      <c r="I468" s="5" t="s">
        <v>922</v>
      </c>
      <c r="J468" s="5" t="s">
        <v>923</v>
      </c>
    </row>
    <row r="469" customFormat="false" ht="15" hidden="false" customHeight="false" outlineLevel="0" collapsed="false">
      <c r="A469" s="5" t="s">
        <v>216</v>
      </c>
      <c r="B469" s="5" t="s">
        <v>169</v>
      </c>
      <c r="C469" s="5" t="n">
        <v>2</v>
      </c>
      <c r="D469" s="5" t="s">
        <v>921</v>
      </c>
      <c r="E469" s="5" t="n">
        <v>3</v>
      </c>
      <c r="F469" s="20" t="n">
        <v>8.76778409194415</v>
      </c>
      <c r="G469" s="20" t="n">
        <f aca="false">9-F469</f>
        <v>0.232215908055847</v>
      </c>
      <c r="H469" s="20" t="n">
        <f aca="false">IF(G469&gt;=1,G469,0)</f>
        <v>0</v>
      </c>
      <c r="I469" s="5" t="s">
        <v>922</v>
      </c>
      <c r="J469" s="5" t="s">
        <v>924</v>
      </c>
    </row>
    <row r="470" customFormat="false" ht="15" hidden="false" customHeight="false" outlineLevel="0" collapsed="false">
      <c r="A470" s="5" t="s">
        <v>216</v>
      </c>
      <c r="B470" s="5" t="s">
        <v>169</v>
      </c>
      <c r="C470" s="5" t="n">
        <v>3</v>
      </c>
      <c r="D470" s="5" t="s">
        <v>921</v>
      </c>
      <c r="E470" s="5" t="n">
        <v>3</v>
      </c>
      <c r="F470" s="20" t="n">
        <v>8.76778409194415</v>
      </c>
      <c r="G470" s="20" t="n">
        <f aca="false">9-F470</f>
        <v>0.232215908055853</v>
      </c>
      <c r="H470" s="20" t="n">
        <f aca="false">IF(G470&gt;=1,G470,0)</f>
        <v>0</v>
      </c>
      <c r="I470" s="5" t="s">
        <v>922</v>
      </c>
      <c r="J470" s="5" t="s">
        <v>925</v>
      </c>
    </row>
    <row r="471" customFormat="false" ht="15" hidden="false" customHeight="false" outlineLevel="0" collapsed="false">
      <c r="A471" s="5" t="s">
        <v>216</v>
      </c>
      <c r="B471" s="5" t="s">
        <v>169</v>
      </c>
      <c r="C471" s="5" t="n">
        <v>4</v>
      </c>
      <c r="D471" s="5" t="s">
        <v>926</v>
      </c>
      <c r="E471" s="5" t="n">
        <v>3</v>
      </c>
      <c r="F471" s="20" t="n">
        <v>8.92592955983594</v>
      </c>
      <c r="G471" s="20" t="n">
        <f aca="false">9-F471</f>
        <v>0.0740704401640624</v>
      </c>
      <c r="H471" s="20" t="n">
        <f aca="false">IF(G471&gt;=1,G471,0)</f>
        <v>0</v>
      </c>
      <c r="I471" s="5" t="s">
        <v>77</v>
      </c>
      <c r="J471" s="5" t="s">
        <v>927</v>
      </c>
    </row>
    <row r="472" customFormat="false" ht="15" hidden="false" customHeight="false" outlineLevel="0" collapsed="false">
      <c r="A472" s="5" t="s">
        <v>216</v>
      </c>
      <c r="B472" s="5" t="s">
        <v>169</v>
      </c>
      <c r="C472" s="5" t="n">
        <v>5</v>
      </c>
      <c r="D472" s="5" t="s">
        <v>926</v>
      </c>
      <c r="E472" s="5" t="n">
        <v>3</v>
      </c>
      <c r="F472" s="20" t="n">
        <v>8.92592955983593</v>
      </c>
      <c r="G472" s="20" t="n">
        <f aca="false">9-F472</f>
        <v>0.0740704401640695</v>
      </c>
      <c r="H472" s="20" t="n">
        <f aca="false">IF(G472&gt;=1,G472,0)</f>
        <v>0</v>
      </c>
      <c r="I472" s="5" t="s">
        <v>77</v>
      </c>
      <c r="J472" s="5" t="s">
        <v>928</v>
      </c>
    </row>
    <row r="473" customFormat="false" ht="15" hidden="false" customHeight="false" outlineLevel="0" collapsed="false">
      <c r="A473" s="5" t="s">
        <v>216</v>
      </c>
      <c r="B473" s="5" t="s">
        <v>169</v>
      </c>
      <c r="C473" s="5" t="n">
        <v>6</v>
      </c>
      <c r="D473" s="5" t="s">
        <v>926</v>
      </c>
      <c r="E473" s="5" t="n">
        <v>3</v>
      </c>
      <c r="F473" s="20" t="n">
        <v>8.92592955983592</v>
      </c>
      <c r="G473" s="20" t="n">
        <f aca="false">9-F473</f>
        <v>0.0740704401640766</v>
      </c>
      <c r="H473" s="20" t="n">
        <f aca="false">IF(G473&gt;=1,G473,0)</f>
        <v>0</v>
      </c>
      <c r="I473" s="5" t="s">
        <v>77</v>
      </c>
      <c r="J473" s="5" t="s">
        <v>929</v>
      </c>
    </row>
    <row r="474" customFormat="false" ht="15" hidden="false" customHeight="false" outlineLevel="0" collapsed="false">
      <c r="A474" s="5" t="s">
        <v>216</v>
      </c>
      <c r="B474" s="5" t="s">
        <v>169</v>
      </c>
      <c r="C474" s="5" t="n">
        <v>7</v>
      </c>
      <c r="D474" s="5" t="s">
        <v>930</v>
      </c>
      <c r="E474" s="5" t="n">
        <v>3</v>
      </c>
      <c r="F474" s="20" t="n">
        <v>8.94000000000002</v>
      </c>
      <c r="G474" s="20" t="n">
        <f aca="false">9-F474</f>
        <v>0.0599999999999845</v>
      </c>
      <c r="H474" s="20" t="n">
        <f aca="false">IF(G474&gt;=1,G474,0)</f>
        <v>0</v>
      </c>
      <c r="I474" s="5" t="s">
        <v>774</v>
      </c>
      <c r="J474" s="5" t="s">
        <v>931</v>
      </c>
    </row>
    <row r="475" customFormat="false" ht="15" hidden="false" customHeight="false" outlineLevel="0" collapsed="false">
      <c r="A475" s="5" t="s">
        <v>216</v>
      </c>
      <c r="B475" s="5" t="s">
        <v>169</v>
      </c>
      <c r="C475" s="5" t="n">
        <v>8</v>
      </c>
      <c r="D475" s="5" t="s">
        <v>930</v>
      </c>
      <c r="E475" s="5" t="n">
        <v>3</v>
      </c>
      <c r="F475" s="20" t="n">
        <v>8.94000000000001</v>
      </c>
      <c r="G475" s="20" t="n">
        <f aca="false">9-F475</f>
        <v>0.0599999999999863</v>
      </c>
      <c r="H475" s="20" t="n">
        <f aca="false">IF(G475&gt;=1,G475,0)</f>
        <v>0</v>
      </c>
      <c r="I475" s="5" t="s">
        <v>774</v>
      </c>
      <c r="J475" s="5" t="s">
        <v>932</v>
      </c>
    </row>
    <row r="476" customFormat="false" ht="15" hidden="false" customHeight="false" outlineLevel="0" collapsed="false">
      <c r="A476" s="5" t="s">
        <v>216</v>
      </c>
      <c r="B476" s="5" t="s">
        <v>169</v>
      </c>
      <c r="C476" s="5" t="n">
        <v>9</v>
      </c>
      <c r="D476" s="5" t="s">
        <v>930</v>
      </c>
      <c r="E476" s="5" t="n">
        <v>3</v>
      </c>
      <c r="F476" s="20" t="n">
        <v>8.94000000000001</v>
      </c>
      <c r="G476" s="20" t="n">
        <f aca="false">9-F476</f>
        <v>0.0599999999999881</v>
      </c>
      <c r="H476" s="20" t="n">
        <f aca="false">IF(G476&gt;=1,G476,0)</f>
        <v>0</v>
      </c>
      <c r="I476" s="5" t="s">
        <v>774</v>
      </c>
      <c r="J476" s="5" t="s">
        <v>933</v>
      </c>
    </row>
    <row r="477" customFormat="false" ht="15" hidden="false" customHeight="false" outlineLevel="0" collapsed="false">
      <c r="A477" s="5" t="s">
        <v>216</v>
      </c>
      <c r="B477" s="5" t="s">
        <v>169</v>
      </c>
      <c r="C477" s="5" t="n">
        <v>10</v>
      </c>
      <c r="D477" s="5" t="s">
        <v>930</v>
      </c>
      <c r="E477" s="5" t="n">
        <v>3</v>
      </c>
      <c r="F477" s="20" t="n">
        <v>8.94000000000001</v>
      </c>
      <c r="G477" s="20" t="n">
        <f aca="false">9-F477</f>
        <v>0.0599999999999881</v>
      </c>
      <c r="H477" s="20" t="n">
        <f aca="false">IF(G477&gt;=1,G477,0)</f>
        <v>0</v>
      </c>
      <c r="I477" s="5" t="s">
        <v>774</v>
      </c>
      <c r="J477" s="5" t="s">
        <v>934</v>
      </c>
    </row>
    <row r="478" customFormat="false" ht="15" hidden="false" customHeight="false" outlineLevel="0" collapsed="false">
      <c r="A478" s="5" t="s">
        <v>216</v>
      </c>
      <c r="B478" s="5" t="s">
        <v>169</v>
      </c>
      <c r="C478" s="5" t="n">
        <v>11</v>
      </c>
      <c r="D478" s="5" t="s">
        <v>930</v>
      </c>
      <c r="E478" s="5" t="n">
        <v>3</v>
      </c>
      <c r="F478" s="20" t="n">
        <v>8.94000000000001</v>
      </c>
      <c r="G478" s="20" t="n">
        <f aca="false">9-F478</f>
        <v>0.0599999999999881</v>
      </c>
      <c r="H478" s="20" t="n">
        <f aca="false">IF(G478&gt;=1,G478,0)</f>
        <v>0</v>
      </c>
      <c r="I478" s="5" t="s">
        <v>774</v>
      </c>
      <c r="J478" s="5" t="s">
        <v>935</v>
      </c>
    </row>
    <row r="479" customFormat="false" ht="15" hidden="false" customHeight="false" outlineLevel="0" collapsed="false">
      <c r="A479" s="5" t="s">
        <v>216</v>
      </c>
      <c r="B479" s="5" t="s">
        <v>169</v>
      </c>
      <c r="C479" s="5" t="n">
        <v>12</v>
      </c>
      <c r="D479" s="5" t="s">
        <v>930</v>
      </c>
      <c r="E479" s="5" t="n">
        <v>3</v>
      </c>
      <c r="F479" s="20" t="n">
        <v>8.94000000000001</v>
      </c>
      <c r="G479" s="20" t="n">
        <f aca="false">9-F479</f>
        <v>0.0599999999999898</v>
      </c>
      <c r="H479" s="20" t="n">
        <f aca="false">IF(G479&gt;=1,G479,0)</f>
        <v>0</v>
      </c>
      <c r="I479" s="5" t="s">
        <v>774</v>
      </c>
      <c r="J479" s="5" t="s">
        <v>936</v>
      </c>
    </row>
    <row r="480" customFormat="false" ht="15" hidden="false" customHeight="false" outlineLevel="0" collapsed="false">
      <c r="A480" s="5" t="s">
        <v>216</v>
      </c>
      <c r="B480" s="5" t="s">
        <v>169</v>
      </c>
      <c r="C480" s="5" t="n">
        <v>13</v>
      </c>
      <c r="D480" s="5" t="s">
        <v>930</v>
      </c>
      <c r="E480" s="5" t="n">
        <v>3</v>
      </c>
      <c r="F480" s="20" t="n">
        <v>8.94000000000001</v>
      </c>
      <c r="G480" s="20" t="n">
        <f aca="false">9-F480</f>
        <v>0.0599999999999898</v>
      </c>
      <c r="H480" s="20" t="n">
        <f aca="false">IF(G480&gt;=1,G480,0)</f>
        <v>0</v>
      </c>
      <c r="I480" s="5" t="s">
        <v>774</v>
      </c>
      <c r="J480" s="5" t="s">
        <v>937</v>
      </c>
    </row>
    <row r="481" customFormat="false" ht="15" hidden="false" customHeight="false" outlineLevel="0" collapsed="false">
      <c r="A481" s="5" t="s">
        <v>216</v>
      </c>
      <c r="B481" s="5" t="s">
        <v>169</v>
      </c>
      <c r="C481" s="5" t="n">
        <v>14</v>
      </c>
      <c r="D481" s="5" t="s">
        <v>938</v>
      </c>
      <c r="E481" s="5" t="n">
        <v>4</v>
      </c>
      <c r="F481" s="20" t="n">
        <v>8.70084804785079</v>
      </c>
      <c r="G481" s="20" t="n">
        <f aca="false">9-F481</f>
        <v>0.299151952149206</v>
      </c>
      <c r="H481" s="20" t="n">
        <f aca="false">IF(G481&gt;=1,G481,0)</f>
        <v>0</v>
      </c>
      <c r="I481" s="5" t="s">
        <v>939</v>
      </c>
      <c r="J481" s="5" t="s">
        <v>940</v>
      </c>
    </row>
    <row r="482" customFormat="false" ht="15" hidden="false" customHeight="false" outlineLevel="0" collapsed="false">
      <c r="A482" s="5" t="s">
        <v>216</v>
      </c>
      <c r="B482" s="5" t="s">
        <v>169</v>
      </c>
      <c r="C482" s="5" t="n">
        <v>15</v>
      </c>
      <c r="D482" s="5" t="s">
        <v>938</v>
      </c>
      <c r="E482" s="5" t="n">
        <v>4</v>
      </c>
      <c r="F482" s="20" t="n">
        <v>8.70084804785079</v>
      </c>
      <c r="G482" s="20" t="n">
        <f aca="false">9-F482</f>
        <v>0.299151952149213</v>
      </c>
      <c r="H482" s="20" t="n">
        <f aca="false">IF(G482&gt;=1,G482,0)</f>
        <v>0</v>
      </c>
      <c r="I482" s="5" t="s">
        <v>939</v>
      </c>
      <c r="J482" s="5" t="s">
        <v>941</v>
      </c>
    </row>
    <row r="483" customFormat="false" ht="15" hidden="false" customHeight="false" outlineLevel="0" collapsed="false">
      <c r="A483" s="5" t="s">
        <v>216</v>
      </c>
      <c r="B483" s="5" t="s">
        <v>169</v>
      </c>
      <c r="C483" s="5" t="n">
        <v>16</v>
      </c>
      <c r="D483" s="5" t="s">
        <v>938</v>
      </c>
      <c r="E483" s="5" t="n">
        <v>4</v>
      </c>
      <c r="F483" s="20" t="n">
        <v>8.70084804785079</v>
      </c>
      <c r="G483" s="20" t="n">
        <f aca="false">9-F483</f>
        <v>0.299151952149213</v>
      </c>
      <c r="H483" s="20" t="n">
        <f aca="false">IF(G483&gt;=1,G483,0)</f>
        <v>0</v>
      </c>
      <c r="I483" s="5" t="s">
        <v>939</v>
      </c>
      <c r="J483" s="5" t="s">
        <v>942</v>
      </c>
    </row>
    <row r="484" customFormat="false" ht="15" hidden="false" customHeight="false" outlineLevel="0" collapsed="false">
      <c r="A484" s="5" t="s">
        <v>216</v>
      </c>
      <c r="B484" s="5" t="s">
        <v>169</v>
      </c>
      <c r="C484" s="5" t="n">
        <v>17</v>
      </c>
      <c r="D484" s="5" t="s">
        <v>943</v>
      </c>
      <c r="E484" s="5" t="n">
        <v>3</v>
      </c>
      <c r="F484" s="20" t="n">
        <v>8.93094043152276</v>
      </c>
      <c r="G484" s="20" t="n">
        <f aca="false">9-F484</f>
        <v>0.0690595684772397</v>
      </c>
      <c r="H484" s="20" t="n">
        <f aca="false">IF(G484&gt;=1,G484,0)</f>
        <v>0</v>
      </c>
      <c r="I484" s="5" t="s">
        <v>77</v>
      </c>
      <c r="J484" s="5" t="s">
        <v>944</v>
      </c>
    </row>
    <row r="485" customFormat="false" ht="15" hidden="false" customHeight="false" outlineLevel="0" collapsed="false">
      <c r="A485" s="5" t="s">
        <v>216</v>
      </c>
      <c r="B485" s="5" t="s">
        <v>169</v>
      </c>
      <c r="C485" s="5" t="n">
        <v>18</v>
      </c>
      <c r="D485" s="5" t="s">
        <v>943</v>
      </c>
      <c r="E485" s="5" t="n">
        <v>3</v>
      </c>
      <c r="F485" s="20" t="n">
        <v>8.93094043152276</v>
      </c>
      <c r="G485" s="20" t="n">
        <f aca="false">9-F485</f>
        <v>0.0690595684772415</v>
      </c>
      <c r="H485" s="20" t="n">
        <f aca="false">IF(G485&gt;=1,G485,0)</f>
        <v>0</v>
      </c>
      <c r="I485" s="5" t="s">
        <v>77</v>
      </c>
      <c r="J485" s="5" t="s">
        <v>945</v>
      </c>
    </row>
    <row r="486" customFormat="false" ht="15" hidden="false" customHeight="false" outlineLevel="0" collapsed="false">
      <c r="A486" s="5" t="s">
        <v>216</v>
      </c>
      <c r="B486" s="5" t="s">
        <v>169</v>
      </c>
      <c r="C486" s="5" t="n">
        <v>19</v>
      </c>
      <c r="D486" s="5" t="s">
        <v>946</v>
      </c>
      <c r="E486" s="5" t="n">
        <v>4</v>
      </c>
      <c r="F486" s="20" t="n">
        <v>8.92553138035621</v>
      </c>
      <c r="G486" s="20" t="n">
        <f aca="false">9-F486</f>
        <v>0.0744686196437954</v>
      </c>
      <c r="H486" s="20" t="n">
        <f aca="false">IF(G486&gt;=1,G486,0)</f>
        <v>0</v>
      </c>
      <c r="I486" s="5" t="s">
        <v>774</v>
      </c>
      <c r="J486" s="5" t="s">
        <v>947</v>
      </c>
    </row>
    <row r="487" customFormat="false" ht="15" hidden="false" customHeight="false" outlineLevel="0" collapsed="false">
      <c r="A487" s="5" t="s">
        <v>216</v>
      </c>
      <c r="B487" s="5" t="s">
        <v>169</v>
      </c>
      <c r="C487" s="5" t="n">
        <v>20</v>
      </c>
      <c r="D487" s="5" t="s">
        <v>946</v>
      </c>
      <c r="E487" s="5" t="n">
        <v>4</v>
      </c>
      <c r="F487" s="20" t="n">
        <v>8.92553138035621</v>
      </c>
      <c r="G487" s="20" t="n">
        <f aca="false">9-F487</f>
        <v>0.0744686196437954</v>
      </c>
      <c r="H487" s="20" t="n">
        <f aca="false">IF(G487&gt;=1,G487,0)</f>
        <v>0</v>
      </c>
      <c r="I487" s="5" t="s">
        <v>774</v>
      </c>
      <c r="J487" s="5" t="s">
        <v>948</v>
      </c>
    </row>
    <row r="488" customFormat="false" ht="15" hidden="false" customHeight="false" outlineLevel="0" collapsed="false">
      <c r="A488" s="5" t="s">
        <v>216</v>
      </c>
      <c r="B488" s="5" t="s">
        <v>169</v>
      </c>
      <c r="C488" s="5" t="n">
        <v>21</v>
      </c>
      <c r="D488" s="5" t="s">
        <v>946</v>
      </c>
      <c r="E488" s="5" t="n">
        <v>4</v>
      </c>
      <c r="F488" s="20" t="n">
        <v>8.92553138035621</v>
      </c>
      <c r="G488" s="20" t="n">
        <f aca="false">9-F488</f>
        <v>0.0744686196437954</v>
      </c>
      <c r="H488" s="20" t="n">
        <f aca="false">IF(G488&gt;=1,G488,0)</f>
        <v>0</v>
      </c>
      <c r="I488" s="5" t="s">
        <v>774</v>
      </c>
      <c r="J488" s="5" t="s">
        <v>949</v>
      </c>
    </row>
    <row r="489" customFormat="false" ht="15" hidden="false" customHeight="false" outlineLevel="0" collapsed="false">
      <c r="A489" s="5" t="s">
        <v>216</v>
      </c>
      <c r="B489" s="5" t="s">
        <v>169</v>
      </c>
      <c r="C489" s="5" t="n">
        <v>22</v>
      </c>
      <c r="D489" s="5" t="s">
        <v>946</v>
      </c>
      <c r="E489" s="5" t="n">
        <v>4</v>
      </c>
      <c r="F489" s="20" t="n">
        <v>8.9255313803562</v>
      </c>
      <c r="G489" s="20" t="n">
        <f aca="false">9-F489</f>
        <v>0.0744686196438025</v>
      </c>
      <c r="H489" s="20" t="n">
        <f aca="false">IF(G489&gt;=1,G489,0)</f>
        <v>0</v>
      </c>
      <c r="I489" s="5" t="s">
        <v>774</v>
      </c>
      <c r="J489" s="5" t="s">
        <v>950</v>
      </c>
    </row>
    <row r="490" customFormat="false" ht="15" hidden="false" customHeight="false" outlineLevel="0" collapsed="false">
      <c r="A490" s="5" t="s">
        <v>216</v>
      </c>
      <c r="B490" s="5" t="s">
        <v>169</v>
      </c>
      <c r="C490" s="5" t="n">
        <v>23</v>
      </c>
      <c r="D490" s="5" t="s">
        <v>951</v>
      </c>
      <c r="E490" s="5" t="n">
        <v>4</v>
      </c>
      <c r="F490" s="20" t="n">
        <v>8.85914853526715</v>
      </c>
      <c r="G490" s="20" t="n">
        <f aca="false">9-F490</f>
        <v>0.140851464732853</v>
      </c>
      <c r="H490" s="20" t="n">
        <f aca="false">IF(G490&gt;=1,G490,0)</f>
        <v>0</v>
      </c>
      <c r="I490" s="5" t="s">
        <v>952</v>
      </c>
      <c r="J490" s="5" t="s">
        <v>953</v>
      </c>
    </row>
    <row r="491" customFormat="false" ht="15" hidden="false" customHeight="false" outlineLevel="0" collapsed="false">
      <c r="A491" s="5" t="s">
        <v>216</v>
      </c>
      <c r="B491" s="5" t="s">
        <v>169</v>
      </c>
      <c r="C491" s="5" t="n">
        <v>24</v>
      </c>
      <c r="D491" s="5" t="s">
        <v>954</v>
      </c>
      <c r="E491" s="5" t="n">
        <v>4</v>
      </c>
      <c r="F491" s="20" t="n">
        <v>8.66</v>
      </c>
      <c r="G491" s="20" t="n">
        <f aca="false">9-F491</f>
        <v>0.339999999999996</v>
      </c>
      <c r="H491" s="20" t="n">
        <f aca="false">IF(G491&gt;=1,G491,0)</f>
        <v>0</v>
      </c>
      <c r="I491" s="5" t="s">
        <v>77</v>
      </c>
      <c r="J491" s="5" t="s">
        <v>955</v>
      </c>
    </row>
    <row r="492" customFormat="false" ht="15" hidden="false" customHeight="false" outlineLevel="0" collapsed="false">
      <c r="A492" s="5" t="s">
        <v>216</v>
      </c>
      <c r="B492" s="5" t="s">
        <v>169</v>
      </c>
      <c r="C492" s="5" t="n">
        <v>25</v>
      </c>
      <c r="D492" s="5" t="s">
        <v>954</v>
      </c>
      <c r="E492" s="5" t="n">
        <v>4</v>
      </c>
      <c r="F492" s="20" t="n">
        <v>8.66</v>
      </c>
      <c r="G492" s="20" t="n">
        <f aca="false">9-F492</f>
        <v>0.34</v>
      </c>
      <c r="H492" s="20" t="n">
        <f aca="false">IF(G492&gt;=1,G492,0)</f>
        <v>0</v>
      </c>
      <c r="I492" s="5" t="s">
        <v>77</v>
      </c>
      <c r="J492" s="5" t="s">
        <v>956</v>
      </c>
    </row>
    <row r="493" customFormat="false" ht="15" hidden="false" customHeight="false" outlineLevel="0" collapsed="false">
      <c r="A493" s="5" t="s">
        <v>216</v>
      </c>
      <c r="B493" s="5" t="s">
        <v>169</v>
      </c>
      <c r="C493" s="5" t="n">
        <v>26</v>
      </c>
      <c r="D493" s="5" t="s">
        <v>957</v>
      </c>
      <c r="E493" s="5" t="n">
        <v>5</v>
      </c>
      <c r="F493" s="20" t="n">
        <v>8.96892160768446</v>
      </c>
      <c r="G493" s="20" t="n">
        <f aca="false">9-F493</f>
        <v>0.0310783923155356</v>
      </c>
      <c r="H493" s="20" t="n">
        <f aca="false">IF(G493&gt;=1,G493,0)</f>
        <v>0</v>
      </c>
      <c r="I493" s="5" t="s">
        <v>939</v>
      </c>
      <c r="J493" s="5" t="s">
        <v>958</v>
      </c>
    </row>
    <row r="494" customFormat="false" ht="15" hidden="false" customHeight="false" outlineLevel="0" collapsed="false">
      <c r="A494" s="5" t="s">
        <v>216</v>
      </c>
      <c r="B494" s="5" t="s">
        <v>169</v>
      </c>
      <c r="C494" s="5" t="n">
        <v>27</v>
      </c>
      <c r="D494" s="5" t="s">
        <v>959</v>
      </c>
      <c r="E494" s="5" t="n">
        <v>5</v>
      </c>
      <c r="F494" s="20" t="n">
        <v>8.71807014295163</v>
      </c>
      <c r="G494" s="20" t="n">
        <f aca="false">9-F494</f>
        <v>0.281929857048375</v>
      </c>
      <c r="H494" s="20" t="n">
        <f aca="false">IF(G494&gt;=1,G494,0)</f>
        <v>0</v>
      </c>
      <c r="I494" s="5" t="s">
        <v>960</v>
      </c>
      <c r="J494" s="5" t="s">
        <v>961</v>
      </c>
    </row>
    <row r="495" customFormat="false" ht="15" hidden="false" customHeight="false" outlineLevel="0" collapsed="false">
      <c r="A495" s="5" t="s">
        <v>216</v>
      </c>
      <c r="B495" s="5" t="s">
        <v>169</v>
      </c>
      <c r="C495" s="5" t="n">
        <v>28</v>
      </c>
      <c r="D495" s="5" t="s">
        <v>962</v>
      </c>
      <c r="E495" s="5" t="n">
        <v>5</v>
      </c>
      <c r="F495" s="20" t="n">
        <v>8.95986229786257</v>
      </c>
      <c r="G495" s="20" t="n">
        <f aca="false">9-F495</f>
        <v>0.0401377021374287</v>
      </c>
      <c r="H495" s="20" t="n">
        <f aca="false">IF(G495&gt;=1,G495,0)</f>
        <v>0</v>
      </c>
      <c r="I495" s="5" t="s">
        <v>960</v>
      </c>
      <c r="J495" s="5" t="s">
        <v>963</v>
      </c>
    </row>
    <row r="496" customFormat="false" ht="15" hidden="false" customHeight="false" outlineLevel="0" collapsed="false">
      <c r="A496" s="5" t="s">
        <v>216</v>
      </c>
      <c r="B496" s="5" t="s">
        <v>169</v>
      </c>
      <c r="C496" s="5" t="n">
        <v>29</v>
      </c>
      <c r="D496" s="5" t="s">
        <v>964</v>
      </c>
      <c r="E496" s="5" t="n">
        <v>5</v>
      </c>
      <c r="F496" s="20" t="n">
        <v>8.77571376259542</v>
      </c>
      <c r="G496" s="20" t="n">
        <f aca="false">9-F496</f>
        <v>0.224286237404584</v>
      </c>
      <c r="H496" s="20" t="n">
        <f aca="false">IF(G496&gt;=1,G496,0)</f>
        <v>0</v>
      </c>
      <c r="I496" s="5" t="s">
        <v>960</v>
      </c>
      <c r="J496" s="5" t="s">
        <v>965</v>
      </c>
    </row>
    <row r="497" customFormat="false" ht="15" hidden="false" customHeight="false" outlineLevel="0" collapsed="false">
      <c r="A497" s="5" t="s">
        <v>216</v>
      </c>
      <c r="B497" s="5" t="s">
        <v>169</v>
      </c>
      <c r="C497" s="5" t="n">
        <v>30</v>
      </c>
      <c r="D497" s="5" t="s">
        <v>964</v>
      </c>
      <c r="E497" s="5" t="n">
        <v>5</v>
      </c>
      <c r="F497" s="20" t="n">
        <v>8.77571376259542</v>
      </c>
      <c r="G497" s="20" t="n">
        <f aca="false">9-F497</f>
        <v>0.224286237404584</v>
      </c>
      <c r="H497" s="20" t="n">
        <f aca="false">IF(G497&gt;=1,G497,0)</f>
        <v>0</v>
      </c>
      <c r="I497" s="5" t="s">
        <v>960</v>
      </c>
      <c r="J497" s="5" t="s">
        <v>966</v>
      </c>
    </row>
    <row r="498" customFormat="false" ht="15" hidden="false" customHeight="false" outlineLevel="0" collapsed="false">
      <c r="A498" s="5" t="s">
        <v>216</v>
      </c>
      <c r="B498" s="5" t="s">
        <v>169</v>
      </c>
      <c r="C498" s="5" t="n">
        <v>31</v>
      </c>
      <c r="D498" s="5" t="s">
        <v>964</v>
      </c>
      <c r="E498" s="5" t="n">
        <v>5</v>
      </c>
      <c r="F498" s="20" t="n">
        <v>8.77571376259541</v>
      </c>
      <c r="G498" s="20" t="n">
        <f aca="false">9-F498</f>
        <v>0.224286237404588</v>
      </c>
      <c r="H498" s="20" t="n">
        <f aca="false">IF(G498&gt;=1,G498,0)</f>
        <v>0</v>
      </c>
      <c r="I498" s="5" t="s">
        <v>960</v>
      </c>
      <c r="J498" s="5" t="s">
        <v>967</v>
      </c>
    </row>
    <row r="499" customFormat="false" ht="15" hidden="false" customHeight="false" outlineLevel="0" collapsed="false">
      <c r="A499" s="5" t="s">
        <v>216</v>
      </c>
      <c r="B499" s="5" t="s">
        <v>169</v>
      </c>
      <c r="C499" s="5" t="n">
        <v>32</v>
      </c>
      <c r="D499" s="5" t="s">
        <v>964</v>
      </c>
      <c r="E499" s="5" t="n">
        <v>5</v>
      </c>
      <c r="F499" s="20" t="n">
        <v>8.77571376259541</v>
      </c>
      <c r="G499" s="20" t="n">
        <f aca="false">9-F499</f>
        <v>0.224286237404591</v>
      </c>
      <c r="H499" s="20" t="n">
        <f aca="false">IF(G499&gt;=1,G499,0)</f>
        <v>0</v>
      </c>
      <c r="I499" s="5" t="s">
        <v>960</v>
      </c>
      <c r="J499" s="5" t="s">
        <v>968</v>
      </c>
    </row>
    <row r="500" customFormat="false" ht="15" hidden="false" customHeight="false" outlineLevel="0" collapsed="false">
      <c r="A500" s="5" t="s">
        <v>216</v>
      </c>
      <c r="B500" s="5" t="s">
        <v>169</v>
      </c>
      <c r="C500" s="5" t="n">
        <v>33</v>
      </c>
      <c r="D500" s="5" t="s">
        <v>964</v>
      </c>
      <c r="E500" s="5" t="n">
        <v>5</v>
      </c>
      <c r="F500" s="20" t="n">
        <v>8.77571376259541</v>
      </c>
      <c r="G500" s="20" t="n">
        <f aca="false">9-F500</f>
        <v>0.224286237404591</v>
      </c>
      <c r="H500" s="20" t="n">
        <f aca="false">IF(G500&gt;=1,G500,0)</f>
        <v>0</v>
      </c>
      <c r="I500" s="5" t="s">
        <v>960</v>
      </c>
      <c r="J500" s="5" t="s">
        <v>969</v>
      </c>
    </row>
    <row r="501" customFormat="false" ht="15" hidden="false" customHeight="false" outlineLevel="0" collapsed="false">
      <c r="A501" s="5" t="s">
        <v>216</v>
      </c>
      <c r="B501" s="5" t="s">
        <v>169</v>
      </c>
      <c r="C501" s="5" t="n">
        <v>34</v>
      </c>
      <c r="D501" s="5" t="s">
        <v>970</v>
      </c>
      <c r="E501" s="5" t="n">
        <v>5</v>
      </c>
      <c r="F501" s="20" t="n">
        <v>8.98000000000001</v>
      </c>
      <c r="G501" s="20" t="n">
        <f aca="false">9-F501</f>
        <v>0.0199999999999942</v>
      </c>
      <c r="H501" s="20" t="n">
        <f aca="false">IF(G501&gt;=1,G501,0)</f>
        <v>0</v>
      </c>
      <c r="I501" s="5" t="s">
        <v>952</v>
      </c>
      <c r="J501" s="5" t="s">
        <v>971</v>
      </c>
    </row>
    <row r="502" customFormat="false" ht="15" hidden="false" customHeight="false" outlineLevel="0" collapsed="false">
      <c r="A502" s="5" t="s">
        <v>216</v>
      </c>
      <c r="B502" s="5" t="s">
        <v>169</v>
      </c>
      <c r="C502" s="5" t="n">
        <v>35</v>
      </c>
      <c r="D502" s="5" t="s">
        <v>611</v>
      </c>
      <c r="E502" s="5" t="n">
        <v>6</v>
      </c>
      <c r="F502" s="20" t="n">
        <v>8.78922638854954</v>
      </c>
      <c r="G502" s="20" t="n">
        <f aca="false">9-F502</f>
        <v>0.21077361145046</v>
      </c>
      <c r="H502" s="20" t="n">
        <f aca="false">IF(G502&gt;=1,G502,0)</f>
        <v>0</v>
      </c>
      <c r="I502" s="5" t="s">
        <v>74</v>
      </c>
      <c r="J502" s="5" t="s">
        <v>972</v>
      </c>
    </row>
    <row r="503" customFormat="false" ht="15" hidden="false" customHeight="false" outlineLevel="0" collapsed="false">
      <c r="A503" s="5" t="s">
        <v>216</v>
      </c>
      <c r="B503" s="5" t="s">
        <v>169</v>
      </c>
      <c r="C503" s="5" t="n">
        <v>36</v>
      </c>
      <c r="D503" s="5" t="s">
        <v>611</v>
      </c>
      <c r="E503" s="5" t="n">
        <v>6</v>
      </c>
      <c r="F503" s="20" t="n">
        <v>8.78922638854954</v>
      </c>
      <c r="G503" s="20" t="n">
        <f aca="false">9-F503</f>
        <v>0.21077361145046</v>
      </c>
      <c r="H503" s="20" t="n">
        <f aca="false">IF(G503&gt;=1,G503,0)</f>
        <v>0</v>
      </c>
      <c r="I503" s="5" t="s">
        <v>74</v>
      </c>
      <c r="J503" s="5" t="s">
        <v>973</v>
      </c>
    </row>
    <row r="504" customFormat="false" ht="15" hidden="false" customHeight="false" outlineLevel="0" collapsed="false">
      <c r="A504" s="5" t="s">
        <v>216</v>
      </c>
      <c r="B504" s="5" t="s">
        <v>169</v>
      </c>
      <c r="C504" s="5" t="n">
        <v>37</v>
      </c>
      <c r="D504" s="5" t="s">
        <v>611</v>
      </c>
      <c r="E504" s="5" t="n">
        <v>6</v>
      </c>
      <c r="F504" s="20" t="n">
        <v>8.78922638854954</v>
      </c>
      <c r="G504" s="20" t="n">
        <f aca="false">9-F504</f>
        <v>0.21077361145046</v>
      </c>
      <c r="H504" s="20" t="n">
        <f aca="false">IF(G504&gt;=1,G504,0)</f>
        <v>0</v>
      </c>
      <c r="I504" s="5" t="s">
        <v>74</v>
      </c>
      <c r="J504" s="5" t="s">
        <v>974</v>
      </c>
    </row>
    <row r="505" customFormat="false" ht="15" hidden="false" customHeight="false" outlineLevel="0" collapsed="false">
      <c r="A505" s="5" t="s">
        <v>216</v>
      </c>
      <c r="B505" s="5" t="s">
        <v>169</v>
      </c>
      <c r="C505" s="5" t="n">
        <v>38</v>
      </c>
      <c r="D505" s="5" t="s">
        <v>611</v>
      </c>
      <c r="E505" s="5" t="n">
        <v>6</v>
      </c>
      <c r="F505" s="20" t="n">
        <v>8.78922638854954</v>
      </c>
      <c r="G505" s="20" t="n">
        <f aca="false">9-F505</f>
        <v>0.21077361145046</v>
      </c>
      <c r="H505" s="20" t="n">
        <f aca="false">IF(G505&gt;=1,G505,0)</f>
        <v>0</v>
      </c>
      <c r="I505" s="5" t="s">
        <v>74</v>
      </c>
      <c r="J505" s="5" t="s">
        <v>975</v>
      </c>
    </row>
    <row r="506" customFormat="false" ht="15" hidden="false" customHeight="false" outlineLevel="0" collapsed="false">
      <c r="A506" s="5" t="s">
        <v>216</v>
      </c>
      <c r="B506" s="5" t="s">
        <v>169</v>
      </c>
      <c r="C506" s="5" t="n">
        <v>39</v>
      </c>
      <c r="D506" s="5" t="s">
        <v>611</v>
      </c>
      <c r="E506" s="5" t="n">
        <v>6</v>
      </c>
      <c r="F506" s="20" t="n">
        <v>8.78922638854954</v>
      </c>
      <c r="G506" s="20" t="n">
        <f aca="false">9-F506</f>
        <v>0.21077361145046</v>
      </c>
      <c r="H506" s="20" t="n">
        <f aca="false">IF(G506&gt;=1,G506,0)</f>
        <v>0</v>
      </c>
      <c r="I506" s="5" t="s">
        <v>74</v>
      </c>
      <c r="J506" s="5" t="s">
        <v>976</v>
      </c>
    </row>
    <row r="507" customFormat="false" ht="15" hidden="false" customHeight="false" outlineLevel="0" collapsed="false">
      <c r="A507" s="5" t="s">
        <v>216</v>
      </c>
      <c r="B507" s="5" t="s">
        <v>169</v>
      </c>
      <c r="C507" s="5" t="n">
        <v>40</v>
      </c>
      <c r="D507" s="5" t="s">
        <v>611</v>
      </c>
      <c r="E507" s="5" t="n">
        <v>6</v>
      </c>
      <c r="F507" s="20" t="n">
        <v>8.78922638854954</v>
      </c>
      <c r="G507" s="20" t="n">
        <f aca="false">9-F507</f>
        <v>0.210773611450465</v>
      </c>
      <c r="H507" s="20" t="n">
        <f aca="false">IF(G507&gt;=1,G507,0)</f>
        <v>0</v>
      </c>
      <c r="I507" s="5" t="s">
        <v>74</v>
      </c>
      <c r="J507" s="5" t="s">
        <v>977</v>
      </c>
    </row>
    <row r="508" customFormat="false" ht="15" hidden="false" customHeight="false" outlineLevel="0" collapsed="false">
      <c r="A508" s="5" t="s">
        <v>216</v>
      </c>
      <c r="B508" s="5" t="s">
        <v>169</v>
      </c>
      <c r="C508" s="5" t="n">
        <v>41</v>
      </c>
      <c r="D508" s="5" t="s">
        <v>611</v>
      </c>
      <c r="E508" s="5" t="n">
        <v>6</v>
      </c>
      <c r="F508" s="20" t="n">
        <v>8.78922638854953</v>
      </c>
      <c r="G508" s="20" t="n">
        <f aca="false">9-F508</f>
        <v>0.210773611450474</v>
      </c>
      <c r="H508" s="20" t="n">
        <f aca="false">IF(G508&gt;=1,G508,0)</f>
        <v>0</v>
      </c>
      <c r="I508" s="5" t="s">
        <v>74</v>
      </c>
      <c r="J508" s="5" t="s">
        <v>978</v>
      </c>
    </row>
    <row r="509" customFormat="false" ht="15" hidden="false" customHeight="false" outlineLevel="0" collapsed="false">
      <c r="A509" s="5" t="s">
        <v>216</v>
      </c>
      <c r="B509" s="5" t="s">
        <v>169</v>
      </c>
      <c r="C509" s="5" t="n">
        <v>42</v>
      </c>
      <c r="D509" s="5" t="s">
        <v>611</v>
      </c>
      <c r="E509" s="5" t="n">
        <v>6</v>
      </c>
      <c r="F509" s="20" t="n">
        <v>8.78922638854953</v>
      </c>
      <c r="G509" s="20" t="n">
        <f aca="false">9-F509</f>
        <v>0.210773611450474</v>
      </c>
      <c r="H509" s="20" t="n">
        <f aca="false">IF(G509&gt;=1,G509,0)</f>
        <v>0</v>
      </c>
      <c r="I509" s="5" t="s">
        <v>74</v>
      </c>
      <c r="J509" s="5" t="s">
        <v>979</v>
      </c>
    </row>
    <row r="510" customFormat="false" ht="15" hidden="false" customHeight="false" outlineLevel="0" collapsed="false">
      <c r="A510" s="5" t="s">
        <v>216</v>
      </c>
      <c r="B510" s="5" t="s">
        <v>169</v>
      </c>
      <c r="C510" s="5" t="n">
        <v>43</v>
      </c>
      <c r="D510" s="5" t="s">
        <v>611</v>
      </c>
      <c r="E510" s="5" t="n">
        <v>6</v>
      </c>
      <c r="F510" s="20" t="n">
        <v>8.78922638854953</v>
      </c>
      <c r="G510" s="20" t="n">
        <f aca="false">9-F510</f>
        <v>0.210773611450474</v>
      </c>
      <c r="H510" s="20" t="n">
        <f aca="false">IF(G510&gt;=1,G510,0)</f>
        <v>0</v>
      </c>
      <c r="I510" s="5" t="s">
        <v>74</v>
      </c>
      <c r="J510" s="5" t="s">
        <v>980</v>
      </c>
    </row>
    <row r="511" customFormat="false" ht="15" hidden="false" customHeight="false" outlineLevel="0" collapsed="false">
      <c r="A511" s="5" t="s">
        <v>216</v>
      </c>
      <c r="B511" s="5" t="s">
        <v>169</v>
      </c>
      <c r="C511" s="5" t="n">
        <v>44</v>
      </c>
      <c r="D511" s="5" t="s">
        <v>611</v>
      </c>
      <c r="E511" s="5" t="n">
        <v>6</v>
      </c>
      <c r="F511" s="20" t="n">
        <v>8.78922638854953</v>
      </c>
      <c r="G511" s="20" t="n">
        <f aca="false">9-F511</f>
        <v>0.210773611450474</v>
      </c>
      <c r="H511" s="20" t="n">
        <f aca="false">IF(G511&gt;=1,G511,0)</f>
        <v>0</v>
      </c>
      <c r="I511" s="5" t="s">
        <v>74</v>
      </c>
      <c r="J511" s="5" t="s">
        <v>981</v>
      </c>
    </row>
    <row r="512" customFormat="false" ht="15" hidden="false" customHeight="false" outlineLevel="0" collapsed="false">
      <c r="A512" s="5" t="s">
        <v>216</v>
      </c>
      <c r="B512" s="5" t="s">
        <v>169</v>
      </c>
      <c r="C512" s="5" t="n">
        <v>45</v>
      </c>
      <c r="D512" s="5" t="s">
        <v>611</v>
      </c>
      <c r="E512" s="5" t="n">
        <v>6</v>
      </c>
      <c r="F512" s="20" t="n">
        <v>8.78922638854953</v>
      </c>
      <c r="G512" s="20" t="n">
        <f aca="false">9-F512</f>
        <v>0.210773611450474</v>
      </c>
      <c r="H512" s="20" t="n">
        <f aca="false">IF(G512&gt;=1,G512,0)</f>
        <v>0</v>
      </c>
      <c r="I512" s="5" t="s">
        <v>74</v>
      </c>
      <c r="J512" s="5" t="s">
        <v>982</v>
      </c>
    </row>
    <row r="513" customFormat="false" ht="15" hidden="false" customHeight="false" outlineLevel="0" collapsed="false">
      <c r="A513" s="5" t="s">
        <v>216</v>
      </c>
      <c r="B513" s="5" t="s">
        <v>169</v>
      </c>
      <c r="C513" s="5" t="n">
        <v>46</v>
      </c>
      <c r="D513" s="5" t="s">
        <v>611</v>
      </c>
      <c r="E513" s="5" t="n">
        <v>6</v>
      </c>
      <c r="F513" s="20" t="n">
        <v>8.78922638854953</v>
      </c>
      <c r="G513" s="20" t="n">
        <f aca="false">9-F513</f>
        <v>0.210773611450474</v>
      </c>
      <c r="H513" s="20" t="n">
        <f aca="false">IF(G513&gt;=1,G513,0)</f>
        <v>0</v>
      </c>
      <c r="I513" s="5" t="s">
        <v>74</v>
      </c>
      <c r="J513" s="5" t="s">
        <v>983</v>
      </c>
    </row>
    <row r="514" customFormat="false" ht="15" hidden="false" customHeight="false" outlineLevel="0" collapsed="false">
      <c r="A514" s="5" t="s">
        <v>216</v>
      </c>
      <c r="B514" s="5" t="s">
        <v>169</v>
      </c>
      <c r="C514" s="5" t="n">
        <v>47</v>
      </c>
      <c r="D514" s="5" t="s">
        <v>611</v>
      </c>
      <c r="E514" s="5" t="n">
        <v>6</v>
      </c>
      <c r="F514" s="20" t="n">
        <v>8.78922638854953</v>
      </c>
      <c r="G514" s="20" t="n">
        <f aca="false">9-F514</f>
        <v>0.210773611450474</v>
      </c>
      <c r="H514" s="20" t="n">
        <f aca="false">IF(G514&gt;=1,G514,0)</f>
        <v>0</v>
      </c>
      <c r="I514" s="5" t="s">
        <v>74</v>
      </c>
      <c r="J514" s="5" t="s">
        <v>984</v>
      </c>
    </row>
    <row r="515" customFormat="false" ht="15" hidden="false" customHeight="false" outlineLevel="0" collapsed="false">
      <c r="A515" s="5" t="s">
        <v>216</v>
      </c>
      <c r="B515" s="5" t="s">
        <v>169</v>
      </c>
      <c r="C515" s="5" t="n">
        <v>48</v>
      </c>
      <c r="D515" s="5" t="s">
        <v>611</v>
      </c>
      <c r="E515" s="5" t="n">
        <v>6</v>
      </c>
      <c r="F515" s="20" t="n">
        <v>8.78922638854953</v>
      </c>
      <c r="G515" s="20" t="n">
        <f aca="false">9-F515</f>
        <v>0.210773611450474</v>
      </c>
      <c r="H515" s="20" t="n">
        <f aca="false">IF(G515&gt;=1,G515,0)</f>
        <v>0</v>
      </c>
      <c r="I515" s="5" t="s">
        <v>74</v>
      </c>
      <c r="J515" s="5" t="s">
        <v>985</v>
      </c>
    </row>
    <row r="516" customFormat="false" ht="15" hidden="false" customHeight="false" outlineLevel="0" collapsed="false">
      <c r="A516" s="5" t="s">
        <v>216</v>
      </c>
      <c r="B516" s="5" t="s">
        <v>169</v>
      </c>
      <c r="C516" s="5" t="n">
        <v>49</v>
      </c>
      <c r="D516" s="5" t="s">
        <v>611</v>
      </c>
      <c r="E516" s="5" t="n">
        <v>6</v>
      </c>
      <c r="F516" s="20" t="n">
        <v>8.78922638854953</v>
      </c>
      <c r="G516" s="20" t="n">
        <f aca="false">9-F516</f>
        <v>0.210773611450474</v>
      </c>
      <c r="H516" s="20" t="n">
        <f aca="false">IF(G516&gt;=1,G516,0)</f>
        <v>0</v>
      </c>
      <c r="I516" s="5" t="s">
        <v>74</v>
      </c>
      <c r="J516" s="5" t="s">
        <v>986</v>
      </c>
    </row>
    <row r="517" customFormat="false" ht="15" hidden="false" customHeight="false" outlineLevel="0" collapsed="false">
      <c r="A517" s="5" t="s">
        <v>216</v>
      </c>
      <c r="B517" s="5" t="s">
        <v>169</v>
      </c>
      <c r="C517" s="5" t="n">
        <v>50</v>
      </c>
      <c r="D517" s="5" t="s">
        <v>611</v>
      </c>
      <c r="E517" s="5" t="n">
        <v>6</v>
      </c>
      <c r="F517" s="20" t="n">
        <v>8.78922638854953</v>
      </c>
      <c r="G517" s="20" t="n">
        <f aca="false">9-F517</f>
        <v>0.210773611450474</v>
      </c>
      <c r="H517" s="20" t="n">
        <f aca="false">IF(G517&gt;=1,G517,0)</f>
        <v>0</v>
      </c>
      <c r="I517" s="5" t="s">
        <v>74</v>
      </c>
      <c r="J517" s="5" t="s">
        <v>987</v>
      </c>
    </row>
    <row r="518" customFormat="false" ht="15" hidden="false" customHeight="false" outlineLevel="0" collapsed="false">
      <c r="A518" s="5" t="s">
        <v>216</v>
      </c>
      <c r="B518" s="5" t="s">
        <v>169</v>
      </c>
      <c r="C518" s="5" t="n">
        <v>51</v>
      </c>
      <c r="D518" s="5" t="s">
        <v>611</v>
      </c>
      <c r="E518" s="5" t="n">
        <v>6</v>
      </c>
      <c r="F518" s="20" t="n">
        <v>8.78922638854952</v>
      </c>
      <c r="G518" s="20" t="n">
        <f aca="false">9-F518</f>
        <v>0.210773611450476</v>
      </c>
      <c r="H518" s="20" t="n">
        <f aca="false">IF(G518&gt;=1,G518,0)</f>
        <v>0</v>
      </c>
      <c r="I518" s="5" t="s">
        <v>74</v>
      </c>
      <c r="J518" s="5" t="s">
        <v>988</v>
      </c>
    </row>
    <row r="519" customFormat="false" ht="15" hidden="false" customHeight="false" outlineLevel="0" collapsed="false">
      <c r="A519" s="5" t="s">
        <v>216</v>
      </c>
      <c r="B519" s="5" t="s">
        <v>169</v>
      </c>
      <c r="C519" s="5" t="n">
        <v>52</v>
      </c>
      <c r="D519" s="5" t="s">
        <v>611</v>
      </c>
      <c r="E519" s="5" t="n">
        <v>6</v>
      </c>
      <c r="F519" s="20" t="n">
        <v>8.78922638854952</v>
      </c>
      <c r="G519" s="20" t="n">
        <f aca="false">9-F519</f>
        <v>0.210773611450483</v>
      </c>
      <c r="H519" s="20" t="n">
        <f aca="false">IF(G519&gt;=1,G519,0)</f>
        <v>0</v>
      </c>
      <c r="I519" s="5" t="s">
        <v>74</v>
      </c>
      <c r="J519" s="5" t="s">
        <v>989</v>
      </c>
    </row>
    <row r="520" customFormat="false" ht="15" hidden="false" customHeight="false" outlineLevel="0" collapsed="false">
      <c r="A520" s="5" t="s">
        <v>216</v>
      </c>
      <c r="B520" s="5" t="s">
        <v>169</v>
      </c>
      <c r="C520" s="5" t="n">
        <v>53</v>
      </c>
      <c r="D520" s="5" t="s">
        <v>611</v>
      </c>
      <c r="E520" s="5" t="n">
        <v>6</v>
      </c>
      <c r="F520" s="20" t="n">
        <v>8.78922638854952</v>
      </c>
      <c r="G520" s="20" t="n">
        <f aca="false">9-F520</f>
        <v>0.210773611450483</v>
      </c>
      <c r="H520" s="20" t="n">
        <f aca="false">IF(G520&gt;=1,G520,0)</f>
        <v>0</v>
      </c>
      <c r="I520" s="5" t="s">
        <v>74</v>
      </c>
      <c r="J520" s="5" t="s">
        <v>990</v>
      </c>
    </row>
    <row r="521" customFormat="false" ht="15" hidden="false" customHeight="false" outlineLevel="0" collapsed="false">
      <c r="A521" s="5" t="s">
        <v>216</v>
      </c>
      <c r="B521" s="5" t="s">
        <v>169</v>
      </c>
      <c r="C521" s="5" t="n">
        <v>54</v>
      </c>
      <c r="D521" s="5" t="s">
        <v>611</v>
      </c>
      <c r="E521" s="5" t="n">
        <v>6</v>
      </c>
      <c r="F521" s="20" t="n">
        <v>8.78922638854952</v>
      </c>
      <c r="G521" s="20" t="n">
        <f aca="false">9-F521</f>
        <v>0.210773611450483</v>
      </c>
      <c r="H521" s="20" t="n">
        <f aca="false">IF(G521&gt;=1,G521,0)</f>
        <v>0</v>
      </c>
      <c r="I521" s="5" t="s">
        <v>74</v>
      </c>
      <c r="J521" s="5" t="s">
        <v>991</v>
      </c>
    </row>
    <row r="522" customFormat="false" ht="15" hidden="false" customHeight="false" outlineLevel="0" collapsed="false">
      <c r="A522" s="5" t="s">
        <v>216</v>
      </c>
      <c r="B522" s="5" t="s">
        <v>169</v>
      </c>
      <c r="C522" s="5" t="n">
        <v>55</v>
      </c>
      <c r="D522" s="5" t="s">
        <v>611</v>
      </c>
      <c r="E522" s="5" t="n">
        <v>6</v>
      </c>
      <c r="F522" s="20" t="n">
        <v>8.78922638854952</v>
      </c>
      <c r="G522" s="20" t="n">
        <f aca="false">9-F522</f>
        <v>0.210773611450483</v>
      </c>
      <c r="H522" s="20" t="n">
        <f aca="false">IF(G522&gt;=1,G522,0)</f>
        <v>0</v>
      </c>
      <c r="I522" s="5" t="s">
        <v>74</v>
      </c>
      <c r="J522" s="5" t="s">
        <v>992</v>
      </c>
    </row>
    <row r="523" customFormat="false" ht="15" hidden="false" customHeight="false" outlineLevel="0" collapsed="false">
      <c r="A523" s="5" t="s">
        <v>216</v>
      </c>
      <c r="B523" s="5" t="s">
        <v>169</v>
      </c>
      <c r="C523" s="5" t="n">
        <v>56</v>
      </c>
      <c r="D523" s="5" t="s">
        <v>611</v>
      </c>
      <c r="E523" s="5" t="n">
        <v>6</v>
      </c>
      <c r="F523" s="20" t="n">
        <v>8.78922638854952</v>
      </c>
      <c r="G523" s="20" t="n">
        <f aca="false">9-F523</f>
        <v>0.210773611450483</v>
      </c>
      <c r="H523" s="20" t="n">
        <f aca="false">IF(G523&gt;=1,G523,0)</f>
        <v>0</v>
      </c>
      <c r="I523" s="5" t="s">
        <v>74</v>
      </c>
      <c r="J523" s="5" t="s">
        <v>993</v>
      </c>
    </row>
    <row r="524" customFormat="false" ht="15" hidden="false" customHeight="false" outlineLevel="0" collapsed="false">
      <c r="A524" s="5" t="s">
        <v>216</v>
      </c>
      <c r="B524" s="5" t="s">
        <v>169</v>
      </c>
      <c r="C524" s="5" t="n">
        <v>57</v>
      </c>
      <c r="D524" s="5" t="s">
        <v>611</v>
      </c>
      <c r="E524" s="5" t="n">
        <v>6</v>
      </c>
      <c r="F524" s="20" t="n">
        <v>8.78922638854952</v>
      </c>
      <c r="G524" s="20" t="n">
        <f aca="false">9-F524</f>
        <v>0.210773611450483</v>
      </c>
      <c r="H524" s="20" t="n">
        <f aca="false">IF(G524&gt;=1,G524,0)</f>
        <v>0</v>
      </c>
      <c r="I524" s="5" t="s">
        <v>74</v>
      </c>
      <c r="J524" s="5" t="s">
        <v>994</v>
      </c>
    </row>
    <row r="525" customFormat="false" ht="15" hidden="false" customHeight="false" outlineLevel="0" collapsed="false">
      <c r="A525" s="5" t="s">
        <v>216</v>
      </c>
      <c r="B525" s="5" t="s">
        <v>169</v>
      </c>
      <c r="C525" s="5" t="n">
        <v>58</v>
      </c>
      <c r="D525" s="5" t="s">
        <v>611</v>
      </c>
      <c r="E525" s="5" t="n">
        <v>6</v>
      </c>
      <c r="F525" s="20" t="n">
        <v>8.78922638854952</v>
      </c>
      <c r="G525" s="20" t="n">
        <f aca="false">9-F525</f>
        <v>0.210773611450483</v>
      </c>
      <c r="H525" s="20" t="n">
        <f aca="false">IF(G525&gt;=1,G525,0)</f>
        <v>0</v>
      </c>
      <c r="I525" s="5" t="s">
        <v>74</v>
      </c>
      <c r="J525" s="5" t="s">
        <v>995</v>
      </c>
    </row>
    <row r="526" customFormat="false" ht="15" hidden="false" customHeight="false" outlineLevel="0" collapsed="false">
      <c r="A526" s="5" t="s">
        <v>216</v>
      </c>
      <c r="B526" s="5" t="s">
        <v>169</v>
      </c>
      <c r="C526" s="5" t="n">
        <v>59</v>
      </c>
      <c r="D526" s="5" t="s">
        <v>611</v>
      </c>
      <c r="E526" s="5" t="n">
        <v>6</v>
      </c>
      <c r="F526" s="20" t="n">
        <v>8.78922638854952</v>
      </c>
      <c r="G526" s="20" t="n">
        <f aca="false">9-F526</f>
        <v>0.210773611450483</v>
      </c>
      <c r="H526" s="20" t="n">
        <f aca="false">IF(G526&gt;=1,G526,0)</f>
        <v>0</v>
      </c>
      <c r="I526" s="5" t="s">
        <v>74</v>
      </c>
      <c r="J526" s="5" t="s">
        <v>996</v>
      </c>
    </row>
    <row r="527" customFormat="false" ht="15" hidden="false" customHeight="false" outlineLevel="0" collapsed="false">
      <c r="A527" s="5" t="s">
        <v>216</v>
      </c>
      <c r="B527" s="5" t="s">
        <v>169</v>
      </c>
      <c r="C527" s="5" t="n">
        <v>60</v>
      </c>
      <c r="D527" s="5" t="s">
        <v>611</v>
      </c>
      <c r="E527" s="5" t="n">
        <v>6</v>
      </c>
      <c r="F527" s="20" t="n">
        <v>8.78922638854952</v>
      </c>
      <c r="G527" s="20" t="n">
        <f aca="false">9-F527</f>
        <v>0.210773611450483</v>
      </c>
      <c r="H527" s="20" t="n">
        <f aca="false">IF(G527&gt;=1,G527,0)</f>
        <v>0</v>
      </c>
      <c r="I527" s="5" t="s">
        <v>74</v>
      </c>
      <c r="J527" s="5" t="s">
        <v>997</v>
      </c>
    </row>
    <row r="528" customFormat="false" ht="15" hidden="false" customHeight="false" outlineLevel="0" collapsed="false">
      <c r="A528" s="5" t="s">
        <v>216</v>
      </c>
      <c r="B528" s="5" t="s">
        <v>169</v>
      </c>
      <c r="C528" s="5" t="n">
        <v>61</v>
      </c>
      <c r="D528" s="5" t="s">
        <v>611</v>
      </c>
      <c r="E528" s="5" t="n">
        <v>6</v>
      </c>
      <c r="F528" s="20" t="n">
        <v>8.78922638854952</v>
      </c>
      <c r="G528" s="20" t="n">
        <f aca="false">9-F528</f>
        <v>0.210773611450483</v>
      </c>
      <c r="H528" s="20" t="n">
        <f aca="false">IF(G528&gt;=1,G528,0)</f>
        <v>0</v>
      </c>
      <c r="I528" s="5" t="s">
        <v>74</v>
      </c>
      <c r="J528" s="5" t="s">
        <v>998</v>
      </c>
    </row>
    <row r="529" customFormat="false" ht="15" hidden="false" customHeight="false" outlineLevel="0" collapsed="false">
      <c r="A529" s="5" t="s">
        <v>216</v>
      </c>
      <c r="B529" s="5" t="s">
        <v>169</v>
      </c>
      <c r="C529" s="5" t="n">
        <v>62</v>
      </c>
      <c r="D529" s="5" t="s">
        <v>611</v>
      </c>
      <c r="E529" s="5" t="n">
        <v>6</v>
      </c>
      <c r="F529" s="20" t="n">
        <v>8.78922638854952</v>
      </c>
      <c r="G529" s="20" t="n">
        <f aca="false">9-F529</f>
        <v>0.210773611450483</v>
      </c>
      <c r="H529" s="20" t="n">
        <f aca="false">IF(G529&gt;=1,G529,0)</f>
        <v>0</v>
      </c>
      <c r="I529" s="5" t="s">
        <v>74</v>
      </c>
      <c r="J529" s="5" t="s">
        <v>999</v>
      </c>
    </row>
    <row r="530" customFormat="false" ht="15" hidden="false" customHeight="false" outlineLevel="0" collapsed="false">
      <c r="A530" s="5" t="s">
        <v>216</v>
      </c>
      <c r="B530" s="5" t="s">
        <v>169</v>
      </c>
      <c r="C530" s="5" t="n">
        <v>63</v>
      </c>
      <c r="D530" s="5" t="s">
        <v>611</v>
      </c>
      <c r="E530" s="5" t="n">
        <v>6</v>
      </c>
      <c r="F530" s="20" t="n">
        <v>8.78922638854951</v>
      </c>
      <c r="G530" s="20" t="n">
        <f aca="false">9-F530</f>
        <v>0.210773611450488</v>
      </c>
      <c r="H530" s="20" t="n">
        <f aca="false">IF(G530&gt;=1,G530,0)</f>
        <v>0</v>
      </c>
      <c r="I530" s="5" t="s">
        <v>74</v>
      </c>
      <c r="J530" s="5" t="s">
        <v>1000</v>
      </c>
    </row>
    <row r="531" customFormat="false" ht="15" hidden="false" customHeight="false" outlineLevel="0" collapsed="false">
      <c r="A531" s="5" t="s">
        <v>216</v>
      </c>
      <c r="B531" s="5" t="s">
        <v>169</v>
      </c>
      <c r="C531" s="5" t="n">
        <v>64</v>
      </c>
      <c r="D531" s="5" t="s">
        <v>611</v>
      </c>
      <c r="E531" s="5" t="n">
        <v>6</v>
      </c>
      <c r="F531" s="20" t="n">
        <v>8.78922638854951</v>
      </c>
      <c r="G531" s="20" t="n">
        <f aca="false">9-F531</f>
        <v>0.210773611450488</v>
      </c>
      <c r="H531" s="20" t="n">
        <f aca="false">IF(G531&gt;=1,G531,0)</f>
        <v>0</v>
      </c>
      <c r="I531" s="5" t="s">
        <v>74</v>
      </c>
      <c r="J531" s="5" t="s">
        <v>1001</v>
      </c>
    </row>
    <row r="532" customFormat="false" ht="15" hidden="false" customHeight="false" outlineLevel="0" collapsed="false">
      <c r="A532" s="5" t="s">
        <v>216</v>
      </c>
      <c r="B532" s="5" t="s">
        <v>169</v>
      </c>
      <c r="C532" s="5" t="n">
        <v>65</v>
      </c>
      <c r="D532" s="5" t="s">
        <v>611</v>
      </c>
      <c r="E532" s="5" t="n">
        <v>6</v>
      </c>
      <c r="F532" s="20" t="n">
        <v>8.78922638854951</v>
      </c>
      <c r="G532" s="20" t="n">
        <f aca="false">9-F532</f>
        <v>0.210773611450488</v>
      </c>
      <c r="H532" s="20" t="n">
        <f aca="false">IF(G532&gt;=1,G532,0)</f>
        <v>0</v>
      </c>
      <c r="I532" s="5" t="s">
        <v>74</v>
      </c>
      <c r="J532" s="5" t="s">
        <v>1002</v>
      </c>
    </row>
    <row r="533" customFormat="false" ht="15" hidden="false" customHeight="false" outlineLevel="0" collapsed="false">
      <c r="A533" s="5" t="s">
        <v>216</v>
      </c>
      <c r="B533" s="5" t="s">
        <v>169</v>
      </c>
      <c r="C533" s="5" t="n">
        <v>66</v>
      </c>
      <c r="D533" s="5" t="s">
        <v>611</v>
      </c>
      <c r="E533" s="5" t="n">
        <v>6</v>
      </c>
      <c r="F533" s="20" t="n">
        <v>8.78922638854951</v>
      </c>
      <c r="G533" s="20" t="n">
        <f aca="false">9-F533</f>
        <v>0.210773611450488</v>
      </c>
      <c r="H533" s="20" t="n">
        <f aca="false">IF(G533&gt;=1,G533,0)</f>
        <v>0</v>
      </c>
      <c r="I533" s="5" t="s">
        <v>74</v>
      </c>
      <c r="J533" s="5" t="s">
        <v>1003</v>
      </c>
    </row>
    <row r="534" customFormat="false" ht="15" hidden="false" customHeight="false" outlineLevel="0" collapsed="false">
      <c r="A534" s="5" t="s">
        <v>216</v>
      </c>
      <c r="B534" s="5" t="s">
        <v>169</v>
      </c>
      <c r="C534" s="5" t="n">
        <v>67</v>
      </c>
      <c r="D534" s="5" t="s">
        <v>611</v>
      </c>
      <c r="E534" s="5" t="n">
        <v>6</v>
      </c>
      <c r="F534" s="20" t="n">
        <v>8.78922638854951</v>
      </c>
      <c r="G534" s="20" t="n">
        <f aca="false">9-F534</f>
        <v>0.210773611450488</v>
      </c>
      <c r="H534" s="20" t="n">
        <f aca="false">IF(G534&gt;=1,G534,0)</f>
        <v>0</v>
      </c>
      <c r="I534" s="5" t="s">
        <v>74</v>
      </c>
      <c r="J534" s="5" t="s">
        <v>1004</v>
      </c>
    </row>
    <row r="535" customFormat="false" ht="15" hidden="false" customHeight="false" outlineLevel="0" collapsed="false">
      <c r="A535" s="5" t="s">
        <v>216</v>
      </c>
      <c r="B535" s="5" t="s">
        <v>169</v>
      </c>
      <c r="C535" s="5" t="n">
        <v>68</v>
      </c>
      <c r="D535" s="5" t="s">
        <v>611</v>
      </c>
      <c r="E535" s="5" t="n">
        <v>6</v>
      </c>
      <c r="F535" s="20" t="n">
        <v>8.78922638854951</v>
      </c>
      <c r="G535" s="20" t="n">
        <f aca="false">9-F535</f>
        <v>0.210773611450492</v>
      </c>
      <c r="H535" s="20" t="n">
        <f aca="false">IF(G535&gt;=1,G535,0)</f>
        <v>0</v>
      </c>
      <c r="I535" s="5" t="s">
        <v>74</v>
      </c>
      <c r="J535" s="5" t="s">
        <v>1005</v>
      </c>
    </row>
    <row r="536" customFormat="false" ht="15" hidden="false" customHeight="false" outlineLevel="0" collapsed="false">
      <c r="A536" s="5" t="s">
        <v>216</v>
      </c>
      <c r="B536" s="5" t="s">
        <v>169</v>
      </c>
      <c r="C536" s="5" t="n">
        <v>69</v>
      </c>
      <c r="D536" s="5" t="s">
        <v>611</v>
      </c>
      <c r="E536" s="5" t="n">
        <v>6</v>
      </c>
      <c r="F536" s="20" t="n">
        <v>8.7892263885495</v>
      </c>
      <c r="G536" s="20" t="n">
        <f aca="false">9-F536</f>
        <v>0.210773611450497</v>
      </c>
      <c r="H536" s="20" t="n">
        <f aca="false">IF(G536&gt;=1,G536,0)</f>
        <v>0</v>
      </c>
      <c r="I536" s="5" t="s">
        <v>74</v>
      </c>
      <c r="J536" s="5" t="s">
        <v>1006</v>
      </c>
    </row>
    <row r="537" customFormat="false" ht="15" hidden="false" customHeight="false" outlineLevel="0" collapsed="false">
      <c r="A537" s="5" t="s">
        <v>216</v>
      </c>
      <c r="B537" s="5" t="s">
        <v>169</v>
      </c>
      <c r="C537" s="5" t="n">
        <v>70</v>
      </c>
      <c r="D537" s="5" t="s">
        <v>611</v>
      </c>
      <c r="E537" s="5" t="n">
        <v>6</v>
      </c>
      <c r="F537" s="20" t="n">
        <v>8.7892263885495</v>
      </c>
      <c r="G537" s="20" t="n">
        <f aca="false">9-F537</f>
        <v>0.210773611450497</v>
      </c>
      <c r="H537" s="20" t="n">
        <f aca="false">IF(G537&gt;=1,G537,0)</f>
        <v>0</v>
      </c>
      <c r="I537" s="5" t="s">
        <v>74</v>
      </c>
      <c r="J537" s="5" t="s">
        <v>1007</v>
      </c>
    </row>
    <row r="538" customFormat="false" ht="15" hidden="false" customHeight="false" outlineLevel="0" collapsed="false">
      <c r="A538" s="5" t="s">
        <v>216</v>
      </c>
      <c r="B538" s="5" t="s">
        <v>169</v>
      </c>
      <c r="C538" s="5" t="n">
        <v>71</v>
      </c>
      <c r="D538" s="5" t="s">
        <v>611</v>
      </c>
      <c r="E538" s="5" t="n">
        <v>6</v>
      </c>
      <c r="F538" s="20" t="n">
        <v>8.7892263885495</v>
      </c>
      <c r="G538" s="20" t="n">
        <f aca="false">9-F538</f>
        <v>0.210773611450497</v>
      </c>
      <c r="H538" s="20" t="n">
        <f aca="false">IF(G538&gt;=1,G538,0)</f>
        <v>0</v>
      </c>
      <c r="I538" s="5" t="s">
        <v>74</v>
      </c>
      <c r="J538" s="5" t="s">
        <v>1008</v>
      </c>
    </row>
    <row r="539" customFormat="false" ht="15" hidden="false" customHeight="false" outlineLevel="0" collapsed="false">
      <c r="A539" s="5" t="s">
        <v>216</v>
      </c>
      <c r="B539" s="5" t="s">
        <v>169</v>
      </c>
      <c r="C539" s="5" t="n">
        <v>72</v>
      </c>
      <c r="D539" s="5" t="s">
        <v>611</v>
      </c>
      <c r="E539" s="5" t="n">
        <v>6</v>
      </c>
      <c r="F539" s="20" t="n">
        <v>8.7892263885495</v>
      </c>
      <c r="G539" s="20" t="n">
        <f aca="false">9-F539</f>
        <v>0.210773611450497</v>
      </c>
      <c r="H539" s="20" t="n">
        <f aca="false">IF(G539&gt;=1,G539,0)</f>
        <v>0</v>
      </c>
      <c r="I539" s="5" t="s">
        <v>74</v>
      </c>
      <c r="J539" s="5" t="s">
        <v>1009</v>
      </c>
    </row>
    <row r="540" customFormat="false" ht="15" hidden="false" customHeight="false" outlineLevel="0" collapsed="false">
      <c r="A540" s="5" t="s">
        <v>216</v>
      </c>
      <c r="B540" s="5" t="s">
        <v>169</v>
      </c>
      <c r="C540" s="5" t="n">
        <v>73</v>
      </c>
      <c r="D540" s="5" t="s">
        <v>611</v>
      </c>
      <c r="E540" s="5" t="n">
        <v>6</v>
      </c>
      <c r="F540" s="20" t="n">
        <v>8.7892263885495</v>
      </c>
      <c r="G540" s="20" t="n">
        <f aca="false">9-F540</f>
        <v>0.210773611450497</v>
      </c>
      <c r="H540" s="20" t="n">
        <f aca="false">IF(G540&gt;=1,G540,0)</f>
        <v>0</v>
      </c>
      <c r="I540" s="5" t="s">
        <v>74</v>
      </c>
      <c r="J540" s="5" t="s">
        <v>1010</v>
      </c>
    </row>
    <row r="541" customFormat="false" ht="15" hidden="false" customHeight="false" outlineLevel="0" collapsed="false">
      <c r="A541" s="5" t="s">
        <v>216</v>
      </c>
      <c r="B541" s="5" t="s">
        <v>169</v>
      </c>
      <c r="C541" s="5" t="n">
        <v>74</v>
      </c>
      <c r="D541" s="5" t="s">
        <v>611</v>
      </c>
      <c r="E541" s="5" t="n">
        <v>6</v>
      </c>
      <c r="F541" s="20" t="n">
        <v>8.7892263885495</v>
      </c>
      <c r="G541" s="20" t="n">
        <f aca="false">9-F541</f>
        <v>0.210773611450497</v>
      </c>
      <c r="H541" s="20" t="n">
        <f aca="false">IF(G541&gt;=1,G541,0)</f>
        <v>0</v>
      </c>
      <c r="I541" s="5" t="s">
        <v>74</v>
      </c>
      <c r="J541" s="5" t="s">
        <v>1011</v>
      </c>
    </row>
    <row r="542" customFormat="false" ht="15" hidden="false" customHeight="false" outlineLevel="0" collapsed="false">
      <c r="A542" s="5" t="s">
        <v>216</v>
      </c>
      <c r="B542" s="5" t="s">
        <v>169</v>
      </c>
      <c r="C542" s="5" t="n">
        <v>75</v>
      </c>
      <c r="D542" s="5" t="s">
        <v>611</v>
      </c>
      <c r="E542" s="5" t="n">
        <v>6</v>
      </c>
      <c r="F542" s="20" t="n">
        <v>8.7892263885495</v>
      </c>
      <c r="G542" s="20" t="n">
        <f aca="false">9-F542</f>
        <v>0.210773611450497</v>
      </c>
      <c r="H542" s="20" t="n">
        <f aca="false">IF(G542&gt;=1,G542,0)</f>
        <v>0</v>
      </c>
      <c r="I542" s="5" t="s">
        <v>74</v>
      </c>
      <c r="J542" s="5" t="s">
        <v>1012</v>
      </c>
    </row>
    <row r="543" customFormat="false" ht="15" hidden="false" customHeight="false" outlineLevel="0" collapsed="false">
      <c r="A543" s="5" t="s">
        <v>216</v>
      </c>
      <c r="B543" s="5" t="s">
        <v>169</v>
      </c>
      <c r="C543" s="5" t="n">
        <v>76</v>
      </c>
      <c r="D543" s="5" t="s">
        <v>611</v>
      </c>
      <c r="E543" s="5" t="n">
        <v>6</v>
      </c>
      <c r="F543" s="20" t="n">
        <v>8.7892263885495</v>
      </c>
      <c r="G543" s="20" t="n">
        <f aca="false">9-F543</f>
        <v>0.210773611450497</v>
      </c>
      <c r="H543" s="20" t="n">
        <f aca="false">IF(G543&gt;=1,G543,0)</f>
        <v>0</v>
      </c>
      <c r="I543" s="5" t="s">
        <v>74</v>
      </c>
      <c r="J543" s="5" t="s">
        <v>1013</v>
      </c>
    </row>
    <row r="544" customFormat="false" ht="15" hidden="false" customHeight="false" outlineLevel="0" collapsed="false">
      <c r="A544" s="5" t="s">
        <v>216</v>
      </c>
      <c r="B544" s="5" t="s">
        <v>169</v>
      </c>
      <c r="C544" s="5" t="n">
        <v>77</v>
      </c>
      <c r="D544" s="5" t="s">
        <v>611</v>
      </c>
      <c r="E544" s="5" t="n">
        <v>6</v>
      </c>
      <c r="F544" s="20" t="n">
        <v>8.7892263885495</v>
      </c>
      <c r="G544" s="20" t="n">
        <f aca="false">9-F544</f>
        <v>0.210773611450497</v>
      </c>
      <c r="H544" s="20" t="n">
        <f aca="false">IF(G544&gt;=1,G544,0)</f>
        <v>0</v>
      </c>
      <c r="I544" s="5" t="s">
        <v>74</v>
      </c>
      <c r="J544" s="5" t="s">
        <v>1014</v>
      </c>
    </row>
    <row r="545" customFormat="false" ht="15" hidden="false" customHeight="false" outlineLevel="0" collapsed="false">
      <c r="A545" s="5" t="s">
        <v>216</v>
      </c>
      <c r="B545" s="5" t="s">
        <v>169</v>
      </c>
      <c r="C545" s="5" t="n">
        <v>78</v>
      </c>
      <c r="D545" s="5" t="s">
        <v>611</v>
      </c>
      <c r="E545" s="5" t="n">
        <v>6</v>
      </c>
      <c r="F545" s="20" t="n">
        <v>8.7892263885495</v>
      </c>
      <c r="G545" s="20" t="n">
        <f aca="false">9-F545</f>
        <v>0.210773611450497</v>
      </c>
      <c r="H545" s="20" t="n">
        <f aca="false">IF(G545&gt;=1,G545,0)</f>
        <v>0</v>
      </c>
      <c r="I545" s="5" t="s">
        <v>74</v>
      </c>
      <c r="J545" s="5" t="s">
        <v>1015</v>
      </c>
    </row>
    <row r="546" customFormat="false" ht="15" hidden="false" customHeight="false" outlineLevel="0" collapsed="false">
      <c r="A546" s="5" t="s">
        <v>216</v>
      </c>
      <c r="B546" s="5" t="s">
        <v>169</v>
      </c>
      <c r="C546" s="5" t="n">
        <v>79</v>
      </c>
      <c r="D546" s="5" t="s">
        <v>611</v>
      </c>
      <c r="E546" s="5" t="n">
        <v>6</v>
      </c>
      <c r="F546" s="20" t="n">
        <v>8.7892263885495</v>
      </c>
      <c r="G546" s="20" t="n">
        <f aca="false">9-F546</f>
        <v>0.210773611450501</v>
      </c>
      <c r="H546" s="20" t="n">
        <f aca="false">IF(G546&gt;=1,G546,0)</f>
        <v>0</v>
      </c>
      <c r="I546" s="5" t="s">
        <v>74</v>
      </c>
      <c r="J546" s="5" t="s">
        <v>1016</v>
      </c>
    </row>
    <row r="547" customFormat="false" ht="15" hidden="false" customHeight="false" outlineLevel="0" collapsed="false">
      <c r="A547" s="5" t="s">
        <v>216</v>
      </c>
      <c r="B547" s="5" t="s">
        <v>169</v>
      </c>
      <c r="C547" s="5" t="n">
        <v>80</v>
      </c>
      <c r="D547" s="5" t="s">
        <v>611</v>
      </c>
      <c r="E547" s="5" t="n">
        <v>6</v>
      </c>
      <c r="F547" s="20" t="n">
        <v>8.7892263885495</v>
      </c>
      <c r="G547" s="20" t="n">
        <f aca="false">9-F547</f>
        <v>0.210773611450501</v>
      </c>
      <c r="H547" s="20" t="n">
        <f aca="false">IF(G547&gt;=1,G547,0)</f>
        <v>0</v>
      </c>
      <c r="I547" s="5" t="s">
        <v>74</v>
      </c>
      <c r="J547" s="5" t="s">
        <v>1017</v>
      </c>
    </row>
    <row r="548" customFormat="false" ht="15" hidden="false" customHeight="false" outlineLevel="0" collapsed="false">
      <c r="A548" s="5" t="s">
        <v>216</v>
      </c>
      <c r="B548" s="5" t="s">
        <v>169</v>
      </c>
      <c r="C548" s="5" t="n">
        <v>81</v>
      </c>
      <c r="D548" s="5" t="s">
        <v>611</v>
      </c>
      <c r="E548" s="5" t="n">
        <v>6</v>
      </c>
      <c r="F548" s="20" t="n">
        <v>8.7892263885495</v>
      </c>
      <c r="G548" s="20" t="n">
        <f aca="false">9-F548</f>
        <v>0.210773611450501</v>
      </c>
      <c r="H548" s="20" t="n">
        <f aca="false">IF(G548&gt;=1,G548,0)</f>
        <v>0</v>
      </c>
      <c r="I548" s="5" t="s">
        <v>74</v>
      </c>
      <c r="J548" s="5" t="s">
        <v>1018</v>
      </c>
    </row>
    <row r="549" customFormat="false" ht="15" hidden="false" customHeight="false" outlineLevel="0" collapsed="false">
      <c r="A549" s="5" t="s">
        <v>216</v>
      </c>
      <c r="B549" s="5" t="s">
        <v>169</v>
      </c>
      <c r="C549" s="5" t="n">
        <v>82</v>
      </c>
      <c r="D549" s="5" t="s">
        <v>611</v>
      </c>
      <c r="E549" s="5" t="n">
        <v>6</v>
      </c>
      <c r="F549" s="20" t="n">
        <v>8.7892263885495</v>
      </c>
      <c r="G549" s="20" t="n">
        <f aca="false">9-F549</f>
        <v>0.210773611450501</v>
      </c>
      <c r="H549" s="20" t="n">
        <f aca="false">IF(G549&gt;=1,G549,0)</f>
        <v>0</v>
      </c>
      <c r="I549" s="5" t="s">
        <v>74</v>
      </c>
      <c r="J549" s="5" t="s">
        <v>1019</v>
      </c>
    </row>
    <row r="550" customFormat="false" ht="15" hidden="false" customHeight="false" outlineLevel="0" collapsed="false">
      <c r="A550" s="5" t="s">
        <v>216</v>
      </c>
      <c r="B550" s="5" t="s">
        <v>169</v>
      </c>
      <c r="C550" s="5" t="n">
        <v>83</v>
      </c>
      <c r="D550" s="5" t="s">
        <v>611</v>
      </c>
      <c r="E550" s="5" t="n">
        <v>6</v>
      </c>
      <c r="F550" s="20" t="n">
        <v>8.7892263885495</v>
      </c>
      <c r="G550" s="20" t="n">
        <f aca="false">9-F550</f>
        <v>0.210773611450501</v>
      </c>
      <c r="H550" s="20" t="n">
        <f aca="false">IF(G550&gt;=1,G550,0)</f>
        <v>0</v>
      </c>
      <c r="I550" s="5" t="s">
        <v>74</v>
      </c>
      <c r="J550" s="5" t="s">
        <v>1020</v>
      </c>
    </row>
    <row r="551" customFormat="false" ht="15" hidden="false" customHeight="false" outlineLevel="0" collapsed="false">
      <c r="A551" s="5" t="s">
        <v>216</v>
      </c>
      <c r="B551" s="5" t="s">
        <v>169</v>
      </c>
      <c r="C551" s="5" t="n">
        <v>84</v>
      </c>
      <c r="D551" s="5" t="s">
        <v>611</v>
      </c>
      <c r="E551" s="5" t="n">
        <v>6</v>
      </c>
      <c r="F551" s="20" t="n">
        <v>8.7892263885495</v>
      </c>
      <c r="G551" s="20" t="n">
        <f aca="false">9-F551</f>
        <v>0.210773611450501</v>
      </c>
      <c r="H551" s="20" t="n">
        <f aca="false">IF(G551&gt;=1,G551,0)</f>
        <v>0</v>
      </c>
      <c r="I551" s="5" t="s">
        <v>74</v>
      </c>
      <c r="J551" s="5" t="s">
        <v>1021</v>
      </c>
    </row>
    <row r="552" customFormat="false" ht="15" hidden="false" customHeight="false" outlineLevel="0" collapsed="false">
      <c r="A552" s="5" t="s">
        <v>216</v>
      </c>
      <c r="B552" s="5" t="s">
        <v>169</v>
      </c>
      <c r="C552" s="5" t="n">
        <v>85</v>
      </c>
      <c r="D552" s="5" t="s">
        <v>611</v>
      </c>
      <c r="E552" s="5" t="n">
        <v>6</v>
      </c>
      <c r="F552" s="20" t="n">
        <v>8.7892263885495</v>
      </c>
      <c r="G552" s="20" t="n">
        <f aca="false">9-F552</f>
        <v>0.210773611450501</v>
      </c>
      <c r="H552" s="20" t="n">
        <f aca="false">IF(G552&gt;=1,G552,0)</f>
        <v>0</v>
      </c>
      <c r="I552" s="5" t="s">
        <v>74</v>
      </c>
      <c r="J552" s="5" t="s">
        <v>1022</v>
      </c>
    </row>
    <row r="553" customFormat="false" ht="15" hidden="false" customHeight="false" outlineLevel="0" collapsed="false">
      <c r="A553" s="5" t="s">
        <v>216</v>
      </c>
      <c r="B553" s="5" t="s">
        <v>169</v>
      </c>
      <c r="C553" s="5" t="n">
        <v>86</v>
      </c>
      <c r="D553" s="5" t="s">
        <v>611</v>
      </c>
      <c r="E553" s="5" t="n">
        <v>6</v>
      </c>
      <c r="F553" s="20" t="n">
        <v>8.7892263885495</v>
      </c>
      <c r="G553" s="20" t="n">
        <f aca="false">9-F553</f>
        <v>0.210773611450501</v>
      </c>
      <c r="H553" s="20" t="n">
        <f aca="false">IF(G553&gt;=1,G553,0)</f>
        <v>0</v>
      </c>
      <c r="I553" s="5" t="s">
        <v>74</v>
      </c>
      <c r="J553" s="5" t="s">
        <v>1023</v>
      </c>
    </row>
    <row r="554" customFormat="false" ht="15" hidden="false" customHeight="false" outlineLevel="0" collapsed="false">
      <c r="A554" s="5" t="s">
        <v>216</v>
      </c>
      <c r="B554" s="5" t="s">
        <v>169</v>
      </c>
      <c r="C554" s="5" t="n">
        <v>87</v>
      </c>
      <c r="D554" s="5" t="s">
        <v>611</v>
      </c>
      <c r="E554" s="5" t="n">
        <v>6</v>
      </c>
      <c r="F554" s="20" t="n">
        <v>8.7892263885495</v>
      </c>
      <c r="G554" s="20" t="n">
        <f aca="false">9-F554</f>
        <v>0.210773611450501</v>
      </c>
      <c r="H554" s="20" t="n">
        <f aca="false">IF(G554&gt;=1,G554,0)</f>
        <v>0</v>
      </c>
      <c r="I554" s="5" t="s">
        <v>74</v>
      </c>
      <c r="J554" s="5" t="s">
        <v>1024</v>
      </c>
    </row>
    <row r="555" customFormat="false" ht="15" hidden="false" customHeight="false" outlineLevel="0" collapsed="false">
      <c r="A555" s="5" t="s">
        <v>216</v>
      </c>
      <c r="B555" s="5" t="s">
        <v>169</v>
      </c>
      <c r="C555" s="5" t="n">
        <v>88</v>
      </c>
      <c r="D555" s="5" t="s">
        <v>611</v>
      </c>
      <c r="E555" s="5" t="n">
        <v>6</v>
      </c>
      <c r="F555" s="20" t="n">
        <v>8.7892263885495</v>
      </c>
      <c r="G555" s="20" t="n">
        <f aca="false">9-F555</f>
        <v>0.210773611450501</v>
      </c>
      <c r="H555" s="20" t="n">
        <f aca="false">IF(G555&gt;=1,G555,0)</f>
        <v>0</v>
      </c>
      <c r="I555" s="5" t="s">
        <v>74</v>
      </c>
      <c r="J555" s="5" t="s">
        <v>1025</v>
      </c>
    </row>
    <row r="556" customFormat="false" ht="15" hidden="false" customHeight="false" outlineLevel="0" collapsed="false">
      <c r="A556" s="5" t="s">
        <v>216</v>
      </c>
      <c r="B556" s="5" t="s">
        <v>169</v>
      </c>
      <c r="C556" s="5" t="n">
        <v>89</v>
      </c>
      <c r="D556" s="5" t="s">
        <v>611</v>
      </c>
      <c r="E556" s="5" t="n">
        <v>6</v>
      </c>
      <c r="F556" s="20" t="n">
        <v>8.7892263885495</v>
      </c>
      <c r="G556" s="20" t="n">
        <f aca="false">9-F556</f>
        <v>0.210773611450501</v>
      </c>
      <c r="H556" s="20" t="n">
        <f aca="false">IF(G556&gt;=1,G556,0)</f>
        <v>0</v>
      </c>
      <c r="I556" s="5" t="s">
        <v>74</v>
      </c>
      <c r="J556" s="5" t="s">
        <v>1026</v>
      </c>
    </row>
    <row r="557" customFormat="false" ht="15" hidden="false" customHeight="false" outlineLevel="0" collapsed="false">
      <c r="A557" s="5" t="s">
        <v>216</v>
      </c>
      <c r="B557" s="5" t="s">
        <v>169</v>
      </c>
      <c r="C557" s="5" t="n">
        <v>90</v>
      </c>
      <c r="D557" s="5" t="s">
        <v>611</v>
      </c>
      <c r="E557" s="5" t="n">
        <v>6</v>
      </c>
      <c r="F557" s="20" t="n">
        <v>8.7892263885495</v>
      </c>
      <c r="G557" s="20" t="n">
        <f aca="false">9-F557</f>
        <v>0.210773611450501</v>
      </c>
      <c r="H557" s="20" t="n">
        <f aca="false">IF(G557&gt;=1,G557,0)</f>
        <v>0</v>
      </c>
      <c r="I557" s="5" t="s">
        <v>74</v>
      </c>
      <c r="J557" s="5" t="s">
        <v>1027</v>
      </c>
    </row>
    <row r="558" customFormat="false" ht="15" hidden="false" customHeight="false" outlineLevel="0" collapsed="false">
      <c r="A558" s="5" t="s">
        <v>216</v>
      </c>
      <c r="B558" s="5" t="s">
        <v>169</v>
      </c>
      <c r="C558" s="5" t="n">
        <v>91</v>
      </c>
      <c r="D558" s="5" t="s">
        <v>611</v>
      </c>
      <c r="E558" s="5" t="n">
        <v>6</v>
      </c>
      <c r="F558" s="20" t="n">
        <v>8.78922638854949</v>
      </c>
      <c r="G558" s="20" t="n">
        <f aca="false">9-F558</f>
        <v>0.210773611450506</v>
      </c>
      <c r="H558" s="20" t="n">
        <f aca="false">IF(G558&gt;=1,G558,0)</f>
        <v>0</v>
      </c>
      <c r="I558" s="5" t="s">
        <v>74</v>
      </c>
      <c r="J558" s="5" t="s">
        <v>1028</v>
      </c>
    </row>
    <row r="559" customFormat="false" ht="15" hidden="false" customHeight="false" outlineLevel="0" collapsed="false">
      <c r="A559" s="5" t="s">
        <v>216</v>
      </c>
      <c r="B559" s="5" t="s">
        <v>169</v>
      </c>
      <c r="C559" s="5" t="n">
        <v>92</v>
      </c>
      <c r="D559" s="5" t="s">
        <v>611</v>
      </c>
      <c r="E559" s="5" t="n">
        <v>6</v>
      </c>
      <c r="F559" s="20" t="n">
        <v>8.78922638854949</v>
      </c>
      <c r="G559" s="20" t="n">
        <f aca="false">9-F559</f>
        <v>0.210773611450506</v>
      </c>
      <c r="H559" s="20" t="n">
        <f aca="false">IF(G559&gt;=1,G559,0)</f>
        <v>0</v>
      </c>
      <c r="I559" s="5" t="s">
        <v>74</v>
      </c>
      <c r="J559" s="5" t="s">
        <v>1029</v>
      </c>
    </row>
    <row r="560" customFormat="false" ht="15" hidden="false" customHeight="false" outlineLevel="0" collapsed="false">
      <c r="A560" s="5" t="s">
        <v>216</v>
      </c>
      <c r="B560" s="5" t="s">
        <v>169</v>
      </c>
      <c r="C560" s="5" t="n">
        <v>93</v>
      </c>
      <c r="D560" s="5" t="s">
        <v>611</v>
      </c>
      <c r="E560" s="5" t="n">
        <v>6</v>
      </c>
      <c r="F560" s="20" t="n">
        <v>8.78922638854949</v>
      </c>
      <c r="G560" s="20" t="n">
        <f aca="false">9-F560</f>
        <v>0.210773611450506</v>
      </c>
      <c r="H560" s="20" t="n">
        <f aca="false">IF(G560&gt;=1,G560,0)</f>
        <v>0</v>
      </c>
      <c r="I560" s="5" t="s">
        <v>74</v>
      </c>
      <c r="J560" s="5" t="s">
        <v>1030</v>
      </c>
    </row>
    <row r="561" customFormat="false" ht="15" hidden="false" customHeight="false" outlineLevel="0" collapsed="false">
      <c r="A561" s="5" t="s">
        <v>216</v>
      </c>
      <c r="B561" s="5" t="s">
        <v>169</v>
      </c>
      <c r="C561" s="5" t="n">
        <v>94</v>
      </c>
      <c r="D561" s="5" t="s">
        <v>611</v>
      </c>
      <c r="E561" s="5" t="n">
        <v>6</v>
      </c>
      <c r="F561" s="20" t="n">
        <v>8.78922638854949</v>
      </c>
      <c r="G561" s="20" t="n">
        <f aca="false">9-F561</f>
        <v>0.210773611450506</v>
      </c>
      <c r="H561" s="20" t="n">
        <f aca="false">IF(G561&gt;=1,G561,0)</f>
        <v>0</v>
      </c>
      <c r="I561" s="5" t="s">
        <v>74</v>
      </c>
      <c r="J561" s="5" t="s">
        <v>1031</v>
      </c>
    </row>
    <row r="562" customFormat="false" ht="15" hidden="false" customHeight="false" outlineLevel="0" collapsed="false">
      <c r="A562" s="5" t="s">
        <v>216</v>
      </c>
      <c r="B562" s="5" t="s">
        <v>169</v>
      </c>
      <c r="C562" s="5" t="n">
        <v>95</v>
      </c>
      <c r="D562" s="5" t="s">
        <v>611</v>
      </c>
      <c r="E562" s="5" t="n">
        <v>6</v>
      </c>
      <c r="F562" s="20" t="n">
        <v>8.78922638854949</v>
      </c>
      <c r="G562" s="20" t="n">
        <f aca="false">9-F562</f>
        <v>0.210773611450506</v>
      </c>
      <c r="H562" s="20" t="n">
        <f aca="false">IF(G562&gt;=1,G562,0)</f>
        <v>0</v>
      </c>
      <c r="I562" s="5" t="s">
        <v>74</v>
      </c>
      <c r="J562" s="5" t="s">
        <v>1032</v>
      </c>
    </row>
    <row r="563" customFormat="false" ht="15" hidden="false" customHeight="false" outlineLevel="0" collapsed="false">
      <c r="A563" s="5" t="s">
        <v>216</v>
      </c>
      <c r="B563" s="5" t="s">
        <v>169</v>
      </c>
      <c r="C563" s="5" t="n">
        <v>96</v>
      </c>
      <c r="D563" s="5" t="s">
        <v>611</v>
      </c>
      <c r="E563" s="5" t="n">
        <v>6</v>
      </c>
      <c r="F563" s="20" t="n">
        <v>8.78922638854949</v>
      </c>
      <c r="G563" s="20" t="n">
        <f aca="false">9-F563</f>
        <v>0.210773611450508</v>
      </c>
      <c r="H563" s="20" t="n">
        <f aca="false">IF(G563&gt;=1,G563,0)</f>
        <v>0</v>
      </c>
      <c r="I563" s="5" t="s">
        <v>74</v>
      </c>
      <c r="J563" s="5" t="s">
        <v>1033</v>
      </c>
    </row>
    <row r="564" customFormat="false" ht="15" hidden="false" customHeight="false" outlineLevel="0" collapsed="false">
      <c r="A564" s="5" t="s">
        <v>216</v>
      </c>
      <c r="B564" s="5" t="s">
        <v>169</v>
      </c>
      <c r="C564" s="5" t="n">
        <v>97</v>
      </c>
      <c r="D564" s="5" t="s">
        <v>611</v>
      </c>
      <c r="E564" s="5" t="n">
        <v>6</v>
      </c>
      <c r="F564" s="20" t="n">
        <v>8.78922638854949</v>
      </c>
      <c r="G564" s="20" t="n">
        <f aca="false">9-F564</f>
        <v>0.210773611450509</v>
      </c>
      <c r="H564" s="20" t="n">
        <f aca="false">IF(G564&gt;=1,G564,0)</f>
        <v>0</v>
      </c>
      <c r="I564" s="5" t="s">
        <v>74</v>
      </c>
      <c r="J564" s="5" t="s">
        <v>1034</v>
      </c>
    </row>
    <row r="565" customFormat="false" ht="15" hidden="false" customHeight="false" outlineLevel="0" collapsed="false">
      <c r="A565" s="5" t="s">
        <v>216</v>
      </c>
      <c r="B565" s="5" t="s">
        <v>169</v>
      </c>
      <c r="C565" s="5" t="n">
        <v>98</v>
      </c>
      <c r="D565" s="5" t="s">
        <v>611</v>
      </c>
      <c r="E565" s="5" t="n">
        <v>6</v>
      </c>
      <c r="F565" s="20" t="n">
        <v>8.78922638854949</v>
      </c>
      <c r="G565" s="20" t="n">
        <f aca="false">9-F565</f>
        <v>0.210773611450509</v>
      </c>
      <c r="H565" s="20" t="n">
        <f aca="false">IF(G565&gt;=1,G565,0)</f>
        <v>0</v>
      </c>
      <c r="I565" s="5" t="s">
        <v>74</v>
      </c>
      <c r="J565" s="5" t="s">
        <v>1035</v>
      </c>
    </row>
    <row r="566" customFormat="false" ht="15" hidden="false" customHeight="false" outlineLevel="0" collapsed="false">
      <c r="A566" s="5" t="s">
        <v>216</v>
      </c>
      <c r="B566" s="5" t="s">
        <v>169</v>
      </c>
      <c r="C566" s="5" t="n">
        <v>99</v>
      </c>
      <c r="D566" s="5" t="s">
        <v>611</v>
      </c>
      <c r="E566" s="5" t="n">
        <v>6</v>
      </c>
      <c r="F566" s="20" t="n">
        <v>8.78922638854949</v>
      </c>
      <c r="G566" s="20" t="n">
        <f aca="false">9-F566</f>
        <v>0.210773611450509</v>
      </c>
      <c r="H566" s="20" t="n">
        <f aca="false">IF(G566&gt;=1,G566,0)</f>
        <v>0</v>
      </c>
      <c r="I566" s="5" t="s">
        <v>74</v>
      </c>
      <c r="J566" s="5" t="s">
        <v>1036</v>
      </c>
    </row>
    <row r="567" customFormat="false" ht="15" hidden="false" customHeight="false" outlineLevel="0" collapsed="false">
      <c r="A567" s="5" t="s">
        <v>216</v>
      </c>
      <c r="B567" s="5" t="s">
        <v>169</v>
      </c>
      <c r="C567" s="5" t="n">
        <v>100</v>
      </c>
      <c r="D567" s="5" t="s">
        <v>611</v>
      </c>
      <c r="E567" s="5" t="n">
        <v>6</v>
      </c>
      <c r="F567" s="20" t="n">
        <v>8.78922638854949</v>
      </c>
      <c r="G567" s="20" t="n">
        <f aca="false">9-F567</f>
        <v>0.210773611450509</v>
      </c>
      <c r="H567" s="20" t="n">
        <f aca="false">IF(G567&gt;=1,G567,0)</f>
        <v>0</v>
      </c>
      <c r="I567" s="5" t="s">
        <v>74</v>
      </c>
      <c r="J567" s="5" t="s">
        <v>1037</v>
      </c>
    </row>
    <row r="568" customFormat="false" ht="15" hidden="false" customHeight="false" outlineLevel="0" collapsed="false">
      <c r="A568" s="5" t="s">
        <v>216</v>
      </c>
      <c r="B568" s="5" t="s">
        <v>169</v>
      </c>
      <c r="C568" s="5" t="n">
        <v>101</v>
      </c>
      <c r="D568" s="5" t="s">
        <v>611</v>
      </c>
      <c r="E568" s="5" t="n">
        <v>6</v>
      </c>
      <c r="F568" s="20" t="n">
        <v>8.78922638854949</v>
      </c>
      <c r="G568" s="20" t="n">
        <f aca="false">9-F568</f>
        <v>0.210773611450509</v>
      </c>
      <c r="H568" s="20" t="n">
        <f aca="false">IF(G568&gt;=1,G568,0)</f>
        <v>0</v>
      </c>
      <c r="I568" s="5" t="s">
        <v>74</v>
      </c>
      <c r="J568" s="5" t="s">
        <v>1038</v>
      </c>
    </row>
    <row r="569" customFormat="false" ht="15" hidden="false" customHeight="false" outlineLevel="0" collapsed="false">
      <c r="A569" s="5" t="s">
        <v>216</v>
      </c>
      <c r="B569" s="5" t="s">
        <v>169</v>
      </c>
      <c r="C569" s="5" t="n">
        <v>102</v>
      </c>
      <c r="D569" s="5" t="s">
        <v>611</v>
      </c>
      <c r="E569" s="5" t="n">
        <v>6</v>
      </c>
      <c r="F569" s="20" t="n">
        <v>8.78922638854949</v>
      </c>
      <c r="G569" s="20" t="n">
        <f aca="false">9-F569</f>
        <v>0.210773611450513</v>
      </c>
      <c r="H569" s="20" t="n">
        <f aca="false">IF(G569&gt;=1,G569,0)</f>
        <v>0</v>
      </c>
      <c r="I569" s="5" t="s">
        <v>74</v>
      </c>
      <c r="J569" s="5" t="s">
        <v>1039</v>
      </c>
    </row>
    <row r="570" customFormat="false" ht="15" hidden="false" customHeight="false" outlineLevel="0" collapsed="false">
      <c r="A570" s="5" t="s">
        <v>216</v>
      </c>
      <c r="B570" s="5" t="s">
        <v>169</v>
      </c>
      <c r="C570" s="5" t="n">
        <v>103</v>
      </c>
      <c r="D570" s="5" t="s">
        <v>611</v>
      </c>
      <c r="E570" s="5" t="n">
        <v>6</v>
      </c>
      <c r="F570" s="20" t="n">
        <v>8.78922638854949</v>
      </c>
      <c r="G570" s="20" t="n">
        <f aca="false">9-F570</f>
        <v>0.210773611450515</v>
      </c>
      <c r="H570" s="20" t="n">
        <f aca="false">IF(G570&gt;=1,G570,0)</f>
        <v>0</v>
      </c>
      <c r="I570" s="5" t="s">
        <v>74</v>
      </c>
      <c r="J570" s="5" t="s">
        <v>1040</v>
      </c>
    </row>
    <row r="571" customFormat="false" ht="15" hidden="false" customHeight="false" outlineLevel="0" collapsed="false">
      <c r="A571" s="5" t="s">
        <v>216</v>
      </c>
      <c r="B571" s="5" t="s">
        <v>169</v>
      </c>
      <c r="C571" s="5" t="n">
        <v>104</v>
      </c>
      <c r="D571" s="5" t="s">
        <v>611</v>
      </c>
      <c r="E571" s="5" t="n">
        <v>6</v>
      </c>
      <c r="F571" s="20" t="n">
        <v>8.78922638854949</v>
      </c>
      <c r="G571" s="20" t="n">
        <f aca="false">9-F571</f>
        <v>0.210773611450515</v>
      </c>
      <c r="H571" s="20" t="n">
        <f aca="false">IF(G571&gt;=1,G571,0)</f>
        <v>0</v>
      </c>
      <c r="I571" s="5" t="s">
        <v>74</v>
      </c>
      <c r="J571" s="5" t="s">
        <v>1041</v>
      </c>
    </row>
    <row r="572" customFormat="false" ht="15" hidden="false" customHeight="false" outlineLevel="0" collapsed="false">
      <c r="A572" s="5" t="s">
        <v>216</v>
      </c>
      <c r="B572" s="5" t="s">
        <v>169</v>
      </c>
      <c r="C572" s="5" t="n">
        <v>105</v>
      </c>
      <c r="D572" s="5" t="s">
        <v>611</v>
      </c>
      <c r="E572" s="5" t="n">
        <v>6</v>
      </c>
      <c r="F572" s="20" t="n">
        <v>8.78922638854949</v>
      </c>
      <c r="G572" s="20" t="n">
        <f aca="false">9-F572</f>
        <v>0.210773611450515</v>
      </c>
      <c r="H572" s="20" t="n">
        <f aca="false">IF(G572&gt;=1,G572,0)</f>
        <v>0</v>
      </c>
      <c r="I572" s="5" t="s">
        <v>74</v>
      </c>
      <c r="J572" s="5" t="s">
        <v>1042</v>
      </c>
    </row>
    <row r="573" customFormat="false" ht="15" hidden="false" customHeight="false" outlineLevel="0" collapsed="false">
      <c r="A573" s="5" t="s">
        <v>216</v>
      </c>
      <c r="B573" s="5" t="s">
        <v>169</v>
      </c>
      <c r="C573" s="5" t="n">
        <v>106</v>
      </c>
      <c r="D573" s="5" t="s">
        <v>611</v>
      </c>
      <c r="E573" s="5" t="n">
        <v>6</v>
      </c>
      <c r="F573" s="20" t="n">
        <v>8.78922638854949</v>
      </c>
      <c r="G573" s="20" t="n">
        <f aca="false">9-F573</f>
        <v>0.210773611450515</v>
      </c>
      <c r="H573" s="20" t="n">
        <f aca="false">IF(G573&gt;=1,G573,0)</f>
        <v>0</v>
      </c>
      <c r="I573" s="5" t="s">
        <v>74</v>
      </c>
      <c r="J573" s="5" t="s">
        <v>1043</v>
      </c>
    </row>
    <row r="574" customFormat="false" ht="15" hidden="false" customHeight="false" outlineLevel="0" collapsed="false">
      <c r="A574" s="5" t="s">
        <v>216</v>
      </c>
      <c r="B574" s="5" t="s">
        <v>169</v>
      </c>
      <c r="C574" s="5" t="n">
        <v>107</v>
      </c>
      <c r="D574" s="5" t="s">
        <v>611</v>
      </c>
      <c r="E574" s="5" t="n">
        <v>6</v>
      </c>
      <c r="F574" s="20" t="n">
        <v>8.78922638854948</v>
      </c>
      <c r="G574" s="20" t="n">
        <f aca="false">9-F574</f>
        <v>0.210773611450517</v>
      </c>
      <c r="H574" s="20" t="n">
        <f aca="false">IF(G574&gt;=1,G574,0)</f>
        <v>0</v>
      </c>
      <c r="I574" s="5" t="s">
        <v>74</v>
      </c>
      <c r="J574" s="5" t="s">
        <v>1044</v>
      </c>
    </row>
    <row r="575" customFormat="false" ht="15" hidden="false" customHeight="false" outlineLevel="0" collapsed="false">
      <c r="A575" s="5" t="s">
        <v>216</v>
      </c>
      <c r="B575" s="5" t="s">
        <v>169</v>
      </c>
      <c r="C575" s="5" t="n">
        <v>108</v>
      </c>
      <c r="D575" s="5" t="s">
        <v>611</v>
      </c>
      <c r="E575" s="5" t="n">
        <v>6</v>
      </c>
      <c r="F575" s="20" t="n">
        <v>8.78922638854947</v>
      </c>
      <c r="G575" s="20" t="n">
        <f aca="false">9-F575</f>
        <v>0.210773611450527</v>
      </c>
      <c r="H575" s="20" t="n">
        <f aca="false">IF(G575&gt;=1,G575,0)</f>
        <v>0</v>
      </c>
      <c r="I575" s="5" t="s">
        <v>74</v>
      </c>
      <c r="J575" s="5" t="s">
        <v>1045</v>
      </c>
    </row>
    <row r="576" customFormat="false" ht="15" hidden="false" customHeight="false" outlineLevel="0" collapsed="false">
      <c r="A576" s="5" t="s">
        <v>216</v>
      </c>
      <c r="B576" s="5" t="s">
        <v>169</v>
      </c>
      <c r="C576" s="5" t="n">
        <v>109</v>
      </c>
      <c r="D576" s="5" t="s">
        <v>611</v>
      </c>
      <c r="E576" s="5" t="n">
        <v>6</v>
      </c>
      <c r="F576" s="20" t="n">
        <v>8.78922638854947</v>
      </c>
      <c r="G576" s="20" t="n">
        <f aca="false">9-F576</f>
        <v>0.210773611450527</v>
      </c>
      <c r="H576" s="20" t="n">
        <f aca="false">IF(G576&gt;=1,G576,0)</f>
        <v>0</v>
      </c>
      <c r="I576" s="5" t="s">
        <v>74</v>
      </c>
      <c r="J576" s="5" t="s">
        <v>1046</v>
      </c>
    </row>
    <row r="577" customFormat="false" ht="15" hidden="false" customHeight="false" outlineLevel="0" collapsed="false">
      <c r="A577" s="5" t="s">
        <v>216</v>
      </c>
      <c r="B577" s="5" t="s">
        <v>169</v>
      </c>
      <c r="C577" s="5" t="n">
        <v>110</v>
      </c>
      <c r="D577" s="5" t="s">
        <v>611</v>
      </c>
      <c r="E577" s="5" t="n">
        <v>6</v>
      </c>
      <c r="F577" s="20" t="n">
        <v>8.78922638854947</v>
      </c>
      <c r="G577" s="20" t="n">
        <f aca="false">9-F577</f>
        <v>0.210773611450527</v>
      </c>
      <c r="H577" s="20" t="n">
        <f aca="false">IF(G577&gt;=1,G577,0)</f>
        <v>0</v>
      </c>
      <c r="I577" s="5" t="s">
        <v>74</v>
      </c>
      <c r="J577" s="5" t="s">
        <v>1047</v>
      </c>
    </row>
    <row r="578" customFormat="false" ht="15" hidden="false" customHeight="false" outlineLevel="0" collapsed="false">
      <c r="A578" s="5" t="s">
        <v>216</v>
      </c>
      <c r="B578" s="5" t="s">
        <v>169</v>
      </c>
      <c r="C578" s="5" t="n">
        <v>111</v>
      </c>
      <c r="D578" s="5" t="s">
        <v>611</v>
      </c>
      <c r="E578" s="5" t="n">
        <v>6</v>
      </c>
      <c r="F578" s="20" t="n">
        <v>8.78922638854947</v>
      </c>
      <c r="G578" s="20" t="n">
        <f aca="false">9-F578</f>
        <v>0.210773611450527</v>
      </c>
      <c r="H578" s="20" t="n">
        <f aca="false">IF(G578&gt;=1,G578,0)</f>
        <v>0</v>
      </c>
      <c r="I578" s="5" t="s">
        <v>74</v>
      </c>
      <c r="J578" s="5" t="s">
        <v>1048</v>
      </c>
    </row>
    <row r="579" customFormat="false" ht="15" hidden="false" customHeight="false" outlineLevel="0" collapsed="false">
      <c r="A579" s="5" t="s">
        <v>216</v>
      </c>
      <c r="B579" s="5" t="s">
        <v>169</v>
      </c>
      <c r="C579" s="5" t="n">
        <v>112</v>
      </c>
      <c r="D579" s="5" t="s">
        <v>611</v>
      </c>
      <c r="E579" s="5" t="n">
        <v>6</v>
      </c>
      <c r="F579" s="20" t="n">
        <v>8.78922638854947</v>
      </c>
      <c r="G579" s="20" t="n">
        <f aca="false">9-F579</f>
        <v>0.210773611450527</v>
      </c>
      <c r="H579" s="20" t="n">
        <f aca="false">IF(G579&gt;=1,G579,0)</f>
        <v>0</v>
      </c>
      <c r="I579" s="5" t="s">
        <v>74</v>
      </c>
      <c r="J579" s="5" t="s">
        <v>1049</v>
      </c>
    </row>
    <row r="580" customFormat="false" ht="15" hidden="false" customHeight="false" outlineLevel="0" collapsed="false">
      <c r="A580" s="5" t="s">
        <v>216</v>
      </c>
      <c r="B580" s="5" t="s">
        <v>169</v>
      </c>
      <c r="C580" s="5" t="n">
        <v>113</v>
      </c>
      <c r="D580" s="5" t="s">
        <v>611</v>
      </c>
      <c r="E580" s="5" t="n">
        <v>6</v>
      </c>
      <c r="F580" s="20" t="n">
        <v>8.78922638854947</v>
      </c>
      <c r="G580" s="20" t="n">
        <f aca="false">9-F580</f>
        <v>0.210773611450531</v>
      </c>
      <c r="H580" s="20" t="n">
        <f aca="false">IF(G580&gt;=1,G580,0)</f>
        <v>0</v>
      </c>
      <c r="I580" s="5" t="s">
        <v>74</v>
      </c>
      <c r="J580" s="5" t="s">
        <v>1050</v>
      </c>
    </row>
    <row r="581" customFormat="false" ht="15" hidden="false" customHeight="false" outlineLevel="0" collapsed="false">
      <c r="A581" s="5" t="s">
        <v>216</v>
      </c>
      <c r="B581" s="5" t="s">
        <v>169</v>
      </c>
      <c r="C581" s="5" t="n">
        <v>114</v>
      </c>
      <c r="D581" s="5" t="s">
        <v>611</v>
      </c>
      <c r="E581" s="5" t="n">
        <v>6</v>
      </c>
      <c r="F581" s="20" t="n">
        <v>8.78922638854947</v>
      </c>
      <c r="G581" s="20" t="n">
        <f aca="false">9-F581</f>
        <v>0.210773611450533</v>
      </c>
      <c r="H581" s="20" t="n">
        <f aca="false">IF(G581&gt;=1,G581,0)</f>
        <v>0</v>
      </c>
      <c r="I581" s="5" t="s">
        <v>74</v>
      </c>
      <c r="J581" s="5" t="s">
        <v>1051</v>
      </c>
    </row>
    <row r="582" customFormat="false" ht="15" hidden="false" customHeight="false" outlineLevel="0" collapsed="false">
      <c r="A582" s="5" t="s">
        <v>216</v>
      </c>
      <c r="B582" s="5" t="s">
        <v>169</v>
      </c>
      <c r="C582" s="5" t="n">
        <v>115</v>
      </c>
      <c r="D582" s="5" t="s">
        <v>611</v>
      </c>
      <c r="E582" s="5" t="n">
        <v>6</v>
      </c>
      <c r="F582" s="20" t="n">
        <v>8.78922638854947</v>
      </c>
      <c r="G582" s="20" t="n">
        <f aca="false">9-F582</f>
        <v>0.210773611450533</v>
      </c>
      <c r="H582" s="20" t="n">
        <f aca="false">IF(G582&gt;=1,G582,0)</f>
        <v>0</v>
      </c>
      <c r="I582" s="5" t="s">
        <v>74</v>
      </c>
      <c r="J582" s="5" t="s">
        <v>1052</v>
      </c>
    </row>
    <row r="583" customFormat="false" ht="15" hidden="false" customHeight="false" outlineLevel="0" collapsed="false">
      <c r="A583" s="5" t="s">
        <v>216</v>
      </c>
      <c r="B583" s="5" t="s">
        <v>169</v>
      </c>
      <c r="C583" s="5" t="n">
        <v>116</v>
      </c>
      <c r="D583" s="5" t="s">
        <v>611</v>
      </c>
      <c r="E583" s="5" t="n">
        <v>6</v>
      </c>
      <c r="F583" s="20" t="n">
        <v>8.78922638854947</v>
      </c>
      <c r="G583" s="20" t="n">
        <f aca="false">9-F583</f>
        <v>0.210773611450533</v>
      </c>
      <c r="H583" s="20" t="n">
        <f aca="false">IF(G583&gt;=1,G583,0)</f>
        <v>0</v>
      </c>
      <c r="I583" s="5" t="s">
        <v>74</v>
      </c>
      <c r="J583" s="5" t="s">
        <v>1053</v>
      </c>
    </row>
    <row r="584" customFormat="false" ht="15" hidden="false" customHeight="false" outlineLevel="0" collapsed="false">
      <c r="A584" s="5" t="s">
        <v>216</v>
      </c>
      <c r="B584" s="5" t="s">
        <v>169</v>
      </c>
      <c r="C584" s="5" t="n">
        <v>117</v>
      </c>
      <c r="D584" s="5" t="s">
        <v>611</v>
      </c>
      <c r="E584" s="5" t="n">
        <v>6</v>
      </c>
      <c r="F584" s="20" t="n">
        <v>8.78922638854947</v>
      </c>
      <c r="G584" s="20" t="n">
        <f aca="false">9-F584</f>
        <v>0.210773611450533</v>
      </c>
      <c r="H584" s="20" t="n">
        <f aca="false">IF(G584&gt;=1,G584,0)</f>
        <v>0</v>
      </c>
      <c r="I584" s="5" t="s">
        <v>74</v>
      </c>
      <c r="J584" s="5" t="s">
        <v>1054</v>
      </c>
    </row>
    <row r="585" customFormat="false" ht="15" hidden="false" customHeight="false" outlineLevel="0" collapsed="false">
      <c r="A585" s="5" t="s">
        <v>216</v>
      </c>
      <c r="B585" s="5" t="s">
        <v>169</v>
      </c>
      <c r="C585" s="5" t="n">
        <v>118</v>
      </c>
      <c r="D585" s="5" t="s">
        <v>611</v>
      </c>
      <c r="E585" s="5" t="n">
        <v>6</v>
      </c>
      <c r="F585" s="20" t="n">
        <v>8.78922638854947</v>
      </c>
      <c r="G585" s="20" t="n">
        <f aca="false">9-F585</f>
        <v>0.210773611450533</v>
      </c>
      <c r="H585" s="20" t="n">
        <f aca="false">IF(G585&gt;=1,G585,0)</f>
        <v>0</v>
      </c>
      <c r="I585" s="5" t="s">
        <v>74</v>
      </c>
      <c r="J585" s="5" t="s">
        <v>1055</v>
      </c>
    </row>
    <row r="586" customFormat="false" ht="15" hidden="false" customHeight="false" outlineLevel="0" collapsed="false">
      <c r="A586" s="5" t="s">
        <v>216</v>
      </c>
      <c r="B586" s="5" t="s">
        <v>169</v>
      </c>
      <c r="C586" s="5" t="n">
        <v>119</v>
      </c>
      <c r="D586" s="5" t="s">
        <v>611</v>
      </c>
      <c r="E586" s="5" t="n">
        <v>6</v>
      </c>
      <c r="F586" s="20" t="n">
        <v>8.78922638854946</v>
      </c>
      <c r="G586" s="20" t="n">
        <f aca="false">9-F586</f>
        <v>0.210773611450536</v>
      </c>
      <c r="H586" s="20" t="n">
        <f aca="false">IF(G586&gt;=1,G586,0)</f>
        <v>0</v>
      </c>
      <c r="I586" s="5" t="s">
        <v>74</v>
      </c>
      <c r="J586" s="5" t="s">
        <v>1056</v>
      </c>
    </row>
    <row r="587" customFormat="false" ht="15" hidden="false" customHeight="false" outlineLevel="0" collapsed="false">
      <c r="A587" s="5" t="s">
        <v>216</v>
      </c>
      <c r="B587" s="5" t="s">
        <v>169</v>
      </c>
      <c r="C587" s="5" t="n">
        <v>120</v>
      </c>
      <c r="D587" s="5" t="s">
        <v>611</v>
      </c>
      <c r="E587" s="5" t="n">
        <v>6</v>
      </c>
      <c r="F587" s="20" t="n">
        <v>8.78922638854946</v>
      </c>
      <c r="G587" s="20" t="n">
        <f aca="false">9-F587</f>
        <v>0.210773611450536</v>
      </c>
      <c r="H587" s="20" t="n">
        <f aca="false">IF(G587&gt;=1,G587,0)</f>
        <v>0</v>
      </c>
      <c r="I587" s="5" t="s">
        <v>74</v>
      </c>
      <c r="J587" s="5" t="s">
        <v>1057</v>
      </c>
    </row>
    <row r="588" customFormat="false" ht="15" hidden="false" customHeight="false" outlineLevel="0" collapsed="false">
      <c r="A588" s="5" t="s">
        <v>216</v>
      </c>
      <c r="B588" s="5" t="s">
        <v>169</v>
      </c>
      <c r="C588" s="5" t="n">
        <v>121</v>
      </c>
      <c r="D588" s="5" t="s">
        <v>611</v>
      </c>
      <c r="E588" s="5" t="n">
        <v>6</v>
      </c>
      <c r="F588" s="20" t="n">
        <v>8.78922638854946</v>
      </c>
      <c r="G588" s="20" t="n">
        <f aca="false">9-F588</f>
        <v>0.210773611450536</v>
      </c>
      <c r="H588" s="20" t="n">
        <f aca="false">IF(G588&gt;=1,G588,0)</f>
        <v>0</v>
      </c>
      <c r="I588" s="5" t="s">
        <v>74</v>
      </c>
      <c r="J588" s="5" t="s">
        <v>1058</v>
      </c>
    </row>
    <row r="589" customFormat="false" ht="15" hidden="false" customHeight="false" outlineLevel="0" collapsed="false">
      <c r="A589" s="5" t="s">
        <v>216</v>
      </c>
      <c r="B589" s="5" t="s">
        <v>169</v>
      </c>
      <c r="C589" s="5" t="n">
        <v>122</v>
      </c>
      <c r="D589" s="5" t="s">
        <v>611</v>
      </c>
      <c r="E589" s="5" t="n">
        <v>6</v>
      </c>
      <c r="F589" s="20" t="n">
        <v>8.78922638854946</v>
      </c>
      <c r="G589" s="20" t="n">
        <f aca="false">9-F589</f>
        <v>0.210773611450536</v>
      </c>
      <c r="H589" s="20" t="n">
        <f aca="false">IF(G589&gt;=1,G589,0)</f>
        <v>0</v>
      </c>
      <c r="I589" s="5" t="s">
        <v>74</v>
      </c>
      <c r="J589" s="5" t="s">
        <v>1059</v>
      </c>
    </row>
    <row r="590" customFormat="false" ht="15" hidden="false" customHeight="false" outlineLevel="0" collapsed="false">
      <c r="A590" s="5" t="s">
        <v>216</v>
      </c>
      <c r="B590" s="5" t="s">
        <v>169</v>
      </c>
      <c r="C590" s="5" t="n">
        <v>123</v>
      </c>
      <c r="D590" s="5" t="s">
        <v>611</v>
      </c>
      <c r="E590" s="5" t="n">
        <v>6</v>
      </c>
      <c r="F590" s="20" t="n">
        <v>8.78922638854946</v>
      </c>
      <c r="G590" s="20" t="n">
        <f aca="false">9-F590</f>
        <v>0.210773611450536</v>
      </c>
      <c r="H590" s="20" t="n">
        <f aca="false">IF(G590&gt;=1,G590,0)</f>
        <v>0</v>
      </c>
      <c r="I590" s="5" t="s">
        <v>74</v>
      </c>
      <c r="J590" s="5" t="s">
        <v>1060</v>
      </c>
    </row>
    <row r="591" customFormat="false" ht="15" hidden="false" customHeight="false" outlineLevel="0" collapsed="false">
      <c r="A591" s="5" t="s">
        <v>216</v>
      </c>
      <c r="B591" s="5" t="s">
        <v>169</v>
      </c>
      <c r="C591" s="5" t="n">
        <v>124</v>
      </c>
      <c r="D591" s="5" t="s">
        <v>611</v>
      </c>
      <c r="E591" s="5" t="n">
        <v>6</v>
      </c>
      <c r="F591" s="20" t="n">
        <v>8.78922638854946</v>
      </c>
      <c r="G591" s="20" t="n">
        <f aca="false">9-F591</f>
        <v>0.210773611450538</v>
      </c>
      <c r="H591" s="20" t="n">
        <f aca="false">IF(G591&gt;=1,G591,0)</f>
        <v>0</v>
      </c>
      <c r="I591" s="5" t="s">
        <v>74</v>
      </c>
      <c r="J591" s="5" t="s">
        <v>1061</v>
      </c>
    </row>
    <row r="592" customFormat="false" ht="15" hidden="false" customHeight="false" outlineLevel="0" collapsed="false">
      <c r="A592" s="5" t="s">
        <v>216</v>
      </c>
      <c r="B592" s="5" t="s">
        <v>169</v>
      </c>
      <c r="C592" s="5" t="n">
        <v>125</v>
      </c>
      <c r="D592" s="5" t="s">
        <v>611</v>
      </c>
      <c r="E592" s="5" t="n">
        <v>6</v>
      </c>
      <c r="F592" s="20" t="n">
        <v>8.78922638854946</v>
      </c>
      <c r="G592" s="20" t="n">
        <f aca="false">9-F592</f>
        <v>0.210773611450541</v>
      </c>
      <c r="H592" s="20" t="n">
        <f aca="false">IF(G592&gt;=1,G592,0)</f>
        <v>0</v>
      </c>
      <c r="I592" s="5" t="s">
        <v>74</v>
      </c>
      <c r="J592" s="5" t="s">
        <v>1062</v>
      </c>
    </row>
    <row r="593" customFormat="false" ht="15" hidden="false" customHeight="false" outlineLevel="0" collapsed="false">
      <c r="A593" s="5" t="s">
        <v>216</v>
      </c>
      <c r="B593" s="5" t="s">
        <v>169</v>
      </c>
      <c r="C593" s="5" t="n">
        <v>126</v>
      </c>
      <c r="D593" s="5" t="s">
        <v>611</v>
      </c>
      <c r="E593" s="5" t="n">
        <v>6</v>
      </c>
      <c r="F593" s="20" t="n">
        <v>8.78922638854946</v>
      </c>
      <c r="G593" s="20" t="n">
        <f aca="false">9-F593</f>
        <v>0.210773611450541</v>
      </c>
      <c r="H593" s="20" t="n">
        <f aca="false">IF(G593&gt;=1,G593,0)</f>
        <v>0</v>
      </c>
      <c r="I593" s="5" t="s">
        <v>74</v>
      </c>
      <c r="J593" s="5" t="s">
        <v>1063</v>
      </c>
    </row>
    <row r="594" customFormat="false" ht="15" hidden="false" customHeight="false" outlineLevel="0" collapsed="false">
      <c r="A594" s="5" t="s">
        <v>216</v>
      </c>
      <c r="B594" s="5" t="s">
        <v>169</v>
      </c>
      <c r="C594" s="5" t="n">
        <v>127</v>
      </c>
      <c r="D594" s="5" t="s">
        <v>611</v>
      </c>
      <c r="E594" s="5" t="n">
        <v>6</v>
      </c>
      <c r="F594" s="20" t="n">
        <v>8.78922638854946</v>
      </c>
      <c r="G594" s="20" t="n">
        <f aca="false">9-F594</f>
        <v>0.210773611450541</v>
      </c>
      <c r="H594" s="20" t="n">
        <f aca="false">IF(G594&gt;=1,G594,0)</f>
        <v>0</v>
      </c>
      <c r="I594" s="5" t="s">
        <v>74</v>
      </c>
      <c r="J594" s="5" t="s">
        <v>1064</v>
      </c>
    </row>
    <row r="595" customFormat="false" ht="15" hidden="false" customHeight="false" outlineLevel="0" collapsed="false">
      <c r="A595" s="5" t="s">
        <v>216</v>
      </c>
      <c r="B595" s="5" t="s">
        <v>169</v>
      </c>
      <c r="C595" s="5" t="n">
        <v>128</v>
      </c>
      <c r="D595" s="5" t="s">
        <v>611</v>
      </c>
      <c r="E595" s="5" t="n">
        <v>6</v>
      </c>
      <c r="F595" s="20" t="n">
        <v>8.78922638854946</v>
      </c>
      <c r="G595" s="20" t="n">
        <f aca="false">9-F595</f>
        <v>0.210773611450541</v>
      </c>
      <c r="H595" s="20" t="n">
        <f aca="false">IF(G595&gt;=1,G595,0)</f>
        <v>0</v>
      </c>
      <c r="I595" s="5" t="s">
        <v>74</v>
      </c>
      <c r="J595" s="5" t="s">
        <v>1065</v>
      </c>
    </row>
    <row r="596" customFormat="false" ht="15" hidden="false" customHeight="false" outlineLevel="0" collapsed="false">
      <c r="A596" s="5" t="s">
        <v>216</v>
      </c>
      <c r="B596" s="5" t="s">
        <v>169</v>
      </c>
      <c r="C596" s="5" t="n">
        <v>129</v>
      </c>
      <c r="D596" s="5" t="s">
        <v>611</v>
      </c>
      <c r="E596" s="5" t="n">
        <v>6</v>
      </c>
      <c r="F596" s="20" t="n">
        <v>8.78922638854946</v>
      </c>
      <c r="G596" s="20" t="n">
        <f aca="false">9-F596</f>
        <v>0.210773611450541</v>
      </c>
      <c r="H596" s="20" t="n">
        <f aca="false">IF(G596&gt;=1,G596,0)</f>
        <v>0</v>
      </c>
      <c r="I596" s="5" t="s">
        <v>74</v>
      </c>
      <c r="J596" s="5" t="s">
        <v>1066</v>
      </c>
    </row>
    <row r="597" customFormat="false" ht="15" hidden="false" customHeight="false" outlineLevel="0" collapsed="false">
      <c r="A597" s="5" t="s">
        <v>216</v>
      </c>
      <c r="B597" s="5" t="s">
        <v>169</v>
      </c>
      <c r="C597" s="5" t="n">
        <v>130</v>
      </c>
      <c r="D597" s="5" t="s">
        <v>611</v>
      </c>
      <c r="E597" s="5" t="n">
        <v>6</v>
      </c>
      <c r="F597" s="20" t="n">
        <v>8.78922638854946</v>
      </c>
      <c r="G597" s="20" t="n">
        <f aca="false">9-F597</f>
        <v>0.210773611450541</v>
      </c>
      <c r="H597" s="20" t="n">
        <f aca="false">IF(G597&gt;=1,G597,0)</f>
        <v>0</v>
      </c>
      <c r="I597" s="5" t="s">
        <v>74</v>
      </c>
      <c r="J597" s="5" t="s">
        <v>1067</v>
      </c>
    </row>
    <row r="598" customFormat="false" ht="15" hidden="false" customHeight="false" outlineLevel="0" collapsed="false">
      <c r="A598" s="5" t="s">
        <v>216</v>
      </c>
      <c r="B598" s="5" t="s">
        <v>169</v>
      </c>
      <c r="C598" s="5" t="n">
        <v>131</v>
      </c>
      <c r="D598" s="5" t="s">
        <v>611</v>
      </c>
      <c r="E598" s="5" t="n">
        <v>6</v>
      </c>
      <c r="F598" s="20" t="n">
        <v>8.78922638854946</v>
      </c>
      <c r="G598" s="20" t="n">
        <f aca="false">9-F598</f>
        <v>0.210773611450541</v>
      </c>
      <c r="H598" s="20" t="n">
        <f aca="false">IF(G598&gt;=1,G598,0)</f>
        <v>0</v>
      </c>
      <c r="I598" s="5" t="s">
        <v>74</v>
      </c>
      <c r="J598" s="5" t="s">
        <v>1068</v>
      </c>
    </row>
    <row r="599" customFormat="false" ht="15" hidden="false" customHeight="false" outlineLevel="0" collapsed="false">
      <c r="A599" s="5" t="s">
        <v>216</v>
      </c>
      <c r="B599" s="5" t="s">
        <v>169</v>
      </c>
      <c r="C599" s="5" t="n">
        <v>132</v>
      </c>
      <c r="D599" s="5" t="s">
        <v>611</v>
      </c>
      <c r="E599" s="5" t="n">
        <v>6</v>
      </c>
      <c r="F599" s="20" t="n">
        <v>8.78922638854946</v>
      </c>
      <c r="G599" s="20" t="n">
        <f aca="false">9-F599</f>
        <v>0.210773611450541</v>
      </c>
      <c r="H599" s="20" t="n">
        <f aca="false">IF(G599&gt;=1,G599,0)</f>
        <v>0</v>
      </c>
      <c r="I599" s="5" t="s">
        <v>74</v>
      </c>
      <c r="J599" s="5" t="s">
        <v>1069</v>
      </c>
    </row>
    <row r="600" customFormat="false" ht="15" hidden="false" customHeight="false" outlineLevel="0" collapsed="false">
      <c r="A600" s="5" t="s">
        <v>216</v>
      </c>
      <c r="B600" s="5" t="s">
        <v>169</v>
      </c>
      <c r="C600" s="5" t="n">
        <v>133</v>
      </c>
      <c r="D600" s="5" t="s">
        <v>611</v>
      </c>
      <c r="E600" s="5" t="n">
        <v>6</v>
      </c>
      <c r="F600" s="20" t="n">
        <v>8.78922638854946</v>
      </c>
      <c r="G600" s="20" t="n">
        <f aca="false">9-F600</f>
        <v>0.210773611450541</v>
      </c>
      <c r="H600" s="20" t="n">
        <f aca="false">IF(G600&gt;=1,G600,0)</f>
        <v>0</v>
      </c>
      <c r="I600" s="5" t="s">
        <v>74</v>
      </c>
      <c r="J600" s="5" t="s">
        <v>1070</v>
      </c>
    </row>
    <row r="601" customFormat="false" ht="15" hidden="false" customHeight="false" outlineLevel="0" collapsed="false">
      <c r="A601" s="5" t="s">
        <v>216</v>
      </c>
      <c r="B601" s="5" t="s">
        <v>169</v>
      </c>
      <c r="C601" s="5" t="n">
        <v>134</v>
      </c>
      <c r="D601" s="5" t="s">
        <v>611</v>
      </c>
      <c r="E601" s="5" t="n">
        <v>6</v>
      </c>
      <c r="F601" s="20" t="n">
        <v>8.78922638854946</v>
      </c>
      <c r="G601" s="20" t="n">
        <f aca="false">9-F601</f>
        <v>0.210773611450541</v>
      </c>
      <c r="H601" s="20" t="n">
        <f aca="false">IF(G601&gt;=1,G601,0)</f>
        <v>0</v>
      </c>
      <c r="I601" s="5" t="s">
        <v>74</v>
      </c>
      <c r="J601" s="5" t="s">
        <v>1071</v>
      </c>
    </row>
    <row r="602" customFormat="false" ht="15" hidden="false" customHeight="false" outlineLevel="0" collapsed="false">
      <c r="A602" s="5" t="s">
        <v>216</v>
      </c>
      <c r="B602" s="5" t="s">
        <v>169</v>
      </c>
      <c r="C602" s="5" t="n">
        <v>135</v>
      </c>
      <c r="D602" s="5" t="s">
        <v>1072</v>
      </c>
      <c r="E602" s="5" t="n">
        <v>6</v>
      </c>
      <c r="F602" s="20" t="n">
        <v>8.94351262595408</v>
      </c>
      <c r="G602" s="20" t="n">
        <f aca="false">9-F602</f>
        <v>0.056487374045922</v>
      </c>
      <c r="H602" s="20" t="n">
        <f aca="false">IF(G602&gt;=1,G602,0)</f>
        <v>0</v>
      </c>
      <c r="I602" s="5" t="s">
        <v>1073</v>
      </c>
      <c r="J602" s="5" t="s">
        <v>1074</v>
      </c>
    </row>
    <row r="603" customFormat="false" ht="15" hidden="false" customHeight="false" outlineLevel="0" collapsed="false">
      <c r="A603" s="5" t="s">
        <v>216</v>
      </c>
      <c r="B603" s="5" t="s">
        <v>169</v>
      </c>
      <c r="C603" s="5" t="n">
        <v>136</v>
      </c>
      <c r="D603" s="5" t="s">
        <v>1075</v>
      </c>
      <c r="E603" s="5" t="n">
        <v>7</v>
      </c>
      <c r="F603" s="20" t="n">
        <v>8.90475391374041</v>
      </c>
      <c r="G603" s="20" t="n">
        <f aca="false">9-F603</f>
        <v>0.0952460862595892</v>
      </c>
      <c r="H603" s="20" t="n">
        <f aca="false">IF(G603&gt;=1,G603,0)</f>
        <v>0</v>
      </c>
      <c r="I603" s="5" t="s">
        <v>1076</v>
      </c>
      <c r="J603" s="5" t="s">
        <v>1077</v>
      </c>
    </row>
    <row r="604" customFormat="false" ht="15" hidden="false" customHeight="false" outlineLevel="0" collapsed="false">
      <c r="A604" s="5" t="s">
        <v>216</v>
      </c>
      <c r="B604" s="5" t="s">
        <v>169</v>
      </c>
      <c r="C604" s="5" t="n">
        <v>137</v>
      </c>
      <c r="D604" s="5" t="s">
        <v>1075</v>
      </c>
      <c r="E604" s="5" t="n">
        <v>7</v>
      </c>
      <c r="F604" s="20" t="n">
        <v>8.90475391374041</v>
      </c>
      <c r="G604" s="20" t="n">
        <f aca="false">9-F604</f>
        <v>0.0952460862595892</v>
      </c>
      <c r="H604" s="20" t="n">
        <f aca="false">IF(G604&gt;=1,G604,0)</f>
        <v>0</v>
      </c>
      <c r="I604" s="5" t="s">
        <v>1076</v>
      </c>
      <c r="J604" s="5" t="s">
        <v>1078</v>
      </c>
    </row>
    <row r="605" customFormat="false" ht="15" hidden="false" customHeight="false" outlineLevel="0" collapsed="false">
      <c r="A605" s="5" t="s">
        <v>216</v>
      </c>
      <c r="B605" s="5" t="s">
        <v>169</v>
      </c>
      <c r="C605" s="5" t="n">
        <v>138</v>
      </c>
      <c r="D605" s="5" t="s">
        <v>1075</v>
      </c>
      <c r="E605" s="5" t="n">
        <v>7</v>
      </c>
      <c r="F605" s="20" t="n">
        <v>8.90475391374041</v>
      </c>
      <c r="G605" s="20" t="n">
        <f aca="false">9-F605</f>
        <v>0.095246086259591</v>
      </c>
      <c r="H605" s="20" t="n">
        <f aca="false">IF(G605&gt;=1,G605,0)</f>
        <v>0</v>
      </c>
      <c r="I605" s="5" t="s">
        <v>1076</v>
      </c>
      <c r="J605" s="5" t="s">
        <v>1079</v>
      </c>
    </row>
    <row r="606" customFormat="false" ht="15" hidden="false" customHeight="false" outlineLevel="0" collapsed="false">
      <c r="A606" s="5" t="s">
        <v>216</v>
      </c>
      <c r="B606" s="5" t="s">
        <v>169</v>
      </c>
      <c r="C606" s="5" t="n">
        <v>139</v>
      </c>
      <c r="D606" s="5" t="s">
        <v>1075</v>
      </c>
      <c r="E606" s="5" t="n">
        <v>7</v>
      </c>
      <c r="F606" s="20" t="n">
        <v>8.90475391374038</v>
      </c>
      <c r="G606" s="20" t="n">
        <f aca="false">9-F606</f>
        <v>0.0952460862596176</v>
      </c>
      <c r="H606" s="20" t="n">
        <f aca="false">IF(G606&gt;=1,G606,0)</f>
        <v>0</v>
      </c>
      <c r="I606" s="5" t="s">
        <v>1076</v>
      </c>
      <c r="J606" s="5" t="s">
        <v>1080</v>
      </c>
    </row>
    <row r="607" customFormat="false" ht="15" hidden="false" customHeight="false" outlineLevel="0" collapsed="false">
      <c r="A607" s="5" t="s">
        <v>216</v>
      </c>
      <c r="B607" s="5" t="s">
        <v>169</v>
      </c>
      <c r="C607" s="5" t="n">
        <v>140</v>
      </c>
      <c r="D607" s="5" t="s">
        <v>1075</v>
      </c>
      <c r="E607" s="5" t="n">
        <v>7</v>
      </c>
      <c r="F607" s="20" t="n">
        <v>8.90475391374038</v>
      </c>
      <c r="G607" s="20" t="n">
        <f aca="false">9-F607</f>
        <v>0.0952460862596194</v>
      </c>
      <c r="H607" s="20" t="n">
        <f aca="false">IF(G607&gt;=1,G607,0)</f>
        <v>0</v>
      </c>
      <c r="I607" s="5" t="s">
        <v>1076</v>
      </c>
      <c r="J607" s="5" t="s">
        <v>1081</v>
      </c>
    </row>
    <row r="608" customFormat="false" ht="15" hidden="false" customHeight="false" outlineLevel="0" collapsed="false">
      <c r="A608" s="5" t="s">
        <v>216</v>
      </c>
      <c r="B608" s="5" t="s">
        <v>169</v>
      </c>
      <c r="C608" s="5" t="n">
        <v>141</v>
      </c>
      <c r="D608" s="5" t="s">
        <v>1075</v>
      </c>
      <c r="E608" s="5" t="n">
        <v>7</v>
      </c>
      <c r="F608" s="20" t="n">
        <v>8.90475391374038</v>
      </c>
      <c r="G608" s="20" t="n">
        <f aca="false">9-F608</f>
        <v>0.0952460862596194</v>
      </c>
      <c r="H608" s="20" t="n">
        <f aca="false">IF(G608&gt;=1,G608,0)</f>
        <v>0</v>
      </c>
      <c r="I608" s="5" t="s">
        <v>1076</v>
      </c>
      <c r="J608" s="5" t="s">
        <v>1082</v>
      </c>
    </row>
    <row r="609" customFormat="false" ht="15" hidden="false" customHeight="false" outlineLevel="0" collapsed="false">
      <c r="A609" s="5" t="s">
        <v>216</v>
      </c>
      <c r="B609" s="5" t="s">
        <v>169</v>
      </c>
      <c r="C609" s="5" t="n">
        <v>142</v>
      </c>
      <c r="D609" s="5" t="s">
        <v>1075</v>
      </c>
      <c r="E609" s="5" t="n">
        <v>7</v>
      </c>
      <c r="F609" s="20" t="n">
        <v>8.90475391374038</v>
      </c>
      <c r="G609" s="20" t="n">
        <f aca="false">9-F609</f>
        <v>0.0952460862596194</v>
      </c>
      <c r="H609" s="20" t="n">
        <f aca="false">IF(G609&gt;=1,G609,0)</f>
        <v>0</v>
      </c>
      <c r="I609" s="5" t="s">
        <v>1076</v>
      </c>
      <c r="J609" s="5" t="s">
        <v>1083</v>
      </c>
    </row>
    <row r="610" customFormat="false" ht="15" hidden="false" customHeight="false" outlineLevel="0" collapsed="false">
      <c r="A610" s="5" t="s">
        <v>216</v>
      </c>
      <c r="B610" s="5" t="s">
        <v>169</v>
      </c>
      <c r="C610" s="5" t="n">
        <v>143</v>
      </c>
      <c r="D610" s="5" t="s">
        <v>1075</v>
      </c>
      <c r="E610" s="5" t="n">
        <v>7</v>
      </c>
      <c r="F610" s="20" t="n">
        <v>8.90475391374038</v>
      </c>
      <c r="G610" s="20" t="n">
        <f aca="false">9-F610</f>
        <v>0.0952460862596194</v>
      </c>
      <c r="H610" s="20" t="n">
        <f aca="false">IF(G610&gt;=1,G610,0)</f>
        <v>0</v>
      </c>
      <c r="I610" s="5" t="s">
        <v>1076</v>
      </c>
      <c r="J610" s="5" t="s">
        <v>1084</v>
      </c>
    </row>
    <row r="611" customFormat="false" ht="15" hidden="false" customHeight="false" outlineLevel="0" collapsed="false">
      <c r="A611" s="5" t="s">
        <v>216</v>
      </c>
      <c r="B611" s="5" t="s">
        <v>169</v>
      </c>
      <c r="C611" s="5" t="n">
        <v>144</v>
      </c>
      <c r="D611" s="5" t="s">
        <v>1075</v>
      </c>
      <c r="E611" s="5" t="n">
        <v>7</v>
      </c>
      <c r="F611" s="20" t="n">
        <v>8.90475391374038</v>
      </c>
      <c r="G611" s="20" t="n">
        <f aca="false">9-F611</f>
        <v>0.0952460862596194</v>
      </c>
      <c r="H611" s="20" t="n">
        <f aca="false">IF(G611&gt;=1,G611,0)</f>
        <v>0</v>
      </c>
      <c r="I611" s="5" t="s">
        <v>1076</v>
      </c>
      <c r="J611" s="5" t="s">
        <v>1085</v>
      </c>
    </row>
    <row r="612" customFormat="false" ht="15" hidden="false" customHeight="false" outlineLevel="0" collapsed="false">
      <c r="A612" s="5" t="s">
        <v>216</v>
      </c>
      <c r="B612" s="5" t="s">
        <v>169</v>
      </c>
      <c r="C612" s="5" t="n">
        <v>145</v>
      </c>
      <c r="D612" s="5" t="s">
        <v>1075</v>
      </c>
      <c r="E612" s="5" t="n">
        <v>7</v>
      </c>
      <c r="F612" s="20" t="n">
        <v>8.90475391374038</v>
      </c>
      <c r="G612" s="20" t="n">
        <f aca="false">9-F612</f>
        <v>0.0952460862596194</v>
      </c>
      <c r="H612" s="20" t="n">
        <f aca="false">IF(G612&gt;=1,G612,0)</f>
        <v>0</v>
      </c>
      <c r="I612" s="5" t="s">
        <v>1076</v>
      </c>
      <c r="J612" s="5" t="s">
        <v>1086</v>
      </c>
    </row>
    <row r="613" customFormat="false" ht="15" hidden="false" customHeight="false" outlineLevel="0" collapsed="false">
      <c r="A613" s="5" t="s">
        <v>216</v>
      </c>
      <c r="B613" s="5" t="s">
        <v>169</v>
      </c>
      <c r="C613" s="5" t="n">
        <v>146</v>
      </c>
      <c r="D613" s="5" t="s">
        <v>1075</v>
      </c>
      <c r="E613" s="5" t="n">
        <v>7</v>
      </c>
      <c r="F613" s="20" t="n">
        <v>8.90475391374038</v>
      </c>
      <c r="G613" s="20" t="n">
        <f aca="false">9-F613</f>
        <v>0.0952460862596194</v>
      </c>
      <c r="H613" s="20" t="n">
        <f aca="false">IF(G613&gt;=1,G613,0)</f>
        <v>0</v>
      </c>
      <c r="I613" s="5" t="s">
        <v>1076</v>
      </c>
      <c r="J613" s="5" t="s">
        <v>1087</v>
      </c>
    </row>
    <row r="614" customFormat="false" ht="15" hidden="false" customHeight="false" outlineLevel="0" collapsed="false">
      <c r="A614" s="5" t="s">
        <v>216</v>
      </c>
      <c r="B614" s="5" t="s">
        <v>169</v>
      </c>
      <c r="C614" s="5" t="n">
        <v>147</v>
      </c>
      <c r="D614" s="5" t="s">
        <v>1075</v>
      </c>
      <c r="E614" s="5" t="n">
        <v>7</v>
      </c>
      <c r="F614" s="20" t="n">
        <v>8.90475391374038</v>
      </c>
      <c r="G614" s="20" t="n">
        <f aca="false">9-F614</f>
        <v>0.0952460862596194</v>
      </c>
      <c r="H614" s="20" t="n">
        <f aca="false">IF(G614&gt;=1,G614,0)</f>
        <v>0</v>
      </c>
      <c r="I614" s="5" t="s">
        <v>1076</v>
      </c>
      <c r="J614" s="5" t="s">
        <v>1088</v>
      </c>
    </row>
    <row r="615" customFormat="false" ht="15" hidden="false" customHeight="false" outlineLevel="0" collapsed="false">
      <c r="A615" s="5" t="s">
        <v>216</v>
      </c>
      <c r="B615" s="5" t="s">
        <v>169</v>
      </c>
      <c r="C615" s="5" t="n">
        <v>148</v>
      </c>
      <c r="D615" s="5" t="s">
        <v>1075</v>
      </c>
      <c r="E615" s="5" t="n">
        <v>7</v>
      </c>
      <c r="F615" s="20" t="n">
        <v>8.90475391374038</v>
      </c>
      <c r="G615" s="20" t="n">
        <f aca="false">9-F615</f>
        <v>0.0952460862596194</v>
      </c>
      <c r="H615" s="20" t="n">
        <f aca="false">IF(G615&gt;=1,G615,0)</f>
        <v>0</v>
      </c>
      <c r="I615" s="5" t="s">
        <v>1076</v>
      </c>
      <c r="J615" s="5" t="s">
        <v>1089</v>
      </c>
    </row>
    <row r="616" customFormat="false" ht="15" hidden="false" customHeight="false" outlineLevel="0" collapsed="false">
      <c r="A616" s="5" t="s">
        <v>216</v>
      </c>
      <c r="B616" s="5" t="s">
        <v>169</v>
      </c>
      <c r="C616" s="5" t="n">
        <v>149</v>
      </c>
      <c r="D616" s="5" t="s">
        <v>1075</v>
      </c>
      <c r="E616" s="5" t="n">
        <v>7</v>
      </c>
      <c r="F616" s="20" t="n">
        <v>8.90475391374038</v>
      </c>
      <c r="G616" s="20" t="n">
        <f aca="false">9-F616</f>
        <v>0.0952460862596194</v>
      </c>
      <c r="H616" s="20" t="n">
        <f aca="false">IF(G616&gt;=1,G616,0)</f>
        <v>0</v>
      </c>
      <c r="I616" s="5" t="s">
        <v>1076</v>
      </c>
      <c r="J616" s="5" t="s">
        <v>1090</v>
      </c>
    </row>
    <row r="617" customFormat="false" ht="15" hidden="false" customHeight="false" outlineLevel="0" collapsed="false">
      <c r="A617" s="5" t="s">
        <v>216</v>
      </c>
      <c r="B617" s="5" t="s">
        <v>169</v>
      </c>
      <c r="C617" s="5" t="n">
        <v>150</v>
      </c>
      <c r="D617" s="5" t="s">
        <v>1075</v>
      </c>
      <c r="E617" s="5" t="n">
        <v>7</v>
      </c>
      <c r="F617" s="20" t="n">
        <v>8.90475391374038</v>
      </c>
      <c r="G617" s="20" t="n">
        <f aca="false">9-F617</f>
        <v>0.0952460862596194</v>
      </c>
      <c r="H617" s="20" t="n">
        <f aca="false">IF(G617&gt;=1,G617,0)</f>
        <v>0</v>
      </c>
      <c r="I617" s="5" t="s">
        <v>1076</v>
      </c>
      <c r="J617" s="5" t="s">
        <v>1091</v>
      </c>
    </row>
    <row r="618" customFormat="false" ht="15" hidden="false" customHeight="false" outlineLevel="0" collapsed="false">
      <c r="A618" s="5" t="s">
        <v>216</v>
      </c>
      <c r="B618" s="5" t="s">
        <v>169</v>
      </c>
      <c r="C618" s="5" t="n">
        <v>151</v>
      </c>
      <c r="D618" s="5" t="s">
        <v>1075</v>
      </c>
      <c r="E618" s="5" t="n">
        <v>7</v>
      </c>
      <c r="F618" s="20" t="n">
        <v>8.90475391374038</v>
      </c>
      <c r="G618" s="20" t="n">
        <f aca="false">9-F618</f>
        <v>0.0952460862596194</v>
      </c>
      <c r="H618" s="20" t="n">
        <f aca="false">IF(G618&gt;=1,G618,0)</f>
        <v>0</v>
      </c>
      <c r="I618" s="5" t="s">
        <v>1076</v>
      </c>
      <c r="J618" s="5" t="s">
        <v>1092</v>
      </c>
    </row>
    <row r="619" customFormat="false" ht="15" hidden="false" customHeight="false" outlineLevel="0" collapsed="false">
      <c r="A619" s="5" t="s">
        <v>216</v>
      </c>
      <c r="B619" s="5" t="s">
        <v>169</v>
      </c>
      <c r="C619" s="5" t="n">
        <v>152</v>
      </c>
      <c r="D619" s="5" t="s">
        <v>1075</v>
      </c>
      <c r="E619" s="5" t="n">
        <v>7</v>
      </c>
      <c r="F619" s="20" t="n">
        <v>8.90475391374038</v>
      </c>
      <c r="G619" s="20" t="n">
        <f aca="false">9-F619</f>
        <v>0.0952460862596194</v>
      </c>
      <c r="H619" s="20" t="n">
        <f aca="false">IF(G619&gt;=1,G619,0)</f>
        <v>0</v>
      </c>
      <c r="I619" s="5" t="s">
        <v>1076</v>
      </c>
      <c r="J619" s="5" t="s">
        <v>1093</v>
      </c>
    </row>
    <row r="620" customFormat="false" ht="15" hidden="false" customHeight="false" outlineLevel="0" collapsed="false">
      <c r="A620" s="5" t="s">
        <v>216</v>
      </c>
      <c r="B620" s="5" t="s">
        <v>169</v>
      </c>
      <c r="C620" s="5" t="n">
        <v>153</v>
      </c>
      <c r="D620" s="5" t="s">
        <v>1075</v>
      </c>
      <c r="E620" s="5" t="n">
        <v>7</v>
      </c>
      <c r="F620" s="20" t="n">
        <v>8.90475391374038</v>
      </c>
      <c r="G620" s="20" t="n">
        <f aca="false">9-F620</f>
        <v>0.0952460862596247</v>
      </c>
      <c r="H620" s="20" t="n">
        <f aca="false">IF(G620&gt;=1,G620,0)</f>
        <v>0</v>
      </c>
      <c r="I620" s="5" t="s">
        <v>1076</v>
      </c>
      <c r="J620" s="5" t="s">
        <v>1094</v>
      </c>
    </row>
    <row r="621" customFormat="false" ht="15" hidden="false" customHeight="false" outlineLevel="0" collapsed="false">
      <c r="A621" s="5" t="s">
        <v>216</v>
      </c>
      <c r="B621" s="5" t="s">
        <v>169</v>
      </c>
      <c r="C621" s="5" t="n">
        <v>154</v>
      </c>
      <c r="D621" s="5" t="s">
        <v>1075</v>
      </c>
      <c r="E621" s="5" t="n">
        <v>7</v>
      </c>
      <c r="F621" s="20" t="n">
        <v>8.90475391374038</v>
      </c>
      <c r="G621" s="20" t="n">
        <f aca="false">9-F621</f>
        <v>0.0952460862596247</v>
      </c>
      <c r="H621" s="20" t="n">
        <f aca="false">IF(G621&gt;=1,G621,0)</f>
        <v>0</v>
      </c>
      <c r="I621" s="5" t="s">
        <v>1076</v>
      </c>
      <c r="J621" s="5" t="s">
        <v>1095</v>
      </c>
    </row>
    <row r="622" customFormat="false" ht="15" hidden="false" customHeight="false" outlineLevel="0" collapsed="false">
      <c r="A622" s="5" t="s">
        <v>216</v>
      </c>
      <c r="B622" s="5" t="s">
        <v>169</v>
      </c>
      <c r="C622" s="5" t="n">
        <v>155</v>
      </c>
      <c r="D622" s="5" t="s">
        <v>1075</v>
      </c>
      <c r="E622" s="5" t="n">
        <v>7</v>
      </c>
      <c r="F622" s="20" t="n">
        <v>8.90475391374038</v>
      </c>
      <c r="G622" s="20" t="n">
        <f aca="false">9-F622</f>
        <v>0.0952460862596247</v>
      </c>
      <c r="H622" s="20" t="n">
        <f aca="false">IF(G622&gt;=1,G622,0)</f>
        <v>0</v>
      </c>
      <c r="I622" s="5" t="s">
        <v>1076</v>
      </c>
      <c r="J622" s="5" t="s">
        <v>1096</v>
      </c>
    </row>
    <row r="623" customFormat="false" ht="15" hidden="false" customHeight="false" outlineLevel="0" collapsed="false">
      <c r="A623" s="5" t="s">
        <v>216</v>
      </c>
      <c r="B623" s="5" t="s">
        <v>169</v>
      </c>
      <c r="C623" s="5" t="n">
        <v>156</v>
      </c>
      <c r="D623" s="5" t="s">
        <v>1075</v>
      </c>
      <c r="E623" s="5" t="n">
        <v>7</v>
      </c>
      <c r="F623" s="20" t="n">
        <v>8.90475391374038</v>
      </c>
      <c r="G623" s="20" t="n">
        <f aca="false">9-F623</f>
        <v>0.0952460862596247</v>
      </c>
      <c r="H623" s="20" t="n">
        <f aca="false">IF(G623&gt;=1,G623,0)</f>
        <v>0</v>
      </c>
      <c r="I623" s="5" t="s">
        <v>1076</v>
      </c>
      <c r="J623" s="5" t="s">
        <v>1097</v>
      </c>
    </row>
    <row r="624" customFormat="false" ht="15" hidden="false" customHeight="false" outlineLevel="0" collapsed="false">
      <c r="A624" s="5" t="s">
        <v>216</v>
      </c>
      <c r="B624" s="5" t="s">
        <v>169</v>
      </c>
      <c r="C624" s="5" t="n">
        <v>157</v>
      </c>
      <c r="D624" s="5" t="s">
        <v>1075</v>
      </c>
      <c r="E624" s="5" t="n">
        <v>7</v>
      </c>
      <c r="F624" s="20" t="n">
        <v>8.90475391374038</v>
      </c>
      <c r="G624" s="20" t="n">
        <f aca="false">9-F624</f>
        <v>0.0952460862596247</v>
      </c>
      <c r="H624" s="20" t="n">
        <f aca="false">IF(G624&gt;=1,G624,0)</f>
        <v>0</v>
      </c>
      <c r="I624" s="5" t="s">
        <v>1076</v>
      </c>
      <c r="J624" s="5" t="s">
        <v>1098</v>
      </c>
    </row>
    <row r="625" customFormat="false" ht="15" hidden="false" customHeight="false" outlineLevel="0" collapsed="false">
      <c r="A625" s="5" t="s">
        <v>216</v>
      </c>
      <c r="B625" s="5" t="s">
        <v>169</v>
      </c>
      <c r="C625" s="5" t="n">
        <v>158</v>
      </c>
      <c r="D625" s="5" t="s">
        <v>1075</v>
      </c>
      <c r="E625" s="5" t="n">
        <v>7</v>
      </c>
      <c r="F625" s="20" t="n">
        <v>8.90475391374037</v>
      </c>
      <c r="G625" s="20" t="n">
        <f aca="false">9-F625</f>
        <v>0.0952460862596265</v>
      </c>
      <c r="H625" s="20" t="n">
        <f aca="false">IF(G625&gt;=1,G625,0)</f>
        <v>0</v>
      </c>
      <c r="I625" s="5" t="s">
        <v>1076</v>
      </c>
      <c r="J625" s="5" t="s">
        <v>1099</v>
      </c>
    </row>
    <row r="626" customFormat="false" ht="15" hidden="false" customHeight="false" outlineLevel="0" collapsed="false">
      <c r="A626" s="5" t="s">
        <v>216</v>
      </c>
      <c r="B626" s="5" t="s">
        <v>169</v>
      </c>
      <c r="C626" s="5" t="n">
        <v>159</v>
      </c>
      <c r="D626" s="5" t="s">
        <v>1075</v>
      </c>
      <c r="E626" s="5" t="n">
        <v>7</v>
      </c>
      <c r="F626" s="20" t="n">
        <v>8.90475391374037</v>
      </c>
      <c r="G626" s="20" t="n">
        <f aca="false">9-F626</f>
        <v>0.0952460862596265</v>
      </c>
      <c r="H626" s="20" t="n">
        <f aca="false">IF(G626&gt;=1,G626,0)</f>
        <v>0</v>
      </c>
      <c r="I626" s="5" t="s">
        <v>1076</v>
      </c>
      <c r="J626" s="5" t="s">
        <v>1100</v>
      </c>
    </row>
    <row r="627" customFormat="false" ht="15" hidden="false" customHeight="false" outlineLevel="0" collapsed="false">
      <c r="A627" s="5" t="s">
        <v>216</v>
      </c>
      <c r="B627" s="5" t="s">
        <v>169</v>
      </c>
      <c r="C627" s="5" t="n">
        <v>160</v>
      </c>
      <c r="D627" s="5" t="s">
        <v>1075</v>
      </c>
      <c r="E627" s="5" t="n">
        <v>7</v>
      </c>
      <c r="F627" s="20" t="n">
        <v>8.90475391374037</v>
      </c>
      <c r="G627" s="20" t="n">
        <f aca="false">9-F627</f>
        <v>0.0952460862596265</v>
      </c>
      <c r="H627" s="20" t="n">
        <f aca="false">IF(G627&gt;=1,G627,0)</f>
        <v>0</v>
      </c>
      <c r="I627" s="5" t="s">
        <v>1076</v>
      </c>
      <c r="J627" s="5" t="s">
        <v>1101</v>
      </c>
    </row>
    <row r="628" customFormat="false" ht="15" hidden="false" customHeight="false" outlineLevel="0" collapsed="false">
      <c r="A628" s="5" t="s">
        <v>216</v>
      </c>
      <c r="B628" s="5" t="s">
        <v>169</v>
      </c>
      <c r="C628" s="5" t="n">
        <v>161</v>
      </c>
      <c r="D628" s="5" t="s">
        <v>1075</v>
      </c>
      <c r="E628" s="5" t="n">
        <v>7</v>
      </c>
      <c r="F628" s="20" t="n">
        <v>8.90475391374037</v>
      </c>
      <c r="G628" s="20" t="n">
        <f aca="false">9-F628</f>
        <v>0.0952460862596265</v>
      </c>
      <c r="H628" s="20" t="n">
        <f aca="false">IF(G628&gt;=1,G628,0)</f>
        <v>0</v>
      </c>
      <c r="I628" s="5" t="s">
        <v>1076</v>
      </c>
      <c r="J628" s="5" t="s">
        <v>1102</v>
      </c>
    </row>
    <row r="629" customFormat="false" ht="15" hidden="false" customHeight="false" outlineLevel="0" collapsed="false">
      <c r="A629" s="5" t="s">
        <v>216</v>
      </c>
      <c r="B629" s="5" t="s">
        <v>169</v>
      </c>
      <c r="C629" s="5" t="n">
        <v>162</v>
      </c>
      <c r="D629" s="5" t="s">
        <v>1075</v>
      </c>
      <c r="E629" s="5" t="n">
        <v>7</v>
      </c>
      <c r="F629" s="20" t="n">
        <v>8.90475391374037</v>
      </c>
      <c r="G629" s="20" t="n">
        <f aca="false">9-F629</f>
        <v>0.0952460862596265</v>
      </c>
      <c r="H629" s="20" t="n">
        <f aca="false">IF(G629&gt;=1,G629,0)</f>
        <v>0</v>
      </c>
      <c r="I629" s="5" t="s">
        <v>1076</v>
      </c>
      <c r="J629" s="5" t="s">
        <v>1103</v>
      </c>
    </row>
    <row r="630" customFormat="false" ht="15" hidden="false" customHeight="false" outlineLevel="0" collapsed="false">
      <c r="A630" s="5" t="s">
        <v>216</v>
      </c>
      <c r="B630" s="5" t="s">
        <v>169</v>
      </c>
      <c r="C630" s="5" t="n">
        <v>163</v>
      </c>
      <c r="D630" s="5" t="s">
        <v>1075</v>
      </c>
      <c r="E630" s="5" t="n">
        <v>7</v>
      </c>
      <c r="F630" s="20" t="n">
        <v>8.90475391374037</v>
      </c>
      <c r="G630" s="20" t="n">
        <f aca="false">9-F630</f>
        <v>0.0952460862596265</v>
      </c>
      <c r="H630" s="20" t="n">
        <f aca="false">IF(G630&gt;=1,G630,0)</f>
        <v>0</v>
      </c>
      <c r="I630" s="5" t="s">
        <v>1076</v>
      </c>
      <c r="J630" s="5" t="s">
        <v>1104</v>
      </c>
    </row>
    <row r="631" customFormat="false" ht="15" hidden="false" customHeight="false" outlineLevel="0" collapsed="false">
      <c r="A631" s="5" t="s">
        <v>216</v>
      </c>
      <c r="B631" s="5" t="s">
        <v>169</v>
      </c>
      <c r="C631" s="5" t="n">
        <v>164</v>
      </c>
      <c r="D631" s="5" t="s">
        <v>1075</v>
      </c>
      <c r="E631" s="5" t="n">
        <v>7</v>
      </c>
      <c r="F631" s="20" t="n">
        <v>8.90475391374037</v>
      </c>
      <c r="G631" s="20" t="n">
        <f aca="false">9-F631</f>
        <v>0.0952460862596283</v>
      </c>
      <c r="H631" s="20" t="n">
        <f aca="false">IF(G631&gt;=1,G631,0)</f>
        <v>0</v>
      </c>
      <c r="I631" s="5" t="s">
        <v>1076</v>
      </c>
      <c r="J631" s="5" t="s">
        <v>1105</v>
      </c>
    </row>
    <row r="632" customFormat="false" ht="15" hidden="false" customHeight="false" outlineLevel="0" collapsed="false">
      <c r="A632" s="5" t="s">
        <v>216</v>
      </c>
      <c r="B632" s="5" t="s">
        <v>169</v>
      </c>
      <c r="C632" s="5" t="n">
        <v>165</v>
      </c>
      <c r="D632" s="5" t="s">
        <v>1075</v>
      </c>
      <c r="E632" s="5" t="n">
        <v>7</v>
      </c>
      <c r="F632" s="20" t="n">
        <v>8.90475391374037</v>
      </c>
      <c r="G632" s="20" t="n">
        <f aca="false">9-F632</f>
        <v>0.0952460862596301</v>
      </c>
      <c r="H632" s="20" t="n">
        <f aca="false">IF(G632&gt;=1,G632,0)</f>
        <v>0</v>
      </c>
      <c r="I632" s="5" t="s">
        <v>1076</v>
      </c>
      <c r="J632" s="5" t="s">
        <v>1106</v>
      </c>
    </row>
    <row r="633" customFormat="false" ht="15" hidden="false" customHeight="false" outlineLevel="0" collapsed="false">
      <c r="A633" s="5" t="s">
        <v>216</v>
      </c>
      <c r="B633" s="5" t="s">
        <v>169</v>
      </c>
      <c r="C633" s="5" t="n">
        <v>166</v>
      </c>
      <c r="D633" s="5" t="s">
        <v>1075</v>
      </c>
      <c r="E633" s="5" t="n">
        <v>7</v>
      </c>
      <c r="F633" s="20" t="n">
        <v>8.90475391374037</v>
      </c>
      <c r="G633" s="20" t="n">
        <f aca="false">9-F633</f>
        <v>0.0952460862596301</v>
      </c>
      <c r="H633" s="20" t="n">
        <f aca="false">IF(G633&gt;=1,G633,0)</f>
        <v>0</v>
      </c>
      <c r="I633" s="5" t="s">
        <v>1076</v>
      </c>
      <c r="J633" s="5" t="s">
        <v>1106</v>
      </c>
    </row>
    <row r="634" customFormat="false" ht="15" hidden="false" customHeight="false" outlineLevel="0" collapsed="false">
      <c r="A634" s="5" t="s">
        <v>216</v>
      </c>
      <c r="B634" s="5" t="s">
        <v>169</v>
      </c>
      <c r="C634" s="5" t="n">
        <v>167</v>
      </c>
      <c r="D634" s="5" t="s">
        <v>1075</v>
      </c>
      <c r="E634" s="5" t="n">
        <v>7</v>
      </c>
      <c r="F634" s="20" t="n">
        <v>8.90475391374037</v>
      </c>
      <c r="G634" s="20" t="n">
        <f aca="false">9-F634</f>
        <v>0.0952460862596318</v>
      </c>
      <c r="H634" s="20" t="n">
        <f aca="false">IF(G634&gt;=1,G634,0)</f>
        <v>0</v>
      </c>
      <c r="I634" s="5" t="s">
        <v>1076</v>
      </c>
      <c r="J634" s="5" t="s">
        <v>1107</v>
      </c>
    </row>
    <row r="635" customFormat="false" ht="15" hidden="false" customHeight="false" outlineLevel="0" collapsed="false">
      <c r="A635" s="5" t="s">
        <v>216</v>
      </c>
      <c r="B635" s="5" t="s">
        <v>169</v>
      </c>
      <c r="C635" s="5" t="n">
        <v>168</v>
      </c>
      <c r="D635" s="5" t="s">
        <v>1075</v>
      </c>
      <c r="E635" s="5" t="n">
        <v>7</v>
      </c>
      <c r="F635" s="20" t="n">
        <v>8.90475391374037</v>
      </c>
      <c r="G635" s="20" t="n">
        <f aca="false">9-F635</f>
        <v>0.0952460862596318</v>
      </c>
      <c r="H635" s="20" t="n">
        <f aca="false">IF(G635&gt;=1,G635,0)</f>
        <v>0</v>
      </c>
      <c r="I635" s="5" t="s">
        <v>1076</v>
      </c>
      <c r="J635" s="5" t="s">
        <v>1108</v>
      </c>
    </row>
    <row r="636" customFormat="false" ht="15" hidden="false" customHeight="false" outlineLevel="0" collapsed="false">
      <c r="A636" s="5" t="s">
        <v>216</v>
      </c>
      <c r="B636" s="5" t="s">
        <v>169</v>
      </c>
      <c r="C636" s="5" t="n">
        <v>169</v>
      </c>
      <c r="D636" s="5" t="s">
        <v>1075</v>
      </c>
      <c r="E636" s="5" t="n">
        <v>7</v>
      </c>
      <c r="F636" s="20" t="n">
        <v>8.90475391374037</v>
      </c>
      <c r="G636" s="20" t="n">
        <f aca="false">9-F636</f>
        <v>0.0952460862596318</v>
      </c>
      <c r="H636" s="20" t="n">
        <f aca="false">IF(G636&gt;=1,G636,0)</f>
        <v>0</v>
      </c>
      <c r="I636" s="5" t="s">
        <v>1076</v>
      </c>
      <c r="J636" s="5" t="s">
        <v>1109</v>
      </c>
    </row>
    <row r="637" customFormat="false" ht="15" hidden="false" customHeight="false" outlineLevel="0" collapsed="false">
      <c r="A637" s="5" t="s">
        <v>216</v>
      </c>
      <c r="B637" s="5" t="s">
        <v>169</v>
      </c>
      <c r="C637" s="5" t="n">
        <v>170</v>
      </c>
      <c r="D637" s="5" t="s">
        <v>1075</v>
      </c>
      <c r="E637" s="5" t="n">
        <v>7</v>
      </c>
      <c r="F637" s="20" t="n">
        <v>8.90475391374037</v>
      </c>
      <c r="G637" s="20" t="n">
        <f aca="false">9-F637</f>
        <v>0.0952460862596318</v>
      </c>
      <c r="H637" s="20" t="n">
        <f aca="false">IF(G637&gt;=1,G637,0)</f>
        <v>0</v>
      </c>
      <c r="I637" s="5" t="s">
        <v>1076</v>
      </c>
      <c r="J637" s="5" t="s">
        <v>1110</v>
      </c>
    </row>
    <row r="638" customFormat="false" ht="15" hidden="false" customHeight="false" outlineLevel="0" collapsed="false">
      <c r="A638" s="5" t="s">
        <v>216</v>
      </c>
      <c r="B638" s="5" t="s">
        <v>169</v>
      </c>
      <c r="C638" s="5" t="n">
        <v>171</v>
      </c>
      <c r="D638" s="5" t="s">
        <v>1075</v>
      </c>
      <c r="E638" s="5" t="n">
        <v>7</v>
      </c>
      <c r="F638" s="20" t="n">
        <v>8.90475391374037</v>
      </c>
      <c r="G638" s="20" t="n">
        <f aca="false">9-F638</f>
        <v>0.0952460862596318</v>
      </c>
      <c r="H638" s="20" t="n">
        <f aca="false">IF(G638&gt;=1,G638,0)</f>
        <v>0</v>
      </c>
      <c r="I638" s="5" t="s">
        <v>1076</v>
      </c>
      <c r="J638" s="5" t="s">
        <v>1111</v>
      </c>
    </row>
    <row r="639" customFormat="false" ht="15" hidden="false" customHeight="false" outlineLevel="0" collapsed="false">
      <c r="A639" s="5" t="s">
        <v>216</v>
      </c>
      <c r="B639" s="5" t="s">
        <v>169</v>
      </c>
      <c r="C639" s="5" t="n">
        <v>172</v>
      </c>
      <c r="D639" s="5" t="s">
        <v>1075</v>
      </c>
      <c r="E639" s="5" t="n">
        <v>7</v>
      </c>
      <c r="F639" s="20" t="n">
        <v>8.90475391374037</v>
      </c>
      <c r="G639" s="20" t="n">
        <f aca="false">9-F639</f>
        <v>0.0952460862596318</v>
      </c>
      <c r="H639" s="20" t="n">
        <f aca="false">IF(G639&gt;=1,G639,0)</f>
        <v>0</v>
      </c>
      <c r="I639" s="5" t="s">
        <v>1076</v>
      </c>
      <c r="J639" s="5" t="s">
        <v>1112</v>
      </c>
    </row>
    <row r="640" customFormat="false" ht="15" hidden="false" customHeight="false" outlineLevel="0" collapsed="false">
      <c r="A640" s="5" t="s">
        <v>216</v>
      </c>
      <c r="B640" s="5" t="s">
        <v>169</v>
      </c>
      <c r="C640" s="5" t="n">
        <v>173</v>
      </c>
      <c r="D640" s="5" t="s">
        <v>1075</v>
      </c>
      <c r="E640" s="5" t="n">
        <v>7</v>
      </c>
      <c r="F640" s="20" t="n">
        <v>8.90475391374037</v>
      </c>
      <c r="G640" s="20" t="n">
        <f aca="false">9-F640</f>
        <v>0.0952460862596318</v>
      </c>
      <c r="H640" s="20" t="n">
        <f aca="false">IF(G640&gt;=1,G640,0)</f>
        <v>0</v>
      </c>
      <c r="I640" s="5" t="s">
        <v>1076</v>
      </c>
      <c r="J640" s="5" t="s">
        <v>1113</v>
      </c>
    </row>
    <row r="641" customFormat="false" ht="15" hidden="false" customHeight="false" outlineLevel="0" collapsed="false">
      <c r="A641" s="5" t="s">
        <v>216</v>
      </c>
      <c r="B641" s="5" t="s">
        <v>169</v>
      </c>
      <c r="C641" s="5" t="n">
        <v>174</v>
      </c>
      <c r="D641" s="5" t="s">
        <v>1075</v>
      </c>
      <c r="E641" s="5" t="n">
        <v>7</v>
      </c>
      <c r="F641" s="20" t="n">
        <v>8.90475391374037</v>
      </c>
      <c r="G641" s="20" t="n">
        <f aca="false">9-F641</f>
        <v>0.0952460862596318</v>
      </c>
      <c r="H641" s="20" t="n">
        <f aca="false">IF(G641&gt;=1,G641,0)</f>
        <v>0</v>
      </c>
      <c r="I641" s="5" t="s">
        <v>1076</v>
      </c>
      <c r="J641" s="5" t="s">
        <v>1114</v>
      </c>
    </row>
    <row r="642" customFormat="false" ht="15" hidden="false" customHeight="false" outlineLevel="0" collapsed="false">
      <c r="A642" s="5" t="s">
        <v>216</v>
      </c>
      <c r="B642" s="5" t="s">
        <v>169</v>
      </c>
      <c r="C642" s="5" t="n">
        <v>175</v>
      </c>
      <c r="D642" s="5" t="s">
        <v>1075</v>
      </c>
      <c r="E642" s="5" t="n">
        <v>7</v>
      </c>
      <c r="F642" s="20" t="n">
        <v>8.90475391374037</v>
      </c>
      <c r="G642" s="20" t="n">
        <f aca="false">9-F642</f>
        <v>0.0952460862596318</v>
      </c>
      <c r="H642" s="20" t="n">
        <f aca="false">IF(G642&gt;=1,G642,0)</f>
        <v>0</v>
      </c>
      <c r="I642" s="5" t="s">
        <v>1076</v>
      </c>
      <c r="J642" s="5" t="s">
        <v>1115</v>
      </c>
    </row>
    <row r="643" customFormat="false" ht="15" hidden="false" customHeight="false" outlineLevel="0" collapsed="false">
      <c r="A643" s="5" t="s">
        <v>216</v>
      </c>
      <c r="B643" s="5" t="s">
        <v>169</v>
      </c>
      <c r="C643" s="5" t="n">
        <v>176</v>
      </c>
      <c r="D643" s="5" t="s">
        <v>1075</v>
      </c>
      <c r="E643" s="5" t="n">
        <v>7</v>
      </c>
      <c r="F643" s="20" t="n">
        <v>8.90475391374037</v>
      </c>
      <c r="G643" s="20" t="n">
        <f aca="false">9-F643</f>
        <v>0.0952460862596336</v>
      </c>
      <c r="H643" s="20" t="n">
        <f aca="false">IF(G643&gt;=1,G643,0)</f>
        <v>0</v>
      </c>
      <c r="I643" s="5" t="s">
        <v>1076</v>
      </c>
      <c r="J643" s="5" t="s">
        <v>1116</v>
      </c>
    </row>
    <row r="644" customFormat="false" ht="15" hidden="false" customHeight="false" outlineLevel="0" collapsed="false">
      <c r="A644" s="5" t="s">
        <v>216</v>
      </c>
      <c r="B644" s="5" t="s">
        <v>169</v>
      </c>
      <c r="C644" s="5" t="n">
        <v>177</v>
      </c>
      <c r="D644" s="5" t="s">
        <v>1075</v>
      </c>
      <c r="E644" s="5" t="n">
        <v>7</v>
      </c>
      <c r="F644" s="20" t="n">
        <v>8.90475391374036</v>
      </c>
      <c r="G644" s="20" t="n">
        <f aca="false">9-F644</f>
        <v>0.0952460862596407</v>
      </c>
      <c r="H644" s="20" t="n">
        <f aca="false">IF(G644&gt;=1,G644,0)</f>
        <v>0</v>
      </c>
      <c r="I644" s="5" t="s">
        <v>1076</v>
      </c>
      <c r="J644" s="5" t="s">
        <v>1117</v>
      </c>
    </row>
    <row r="645" customFormat="false" ht="15" hidden="false" customHeight="false" outlineLevel="0" collapsed="false">
      <c r="A645" s="5" t="s">
        <v>216</v>
      </c>
      <c r="B645" s="5" t="s">
        <v>169</v>
      </c>
      <c r="C645" s="5" t="n">
        <v>178</v>
      </c>
      <c r="D645" s="5" t="s">
        <v>1075</v>
      </c>
      <c r="E645" s="5" t="n">
        <v>7</v>
      </c>
      <c r="F645" s="20" t="n">
        <v>8.90475391374036</v>
      </c>
      <c r="G645" s="20" t="n">
        <f aca="false">9-F645</f>
        <v>0.0952460862596407</v>
      </c>
      <c r="H645" s="20" t="n">
        <f aca="false">IF(G645&gt;=1,G645,0)</f>
        <v>0</v>
      </c>
      <c r="I645" s="5" t="s">
        <v>1076</v>
      </c>
      <c r="J645" s="5" t="s">
        <v>1117</v>
      </c>
    </row>
    <row r="646" customFormat="false" ht="15" hidden="false" customHeight="false" outlineLevel="0" collapsed="false">
      <c r="A646" s="5" t="s">
        <v>216</v>
      </c>
      <c r="B646" s="5" t="s">
        <v>169</v>
      </c>
      <c r="C646" s="5" t="n">
        <v>179</v>
      </c>
      <c r="D646" s="5" t="s">
        <v>1075</v>
      </c>
      <c r="E646" s="5" t="n">
        <v>7</v>
      </c>
      <c r="F646" s="20" t="n">
        <v>8.90475391374036</v>
      </c>
      <c r="G646" s="20" t="n">
        <f aca="false">9-F646</f>
        <v>0.0952460862596407</v>
      </c>
      <c r="H646" s="20" t="n">
        <f aca="false">IF(G646&gt;=1,G646,0)</f>
        <v>0</v>
      </c>
      <c r="I646" s="5" t="s">
        <v>1076</v>
      </c>
      <c r="J646" s="5" t="s">
        <v>1118</v>
      </c>
    </row>
    <row r="647" customFormat="false" ht="15" hidden="false" customHeight="false" outlineLevel="0" collapsed="false">
      <c r="A647" s="5" t="s">
        <v>216</v>
      </c>
      <c r="B647" s="5" t="s">
        <v>169</v>
      </c>
      <c r="C647" s="5" t="n">
        <v>180</v>
      </c>
      <c r="D647" s="5" t="s">
        <v>1075</v>
      </c>
      <c r="E647" s="5" t="n">
        <v>7</v>
      </c>
      <c r="F647" s="20" t="n">
        <v>8.90475391374036</v>
      </c>
      <c r="G647" s="20" t="n">
        <f aca="false">9-F647</f>
        <v>0.0952460862596407</v>
      </c>
      <c r="H647" s="20" t="n">
        <f aca="false">IF(G647&gt;=1,G647,0)</f>
        <v>0</v>
      </c>
      <c r="I647" s="5" t="s">
        <v>1076</v>
      </c>
      <c r="J647" s="5" t="s">
        <v>1118</v>
      </c>
    </row>
    <row r="648" customFormat="false" ht="15" hidden="false" customHeight="false" outlineLevel="0" collapsed="false">
      <c r="A648" s="5" t="s">
        <v>216</v>
      </c>
      <c r="B648" s="5" t="s">
        <v>169</v>
      </c>
      <c r="C648" s="5" t="n">
        <v>181</v>
      </c>
      <c r="D648" s="5" t="s">
        <v>1075</v>
      </c>
      <c r="E648" s="5" t="n">
        <v>7</v>
      </c>
      <c r="F648" s="20" t="n">
        <v>8.90475391374036</v>
      </c>
      <c r="G648" s="20" t="n">
        <f aca="false">9-F648</f>
        <v>0.0952460862596407</v>
      </c>
      <c r="H648" s="20" t="n">
        <f aca="false">IF(G648&gt;=1,G648,0)</f>
        <v>0</v>
      </c>
      <c r="I648" s="5" t="s">
        <v>1076</v>
      </c>
      <c r="J648" s="5" t="s">
        <v>1119</v>
      </c>
    </row>
    <row r="649" customFormat="false" ht="15" hidden="false" customHeight="false" outlineLevel="0" collapsed="false">
      <c r="A649" s="5" t="s">
        <v>216</v>
      </c>
      <c r="B649" s="5" t="s">
        <v>169</v>
      </c>
      <c r="C649" s="5" t="n">
        <v>182</v>
      </c>
      <c r="D649" s="5" t="s">
        <v>1075</v>
      </c>
      <c r="E649" s="5" t="n">
        <v>7</v>
      </c>
      <c r="F649" s="20" t="n">
        <v>8.90475391374036</v>
      </c>
      <c r="G649" s="20" t="n">
        <f aca="false">9-F649</f>
        <v>0.0952460862596407</v>
      </c>
      <c r="H649" s="20" t="n">
        <f aca="false">IF(G649&gt;=1,G649,0)</f>
        <v>0</v>
      </c>
      <c r="I649" s="5" t="s">
        <v>1076</v>
      </c>
      <c r="J649" s="5" t="s">
        <v>1120</v>
      </c>
    </row>
    <row r="650" customFormat="false" ht="15" hidden="false" customHeight="false" outlineLevel="0" collapsed="false">
      <c r="A650" s="5" t="s">
        <v>216</v>
      </c>
      <c r="B650" s="5" t="s">
        <v>169</v>
      </c>
      <c r="C650" s="5" t="n">
        <v>183</v>
      </c>
      <c r="D650" s="5" t="s">
        <v>1075</v>
      </c>
      <c r="E650" s="5" t="n">
        <v>7</v>
      </c>
      <c r="F650" s="20" t="n">
        <v>8.90475391374036</v>
      </c>
      <c r="G650" s="20" t="n">
        <f aca="false">9-F650</f>
        <v>0.0952460862596407</v>
      </c>
      <c r="H650" s="20" t="n">
        <f aca="false">IF(G650&gt;=1,G650,0)</f>
        <v>0</v>
      </c>
      <c r="I650" s="5" t="s">
        <v>1076</v>
      </c>
      <c r="J650" s="5" t="s">
        <v>1120</v>
      </c>
    </row>
    <row r="651" customFormat="false" ht="15" hidden="false" customHeight="false" outlineLevel="0" collapsed="false">
      <c r="A651" s="5" t="s">
        <v>216</v>
      </c>
      <c r="B651" s="5" t="s">
        <v>169</v>
      </c>
      <c r="C651" s="5" t="n">
        <v>184</v>
      </c>
      <c r="D651" s="5" t="s">
        <v>1075</v>
      </c>
      <c r="E651" s="5" t="n">
        <v>7</v>
      </c>
      <c r="F651" s="20" t="n">
        <v>8.90475391374036</v>
      </c>
      <c r="G651" s="20" t="n">
        <f aca="false">9-F651</f>
        <v>0.0952460862596407</v>
      </c>
      <c r="H651" s="20" t="n">
        <f aca="false">IF(G651&gt;=1,G651,0)</f>
        <v>0</v>
      </c>
      <c r="I651" s="5" t="s">
        <v>1076</v>
      </c>
      <c r="J651" s="5" t="s">
        <v>1121</v>
      </c>
    </row>
    <row r="652" customFormat="false" ht="15" hidden="false" customHeight="false" outlineLevel="0" collapsed="false">
      <c r="A652" s="5" t="s">
        <v>216</v>
      </c>
      <c r="B652" s="5" t="s">
        <v>169</v>
      </c>
      <c r="C652" s="5" t="n">
        <v>185</v>
      </c>
      <c r="D652" s="5" t="s">
        <v>1075</v>
      </c>
      <c r="E652" s="5" t="n">
        <v>7</v>
      </c>
      <c r="F652" s="20" t="n">
        <v>8.90475391374036</v>
      </c>
      <c r="G652" s="20" t="n">
        <f aca="false">9-F652</f>
        <v>0.0952460862596407</v>
      </c>
      <c r="H652" s="20" t="n">
        <f aca="false">IF(G652&gt;=1,G652,0)</f>
        <v>0</v>
      </c>
      <c r="I652" s="5" t="s">
        <v>1076</v>
      </c>
      <c r="J652" s="5" t="s">
        <v>1122</v>
      </c>
    </row>
    <row r="653" customFormat="false" ht="15" hidden="false" customHeight="false" outlineLevel="0" collapsed="false">
      <c r="A653" s="5" t="s">
        <v>216</v>
      </c>
      <c r="B653" s="5" t="s">
        <v>169</v>
      </c>
      <c r="C653" s="5" t="n">
        <v>186</v>
      </c>
      <c r="D653" s="5" t="s">
        <v>1075</v>
      </c>
      <c r="E653" s="5" t="n">
        <v>7</v>
      </c>
      <c r="F653" s="20" t="n">
        <v>8.90475391374036</v>
      </c>
      <c r="G653" s="20" t="n">
        <f aca="false">9-F653</f>
        <v>0.0952460862596407</v>
      </c>
      <c r="H653" s="20" t="n">
        <f aca="false">IF(G653&gt;=1,G653,0)</f>
        <v>0</v>
      </c>
      <c r="I653" s="5" t="s">
        <v>1076</v>
      </c>
      <c r="J653" s="5" t="s">
        <v>1122</v>
      </c>
    </row>
    <row r="654" customFormat="false" ht="15" hidden="false" customHeight="false" outlineLevel="0" collapsed="false">
      <c r="A654" s="5" t="s">
        <v>216</v>
      </c>
      <c r="B654" s="5" t="s">
        <v>169</v>
      </c>
      <c r="C654" s="5" t="n">
        <v>187</v>
      </c>
      <c r="D654" s="5" t="s">
        <v>1075</v>
      </c>
      <c r="E654" s="5" t="n">
        <v>7</v>
      </c>
      <c r="F654" s="20" t="n">
        <v>8.90475391374036</v>
      </c>
      <c r="G654" s="20" t="n">
        <f aca="false">9-F654</f>
        <v>0.0952460862596407</v>
      </c>
      <c r="H654" s="20" t="n">
        <f aca="false">IF(G654&gt;=1,G654,0)</f>
        <v>0</v>
      </c>
      <c r="I654" s="5" t="s">
        <v>1076</v>
      </c>
      <c r="J654" s="5" t="s">
        <v>1123</v>
      </c>
    </row>
    <row r="655" customFormat="false" ht="15" hidden="false" customHeight="false" outlineLevel="0" collapsed="false">
      <c r="A655" s="5" t="s">
        <v>216</v>
      </c>
      <c r="B655" s="5" t="s">
        <v>169</v>
      </c>
      <c r="C655" s="5" t="n">
        <v>188</v>
      </c>
      <c r="D655" s="5" t="s">
        <v>1075</v>
      </c>
      <c r="E655" s="5" t="n">
        <v>7</v>
      </c>
      <c r="F655" s="20" t="n">
        <v>8.90475391374036</v>
      </c>
      <c r="G655" s="20" t="n">
        <f aca="false">9-F655</f>
        <v>0.0952460862596407</v>
      </c>
      <c r="H655" s="20" t="n">
        <f aca="false">IF(G655&gt;=1,G655,0)</f>
        <v>0</v>
      </c>
      <c r="I655" s="5" t="s">
        <v>1076</v>
      </c>
      <c r="J655" s="5" t="s">
        <v>1123</v>
      </c>
    </row>
    <row r="656" customFormat="false" ht="15" hidden="false" customHeight="false" outlineLevel="0" collapsed="false">
      <c r="A656" s="5" t="s">
        <v>216</v>
      </c>
      <c r="B656" s="5" t="s">
        <v>169</v>
      </c>
      <c r="C656" s="5" t="n">
        <v>189</v>
      </c>
      <c r="D656" s="5" t="s">
        <v>1075</v>
      </c>
      <c r="E656" s="5" t="n">
        <v>7</v>
      </c>
      <c r="F656" s="20" t="n">
        <v>8.90475391374036</v>
      </c>
      <c r="G656" s="20" t="n">
        <f aca="false">9-F656</f>
        <v>0.0952460862596425</v>
      </c>
      <c r="H656" s="20" t="n">
        <f aca="false">IF(G656&gt;=1,G656,0)</f>
        <v>0</v>
      </c>
      <c r="I656" s="5" t="s">
        <v>1076</v>
      </c>
      <c r="J656" s="5" t="s">
        <v>1124</v>
      </c>
    </row>
    <row r="657" customFormat="false" ht="15" hidden="false" customHeight="false" outlineLevel="0" collapsed="false">
      <c r="A657" s="5" t="s">
        <v>216</v>
      </c>
      <c r="B657" s="5" t="s">
        <v>169</v>
      </c>
      <c r="C657" s="5" t="n">
        <v>190</v>
      </c>
      <c r="D657" s="5" t="s">
        <v>1075</v>
      </c>
      <c r="E657" s="5" t="n">
        <v>7</v>
      </c>
      <c r="F657" s="20" t="n">
        <v>8.90475391374036</v>
      </c>
      <c r="G657" s="20" t="n">
        <f aca="false">9-F657</f>
        <v>0.0952460862596425</v>
      </c>
      <c r="H657" s="20" t="n">
        <f aca="false">IF(G657&gt;=1,G657,0)</f>
        <v>0</v>
      </c>
      <c r="I657" s="5" t="s">
        <v>1076</v>
      </c>
      <c r="J657" s="5" t="s">
        <v>1125</v>
      </c>
    </row>
    <row r="658" customFormat="false" ht="15" hidden="false" customHeight="false" outlineLevel="0" collapsed="false">
      <c r="A658" s="5" t="s">
        <v>216</v>
      </c>
      <c r="B658" s="5" t="s">
        <v>169</v>
      </c>
      <c r="C658" s="5" t="n">
        <v>191</v>
      </c>
      <c r="D658" s="5" t="s">
        <v>1075</v>
      </c>
      <c r="E658" s="5" t="n">
        <v>7</v>
      </c>
      <c r="F658" s="20" t="n">
        <v>8.90475391374036</v>
      </c>
      <c r="G658" s="20" t="n">
        <f aca="false">9-F658</f>
        <v>0.0952460862596425</v>
      </c>
      <c r="H658" s="20" t="n">
        <f aca="false">IF(G658&gt;=1,G658,0)</f>
        <v>0</v>
      </c>
      <c r="I658" s="5" t="s">
        <v>1076</v>
      </c>
      <c r="J658" s="5" t="s">
        <v>1126</v>
      </c>
    </row>
    <row r="659" customFormat="false" ht="15" hidden="false" customHeight="false" outlineLevel="0" collapsed="false">
      <c r="A659" s="5" t="s">
        <v>216</v>
      </c>
      <c r="B659" s="5" t="s">
        <v>169</v>
      </c>
      <c r="C659" s="5" t="n">
        <v>192</v>
      </c>
      <c r="D659" s="5" t="s">
        <v>1075</v>
      </c>
      <c r="E659" s="5" t="n">
        <v>7</v>
      </c>
      <c r="F659" s="20" t="n">
        <v>8.90475391374036</v>
      </c>
      <c r="G659" s="20" t="n">
        <f aca="false">9-F659</f>
        <v>0.0952460862596425</v>
      </c>
      <c r="H659" s="20" t="n">
        <f aca="false">IF(G659&gt;=1,G659,0)</f>
        <v>0</v>
      </c>
      <c r="I659" s="5" t="s">
        <v>1076</v>
      </c>
      <c r="J659" s="5" t="s">
        <v>1127</v>
      </c>
    </row>
    <row r="660" customFormat="false" ht="15" hidden="false" customHeight="false" outlineLevel="0" collapsed="false">
      <c r="A660" s="5" t="s">
        <v>216</v>
      </c>
      <c r="B660" s="5" t="s">
        <v>169</v>
      </c>
      <c r="C660" s="5" t="n">
        <v>193</v>
      </c>
      <c r="D660" s="5" t="s">
        <v>1075</v>
      </c>
      <c r="E660" s="5" t="n">
        <v>7</v>
      </c>
      <c r="F660" s="20" t="n">
        <v>8.90475391374036</v>
      </c>
      <c r="G660" s="20" t="n">
        <f aca="false">9-F660</f>
        <v>0.0952460862596425</v>
      </c>
      <c r="H660" s="20" t="n">
        <f aca="false">IF(G660&gt;=1,G660,0)</f>
        <v>0</v>
      </c>
      <c r="I660" s="5" t="s">
        <v>1076</v>
      </c>
      <c r="J660" s="5" t="s">
        <v>1128</v>
      </c>
    </row>
    <row r="661" customFormat="false" ht="15" hidden="false" customHeight="false" outlineLevel="0" collapsed="false">
      <c r="A661" s="5" t="s">
        <v>216</v>
      </c>
      <c r="B661" s="5" t="s">
        <v>169</v>
      </c>
      <c r="C661" s="5" t="n">
        <v>194</v>
      </c>
      <c r="D661" s="5" t="s">
        <v>1075</v>
      </c>
      <c r="E661" s="5" t="n">
        <v>7</v>
      </c>
      <c r="F661" s="20" t="n">
        <v>8.90475391374036</v>
      </c>
      <c r="G661" s="20" t="n">
        <f aca="false">9-F661</f>
        <v>0.0952460862596425</v>
      </c>
      <c r="H661" s="20" t="n">
        <f aca="false">IF(G661&gt;=1,G661,0)</f>
        <v>0</v>
      </c>
      <c r="I661" s="5" t="s">
        <v>1076</v>
      </c>
      <c r="J661" s="5" t="s">
        <v>1129</v>
      </c>
    </row>
    <row r="662" customFormat="false" ht="15" hidden="false" customHeight="false" outlineLevel="0" collapsed="false">
      <c r="A662" s="5" t="s">
        <v>216</v>
      </c>
      <c r="B662" s="5" t="s">
        <v>169</v>
      </c>
      <c r="C662" s="5" t="n">
        <v>195</v>
      </c>
      <c r="D662" s="5" t="s">
        <v>1075</v>
      </c>
      <c r="E662" s="5" t="n">
        <v>7</v>
      </c>
      <c r="F662" s="20" t="n">
        <v>8.90475391374036</v>
      </c>
      <c r="G662" s="20" t="n">
        <f aca="false">9-F662</f>
        <v>0.0952460862596425</v>
      </c>
      <c r="H662" s="20" t="n">
        <f aca="false">IF(G662&gt;=1,G662,0)</f>
        <v>0</v>
      </c>
      <c r="I662" s="5" t="s">
        <v>1076</v>
      </c>
      <c r="J662" s="5" t="s">
        <v>1130</v>
      </c>
    </row>
    <row r="663" customFormat="false" ht="15" hidden="false" customHeight="false" outlineLevel="0" collapsed="false">
      <c r="A663" s="5" t="s">
        <v>216</v>
      </c>
      <c r="B663" s="5" t="s">
        <v>169</v>
      </c>
      <c r="C663" s="5" t="n">
        <v>196</v>
      </c>
      <c r="D663" s="5" t="s">
        <v>1075</v>
      </c>
      <c r="E663" s="5" t="n">
        <v>7</v>
      </c>
      <c r="F663" s="20" t="n">
        <v>8.90475391374036</v>
      </c>
      <c r="G663" s="20" t="n">
        <f aca="false">9-F663</f>
        <v>0.0952460862596425</v>
      </c>
      <c r="H663" s="20" t="n">
        <f aca="false">IF(G663&gt;=1,G663,0)</f>
        <v>0</v>
      </c>
      <c r="I663" s="5" t="s">
        <v>1076</v>
      </c>
      <c r="J663" s="5" t="s">
        <v>1131</v>
      </c>
    </row>
    <row r="664" customFormat="false" ht="15" hidden="false" customHeight="false" outlineLevel="0" collapsed="false">
      <c r="A664" s="5" t="s">
        <v>216</v>
      </c>
      <c r="B664" s="5" t="s">
        <v>169</v>
      </c>
      <c r="C664" s="5" t="n">
        <v>197</v>
      </c>
      <c r="D664" s="5" t="s">
        <v>1075</v>
      </c>
      <c r="E664" s="5" t="n">
        <v>7</v>
      </c>
      <c r="F664" s="20" t="n">
        <v>8.90475391374036</v>
      </c>
      <c r="G664" s="20" t="n">
        <f aca="false">9-F664</f>
        <v>0.0952460862596425</v>
      </c>
      <c r="H664" s="20" t="n">
        <f aca="false">IF(G664&gt;=1,G664,0)</f>
        <v>0</v>
      </c>
      <c r="I664" s="5" t="s">
        <v>1076</v>
      </c>
      <c r="J664" s="5" t="s">
        <v>1132</v>
      </c>
    </row>
    <row r="665" customFormat="false" ht="15" hidden="false" customHeight="false" outlineLevel="0" collapsed="false">
      <c r="A665" s="5" t="s">
        <v>216</v>
      </c>
      <c r="B665" s="5" t="s">
        <v>169</v>
      </c>
      <c r="C665" s="5" t="n">
        <v>198</v>
      </c>
      <c r="D665" s="5" t="s">
        <v>1075</v>
      </c>
      <c r="E665" s="5" t="n">
        <v>7</v>
      </c>
      <c r="F665" s="20" t="n">
        <v>8.90475391374036</v>
      </c>
      <c r="G665" s="20" t="n">
        <f aca="false">9-F665</f>
        <v>0.0952460862596425</v>
      </c>
      <c r="H665" s="20" t="n">
        <f aca="false">IF(G665&gt;=1,G665,0)</f>
        <v>0</v>
      </c>
      <c r="I665" s="5" t="s">
        <v>1076</v>
      </c>
      <c r="J665" s="5" t="s">
        <v>1133</v>
      </c>
    </row>
    <row r="666" customFormat="false" ht="15" hidden="false" customHeight="false" outlineLevel="0" collapsed="false">
      <c r="A666" s="5" t="s">
        <v>216</v>
      </c>
      <c r="B666" s="5" t="s">
        <v>169</v>
      </c>
      <c r="C666" s="5" t="n">
        <v>199</v>
      </c>
      <c r="D666" s="5" t="s">
        <v>1075</v>
      </c>
      <c r="E666" s="5" t="n">
        <v>7</v>
      </c>
      <c r="F666" s="20" t="n">
        <v>8.90475391374036</v>
      </c>
      <c r="G666" s="20" t="n">
        <f aca="false">9-F666</f>
        <v>0.0952460862596425</v>
      </c>
      <c r="H666" s="20" t="n">
        <f aca="false">IF(G666&gt;=1,G666,0)</f>
        <v>0</v>
      </c>
      <c r="I666" s="5" t="s">
        <v>1076</v>
      </c>
      <c r="J666" s="5" t="s">
        <v>1134</v>
      </c>
    </row>
    <row r="667" customFormat="false" ht="15" hidden="false" customHeight="false" outlineLevel="0" collapsed="false">
      <c r="A667" s="5" t="s">
        <v>216</v>
      </c>
      <c r="B667" s="5" t="s">
        <v>169</v>
      </c>
      <c r="C667" s="5" t="n">
        <v>200</v>
      </c>
      <c r="D667" s="5" t="s">
        <v>1075</v>
      </c>
      <c r="E667" s="5" t="n">
        <v>7</v>
      </c>
      <c r="F667" s="20" t="n">
        <v>8.90475391374036</v>
      </c>
      <c r="G667" s="20" t="n">
        <f aca="false">9-F667</f>
        <v>0.0952460862596425</v>
      </c>
      <c r="H667" s="20" t="n">
        <f aca="false">IF(G667&gt;=1,G667,0)</f>
        <v>0</v>
      </c>
      <c r="I667" s="5" t="s">
        <v>1076</v>
      </c>
      <c r="J667" s="5" t="s">
        <v>1135</v>
      </c>
    </row>
    <row r="668" customFormat="false" ht="15" hidden="false" customHeight="false" outlineLevel="0" collapsed="false">
      <c r="A668" s="5" t="s">
        <v>216</v>
      </c>
      <c r="B668" s="5" t="s">
        <v>169</v>
      </c>
      <c r="C668" s="5" t="n">
        <v>201</v>
      </c>
      <c r="D668" s="5" t="s">
        <v>1075</v>
      </c>
      <c r="E668" s="5" t="n">
        <v>7</v>
      </c>
      <c r="F668" s="20" t="n">
        <v>8.90475391374036</v>
      </c>
      <c r="G668" s="20" t="n">
        <f aca="false">9-F668</f>
        <v>0.0952460862596425</v>
      </c>
      <c r="H668" s="20" t="n">
        <f aca="false">IF(G668&gt;=1,G668,0)</f>
        <v>0</v>
      </c>
      <c r="I668" s="5" t="s">
        <v>1076</v>
      </c>
      <c r="J668" s="5" t="s">
        <v>1136</v>
      </c>
    </row>
    <row r="669" customFormat="false" ht="15" hidden="false" customHeight="false" outlineLevel="0" collapsed="false">
      <c r="A669" s="5" t="s">
        <v>216</v>
      </c>
      <c r="B669" s="5" t="s">
        <v>169</v>
      </c>
      <c r="C669" s="5" t="n">
        <v>202</v>
      </c>
      <c r="D669" s="5" t="s">
        <v>1075</v>
      </c>
      <c r="E669" s="5" t="n">
        <v>7</v>
      </c>
      <c r="F669" s="20" t="n">
        <v>8.90475391374036</v>
      </c>
      <c r="G669" s="20" t="n">
        <f aca="false">9-F669</f>
        <v>0.0952460862596425</v>
      </c>
      <c r="H669" s="20" t="n">
        <f aca="false">IF(G669&gt;=1,G669,0)</f>
        <v>0</v>
      </c>
      <c r="I669" s="5" t="s">
        <v>1076</v>
      </c>
      <c r="J669" s="5" t="s">
        <v>1137</v>
      </c>
    </row>
    <row r="670" customFormat="false" ht="15" hidden="false" customHeight="false" outlineLevel="0" collapsed="false">
      <c r="A670" s="5" t="s">
        <v>216</v>
      </c>
      <c r="B670" s="5" t="s">
        <v>169</v>
      </c>
      <c r="C670" s="5" t="n">
        <v>203</v>
      </c>
      <c r="D670" s="5" t="s">
        <v>1075</v>
      </c>
      <c r="E670" s="5" t="n">
        <v>7</v>
      </c>
      <c r="F670" s="20" t="n">
        <v>8.90475391374036</v>
      </c>
      <c r="G670" s="20" t="n">
        <f aca="false">9-F670</f>
        <v>0.0952460862596425</v>
      </c>
      <c r="H670" s="20" t="n">
        <f aca="false">IF(G670&gt;=1,G670,0)</f>
        <v>0</v>
      </c>
      <c r="I670" s="5" t="s">
        <v>1076</v>
      </c>
      <c r="J670" s="5" t="s">
        <v>1138</v>
      </c>
    </row>
    <row r="671" customFormat="false" ht="15" hidden="false" customHeight="false" outlineLevel="0" collapsed="false">
      <c r="A671" s="5" t="s">
        <v>216</v>
      </c>
      <c r="B671" s="5" t="s">
        <v>169</v>
      </c>
      <c r="C671" s="5" t="n">
        <v>204</v>
      </c>
      <c r="D671" s="5" t="s">
        <v>1075</v>
      </c>
      <c r="E671" s="5" t="n">
        <v>7</v>
      </c>
      <c r="F671" s="20" t="n">
        <v>8.90475391374036</v>
      </c>
      <c r="G671" s="20" t="n">
        <f aca="false">9-F671</f>
        <v>0.0952460862596425</v>
      </c>
      <c r="H671" s="20" t="n">
        <f aca="false">IF(G671&gt;=1,G671,0)</f>
        <v>0</v>
      </c>
      <c r="I671" s="5" t="s">
        <v>1076</v>
      </c>
      <c r="J671" s="5" t="s">
        <v>1139</v>
      </c>
    </row>
    <row r="672" customFormat="false" ht="15" hidden="false" customHeight="false" outlineLevel="0" collapsed="false">
      <c r="A672" s="5" t="s">
        <v>216</v>
      </c>
      <c r="B672" s="5" t="s">
        <v>169</v>
      </c>
      <c r="C672" s="5" t="n">
        <v>205</v>
      </c>
      <c r="D672" s="5" t="s">
        <v>1075</v>
      </c>
      <c r="E672" s="5" t="n">
        <v>7</v>
      </c>
      <c r="F672" s="20" t="n">
        <v>8.90475391374036</v>
      </c>
      <c r="G672" s="20" t="n">
        <f aca="false">9-F672</f>
        <v>0.0952460862596425</v>
      </c>
      <c r="H672" s="20" t="n">
        <f aca="false">IF(G672&gt;=1,G672,0)</f>
        <v>0</v>
      </c>
      <c r="I672" s="5" t="s">
        <v>1076</v>
      </c>
      <c r="J672" s="5" t="s">
        <v>1140</v>
      </c>
    </row>
    <row r="673" customFormat="false" ht="15" hidden="false" customHeight="false" outlineLevel="0" collapsed="false">
      <c r="A673" s="5" t="s">
        <v>216</v>
      </c>
      <c r="B673" s="5" t="s">
        <v>169</v>
      </c>
      <c r="C673" s="5" t="n">
        <v>206</v>
      </c>
      <c r="D673" s="5" t="s">
        <v>1075</v>
      </c>
      <c r="E673" s="5" t="n">
        <v>7</v>
      </c>
      <c r="F673" s="20" t="n">
        <v>8.90475391374036</v>
      </c>
      <c r="G673" s="20" t="n">
        <f aca="false">9-F673</f>
        <v>0.0952460862596425</v>
      </c>
      <c r="H673" s="20" t="n">
        <f aca="false">IF(G673&gt;=1,G673,0)</f>
        <v>0</v>
      </c>
      <c r="I673" s="5" t="s">
        <v>1076</v>
      </c>
      <c r="J673" s="5" t="s">
        <v>1141</v>
      </c>
    </row>
    <row r="674" customFormat="false" ht="15" hidden="false" customHeight="false" outlineLevel="0" collapsed="false">
      <c r="A674" s="5" t="s">
        <v>216</v>
      </c>
      <c r="B674" s="5" t="s">
        <v>169</v>
      </c>
      <c r="C674" s="5" t="n">
        <v>207</v>
      </c>
      <c r="D674" s="5" t="s">
        <v>1075</v>
      </c>
      <c r="E674" s="5" t="n">
        <v>7</v>
      </c>
      <c r="F674" s="20" t="n">
        <v>8.90475391374036</v>
      </c>
      <c r="G674" s="20" t="n">
        <f aca="false">9-F674</f>
        <v>0.0952460862596425</v>
      </c>
      <c r="H674" s="20" t="n">
        <f aca="false">IF(G674&gt;=1,G674,0)</f>
        <v>0</v>
      </c>
      <c r="I674" s="5" t="s">
        <v>1076</v>
      </c>
      <c r="J674" s="5" t="s">
        <v>1142</v>
      </c>
    </row>
    <row r="675" customFormat="false" ht="15" hidden="false" customHeight="false" outlineLevel="0" collapsed="false">
      <c r="A675" s="5" t="s">
        <v>216</v>
      </c>
      <c r="B675" s="5" t="s">
        <v>169</v>
      </c>
      <c r="C675" s="5" t="n">
        <v>208</v>
      </c>
      <c r="D675" s="5" t="s">
        <v>1075</v>
      </c>
      <c r="E675" s="5" t="n">
        <v>7</v>
      </c>
      <c r="F675" s="20" t="n">
        <v>8.90475391374036</v>
      </c>
      <c r="G675" s="20" t="n">
        <f aca="false">9-F675</f>
        <v>0.0952460862596425</v>
      </c>
      <c r="H675" s="20" t="n">
        <f aca="false">IF(G675&gt;=1,G675,0)</f>
        <v>0</v>
      </c>
      <c r="I675" s="5" t="s">
        <v>1076</v>
      </c>
      <c r="J675" s="5" t="s">
        <v>1143</v>
      </c>
    </row>
    <row r="676" customFormat="false" ht="15" hidden="false" customHeight="false" outlineLevel="0" collapsed="false">
      <c r="A676" s="5" t="s">
        <v>216</v>
      </c>
      <c r="B676" s="5" t="s">
        <v>169</v>
      </c>
      <c r="C676" s="5" t="n">
        <v>209</v>
      </c>
      <c r="D676" s="5" t="s">
        <v>1075</v>
      </c>
      <c r="E676" s="5" t="n">
        <v>7</v>
      </c>
      <c r="F676" s="20" t="n">
        <v>8.90475391374036</v>
      </c>
      <c r="G676" s="20" t="n">
        <f aca="false">9-F676</f>
        <v>0.0952460862596425</v>
      </c>
      <c r="H676" s="20" t="n">
        <f aca="false">IF(G676&gt;=1,G676,0)</f>
        <v>0</v>
      </c>
      <c r="I676" s="5" t="s">
        <v>1076</v>
      </c>
      <c r="J676" s="5" t="s">
        <v>1144</v>
      </c>
    </row>
    <row r="677" customFormat="false" ht="15" hidden="false" customHeight="false" outlineLevel="0" collapsed="false">
      <c r="A677" s="5" t="s">
        <v>216</v>
      </c>
      <c r="B677" s="5" t="s">
        <v>169</v>
      </c>
      <c r="C677" s="5" t="n">
        <v>210</v>
      </c>
      <c r="D677" s="5" t="s">
        <v>1075</v>
      </c>
      <c r="E677" s="5" t="n">
        <v>7</v>
      </c>
      <c r="F677" s="20" t="n">
        <v>8.90475391374036</v>
      </c>
      <c r="G677" s="20" t="n">
        <f aca="false">9-F677</f>
        <v>0.0952460862596425</v>
      </c>
      <c r="H677" s="20" t="n">
        <f aca="false">IF(G677&gt;=1,G677,0)</f>
        <v>0</v>
      </c>
      <c r="I677" s="5" t="s">
        <v>1076</v>
      </c>
      <c r="J677" s="5" t="s">
        <v>1145</v>
      </c>
    </row>
    <row r="678" customFormat="false" ht="15" hidden="false" customHeight="false" outlineLevel="0" collapsed="false">
      <c r="A678" s="5" t="s">
        <v>216</v>
      </c>
      <c r="B678" s="5" t="s">
        <v>169</v>
      </c>
      <c r="C678" s="5" t="n">
        <v>211</v>
      </c>
      <c r="D678" s="5" t="s">
        <v>1146</v>
      </c>
      <c r="E678" s="5" t="n">
        <v>7</v>
      </c>
      <c r="F678" s="20" t="n">
        <v>8.98922638854954</v>
      </c>
      <c r="G678" s="20" t="n">
        <f aca="false">9-F678</f>
        <v>0.0107736114504569</v>
      </c>
      <c r="H678" s="20" t="n">
        <f aca="false">IF(G678&gt;=1,G678,0)</f>
        <v>0</v>
      </c>
      <c r="I678" s="5" t="s">
        <v>1073</v>
      </c>
      <c r="J678" s="5" t="s">
        <v>1147</v>
      </c>
    </row>
    <row r="679" customFormat="false" ht="15" hidden="false" customHeight="false" outlineLevel="0" collapsed="false">
      <c r="A679" s="5" t="s">
        <v>216</v>
      </c>
      <c r="B679" s="5" t="s">
        <v>169</v>
      </c>
      <c r="C679" s="5" t="n">
        <v>212</v>
      </c>
      <c r="D679" s="5" t="s">
        <v>1148</v>
      </c>
      <c r="E679" s="5" t="n">
        <v>8</v>
      </c>
      <c r="F679" s="20" t="n">
        <v>8.79253876259543</v>
      </c>
      <c r="G679" s="20" t="n">
        <f aca="false">9-F679</f>
        <v>0.207461237404571</v>
      </c>
      <c r="H679" s="20" t="n">
        <f aca="false">IF(G679&gt;=1,G679,0)</f>
        <v>0</v>
      </c>
      <c r="I679" s="5" t="s">
        <v>922</v>
      </c>
      <c r="J679" s="5" t="s">
        <v>1149</v>
      </c>
    </row>
    <row r="680" customFormat="false" ht="15" hidden="false" customHeight="false" outlineLevel="0" collapsed="false">
      <c r="A680" s="5" t="s">
        <v>216</v>
      </c>
      <c r="B680" s="5" t="s">
        <v>169</v>
      </c>
      <c r="C680" s="5" t="n">
        <v>213</v>
      </c>
      <c r="D680" s="5" t="s">
        <v>1150</v>
      </c>
      <c r="E680" s="5" t="n">
        <v>8</v>
      </c>
      <c r="F680" s="20" t="n">
        <v>8.84571376259542</v>
      </c>
      <c r="G680" s="20" t="n">
        <f aca="false">9-F680</f>
        <v>0.154286237404579</v>
      </c>
      <c r="H680" s="20" t="n">
        <f aca="false">IF(G680&gt;=1,G680,0)</f>
        <v>0</v>
      </c>
      <c r="I680" s="5" t="s">
        <v>922</v>
      </c>
      <c r="J680" s="5" t="s">
        <v>1151</v>
      </c>
    </row>
    <row r="681" customFormat="false" ht="15" hidden="false" customHeight="false" outlineLevel="0" collapsed="false">
      <c r="A681" s="5" t="s">
        <v>216</v>
      </c>
      <c r="B681" s="5" t="s">
        <v>169</v>
      </c>
      <c r="C681" s="5" t="n">
        <v>214</v>
      </c>
      <c r="D681" s="5" t="s">
        <v>1152</v>
      </c>
      <c r="E681" s="5" t="n">
        <v>8</v>
      </c>
      <c r="F681" s="20" t="n">
        <v>8.90000000000002</v>
      </c>
      <c r="G681" s="20" t="n">
        <f aca="false">9-F681</f>
        <v>0.0999999999999801</v>
      </c>
      <c r="H681" s="20" t="n">
        <f aca="false">IF(G681&gt;=1,G681,0)</f>
        <v>0</v>
      </c>
      <c r="I681" s="5" t="s">
        <v>77</v>
      </c>
      <c r="J681" s="5" t="s">
        <v>1153</v>
      </c>
    </row>
    <row r="682" customFormat="false" ht="15" hidden="false" customHeight="false" outlineLevel="0" collapsed="false">
      <c r="A682" s="5" t="s">
        <v>216</v>
      </c>
      <c r="B682" s="5" t="s">
        <v>169</v>
      </c>
      <c r="C682" s="5" t="n">
        <v>215</v>
      </c>
      <c r="D682" s="5" t="s">
        <v>1154</v>
      </c>
      <c r="E682" s="5" t="n">
        <v>9</v>
      </c>
      <c r="F682" s="20" t="n">
        <v>8.79253876259546</v>
      </c>
      <c r="G682" s="20" t="n">
        <f aca="false">9-F682</f>
        <v>0.207461237404544</v>
      </c>
      <c r="H682" s="20" t="n">
        <f aca="false">IF(G682&gt;=1,G682,0)</f>
        <v>0</v>
      </c>
      <c r="I682" s="5" t="s">
        <v>922</v>
      </c>
      <c r="J682" s="5" t="s">
        <v>1155</v>
      </c>
    </row>
    <row r="683" customFormat="false" ht="15" hidden="false" customHeight="false" outlineLevel="0" collapsed="false">
      <c r="A683" s="5" t="s">
        <v>216</v>
      </c>
      <c r="B683" s="5" t="s">
        <v>169</v>
      </c>
      <c r="C683" s="5" t="n">
        <v>216</v>
      </c>
      <c r="D683" s="5" t="s">
        <v>1154</v>
      </c>
      <c r="E683" s="5" t="n">
        <v>9</v>
      </c>
      <c r="F683" s="20" t="n">
        <v>8.79253876259543</v>
      </c>
      <c r="G683" s="20" t="n">
        <f aca="false">9-F683</f>
        <v>0.207461237404566</v>
      </c>
      <c r="H683" s="20" t="n">
        <f aca="false">IF(G683&gt;=1,G683,0)</f>
        <v>0</v>
      </c>
      <c r="I683" s="5" t="s">
        <v>922</v>
      </c>
      <c r="J683" s="5" t="s">
        <v>1156</v>
      </c>
    </row>
    <row r="684" customFormat="false" ht="15" hidden="false" customHeight="false" outlineLevel="0" collapsed="false">
      <c r="A684" s="5" t="s">
        <v>216</v>
      </c>
      <c r="B684" s="5" t="s">
        <v>169</v>
      </c>
      <c r="C684" s="5" t="n">
        <v>217</v>
      </c>
      <c r="D684" s="5" t="s">
        <v>1157</v>
      </c>
      <c r="E684" s="5" t="n">
        <v>9</v>
      </c>
      <c r="F684" s="20" t="n">
        <v>8.76373401491086</v>
      </c>
      <c r="G684" s="20" t="n">
        <f aca="false">9-F684</f>
        <v>0.236265985089139</v>
      </c>
      <c r="H684" s="20" t="n">
        <f aca="false">IF(G684&gt;=1,G684,0)</f>
        <v>0</v>
      </c>
      <c r="I684" s="5" t="s">
        <v>960</v>
      </c>
      <c r="J684" s="5" t="s">
        <v>1158</v>
      </c>
    </row>
    <row r="685" customFormat="false" ht="15" hidden="false" customHeight="false" outlineLevel="0" collapsed="false">
      <c r="A685" s="5" t="s">
        <v>216</v>
      </c>
      <c r="B685" s="5" t="s">
        <v>169</v>
      </c>
      <c r="C685" s="5" t="n">
        <v>218</v>
      </c>
      <c r="D685" s="5" t="s">
        <v>646</v>
      </c>
      <c r="E685" s="5" t="n">
        <v>9</v>
      </c>
      <c r="F685" s="20" t="n">
        <v>8.74742272671739</v>
      </c>
      <c r="G685" s="20" t="n">
        <f aca="false">9-F685</f>
        <v>0.252577273282615</v>
      </c>
      <c r="H685" s="20" t="n">
        <f aca="false">IF(G685&gt;=1,G685,0)</f>
        <v>0</v>
      </c>
      <c r="I685" s="5" t="s">
        <v>74</v>
      </c>
      <c r="J685" s="5" t="s">
        <v>1159</v>
      </c>
    </row>
    <row r="686" customFormat="false" ht="15" hidden="false" customHeight="false" outlineLevel="0" collapsed="false">
      <c r="A686" s="5" t="s">
        <v>216</v>
      </c>
      <c r="B686" s="5" t="s">
        <v>169</v>
      </c>
      <c r="C686" s="5" t="n">
        <v>219</v>
      </c>
      <c r="D686" s="5" t="s">
        <v>646</v>
      </c>
      <c r="E686" s="5" t="n">
        <v>9</v>
      </c>
      <c r="F686" s="20" t="n">
        <v>8.74742272671739</v>
      </c>
      <c r="G686" s="20" t="n">
        <f aca="false">9-F686</f>
        <v>0.252577273282615</v>
      </c>
      <c r="H686" s="20" t="n">
        <f aca="false">IF(G686&gt;=1,G686,0)</f>
        <v>0</v>
      </c>
      <c r="I686" s="5" t="s">
        <v>74</v>
      </c>
      <c r="J686" s="5" t="s">
        <v>1160</v>
      </c>
    </row>
    <row r="687" customFormat="false" ht="15" hidden="false" customHeight="false" outlineLevel="0" collapsed="false">
      <c r="A687" s="5" t="s">
        <v>216</v>
      </c>
      <c r="B687" s="5" t="s">
        <v>169</v>
      </c>
      <c r="C687" s="5" t="n">
        <v>220</v>
      </c>
      <c r="D687" s="5" t="s">
        <v>646</v>
      </c>
      <c r="E687" s="5" t="n">
        <v>9</v>
      </c>
      <c r="F687" s="20" t="n">
        <v>8.74742272671739</v>
      </c>
      <c r="G687" s="20" t="n">
        <f aca="false">9-F687</f>
        <v>0.252577273282615</v>
      </c>
      <c r="H687" s="20" t="n">
        <f aca="false">IF(G687&gt;=1,G687,0)</f>
        <v>0</v>
      </c>
      <c r="I687" s="5" t="s">
        <v>74</v>
      </c>
      <c r="J687" s="5" t="s">
        <v>1161</v>
      </c>
    </row>
    <row r="688" customFormat="false" ht="15" hidden="false" customHeight="false" outlineLevel="0" collapsed="false">
      <c r="A688" s="5" t="s">
        <v>216</v>
      </c>
      <c r="B688" s="5" t="s">
        <v>169</v>
      </c>
      <c r="C688" s="5" t="n">
        <v>221</v>
      </c>
      <c r="D688" s="5" t="s">
        <v>646</v>
      </c>
      <c r="E688" s="5" t="n">
        <v>9</v>
      </c>
      <c r="F688" s="20" t="n">
        <v>8.74742272671738</v>
      </c>
      <c r="G688" s="20" t="n">
        <f aca="false">9-F688</f>
        <v>0.252577273282618</v>
      </c>
      <c r="H688" s="20" t="n">
        <f aca="false">IF(G688&gt;=1,G688,0)</f>
        <v>0</v>
      </c>
      <c r="I688" s="5" t="s">
        <v>74</v>
      </c>
      <c r="J688" s="5" t="s">
        <v>1162</v>
      </c>
    </row>
    <row r="689" customFormat="false" ht="15" hidden="false" customHeight="false" outlineLevel="0" collapsed="false">
      <c r="A689" s="5" t="s">
        <v>216</v>
      </c>
      <c r="B689" s="5" t="s">
        <v>169</v>
      </c>
      <c r="C689" s="5" t="n">
        <v>222</v>
      </c>
      <c r="D689" s="5" t="s">
        <v>646</v>
      </c>
      <c r="E689" s="5" t="n">
        <v>9</v>
      </c>
      <c r="F689" s="20" t="n">
        <v>8.74742272671738</v>
      </c>
      <c r="G689" s="20" t="n">
        <f aca="false">9-F689</f>
        <v>0.252577273282618</v>
      </c>
      <c r="H689" s="20" t="n">
        <f aca="false">IF(G689&gt;=1,G689,0)</f>
        <v>0</v>
      </c>
      <c r="I689" s="5" t="s">
        <v>74</v>
      </c>
      <c r="J689" s="5" t="s">
        <v>1163</v>
      </c>
    </row>
    <row r="690" customFormat="false" ht="15" hidden="false" customHeight="false" outlineLevel="0" collapsed="false">
      <c r="A690" s="5" t="s">
        <v>216</v>
      </c>
      <c r="B690" s="5" t="s">
        <v>169</v>
      </c>
      <c r="C690" s="5" t="n">
        <v>223</v>
      </c>
      <c r="D690" s="5" t="s">
        <v>646</v>
      </c>
      <c r="E690" s="5" t="n">
        <v>9</v>
      </c>
      <c r="F690" s="20" t="n">
        <v>8.74742272671738</v>
      </c>
      <c r="G690" s="20" t="n">
        <f aca="false">9-F690</f>
        <v>0.252577273282618</v>
      </c>
      <c r="H690" s="20" t="n">
        <f aca="false">IF(G690&gt;=1,G690,0)</f>
        <v>0</v>
      </c>
      <c r="I690" s="5" t="s">
        <v>74</v>
      </c>
      <c r="J690" s="5" t="s">
        <v>1164</v>
      </c>
    </row>
    <row r="691" customFormat="false" ht="15" hidden="false" customHeight="false" outlineLevel="0" collapsed="false">
      <c r="A691" s="5" t="s">
        <v>216</v>
      </c>
      <c r="B691" s="5" t="s">
        <v>169</v>
      </c>
      <c r="C691" s="5" t="n">
        <v>224</v>
      </c>
      <c r="D691" s="5" t="s">
        <v>646</v>
      </c>
      <c r="E691" s="5" t="n">
        <v>9</v>
      </c>
      <c r="F691" s="20" t="n">
        <v>8.74742272671738</v>
      </c>
      <c r="G691" s="20" t="n">
        <f aca="false">9-F691</f>
        <v>0.252577273282622</v>
      </c>
      <c r="H691" s="20" t="n">
        <f aca="false">IF(G691&gt;=1,G691,0)</f>
        <v>0</v>
      </c>
      <c r="I691" s="5" t="s">
        <v>74</v>
      </c>
      <c r="J691" s="5" t="s">
        <v>1165</v>
      </c>
    </row>
    <row r="692" customFormat="false" ht="15" hidden="false" customHeight="false" outlineLevel="0" collapsed="false">
      <c r="A692" s="5" t="s">
        <v>216</v>
      </c>
      <c r="B692" s="5" t="s">
        <v>169</v>
      </c>
      <c r="C692" s="5" t="n">
        <v>225</v>
      </c>
      <c r="D692" s="5" t="s">
        <v>646</v>
      </c>
      <c r="E692" s="5" t="n">
        <v>9</v>
      </c>
      <c r="F692" s="20" t="n">
        <v>8.74742272671738</v>
      </c>
      <c r="G692" s="20" t="n">
        <f aca="false">9-F692</f>
        <v>0.252577273282622</v>
      </c>
      <c r="H692" s="20" t="n">
        <f aca="false">IF(G692&gt;=1,G692,0)</f>
        <v>0</v>
      </c>
      <c r="I692" s="5" t="s">
        <v>74</v>
      </c>
      <c r="J692" s="5" t="s">
        <v>1166</v>
      </c>
    </row>
    <row r="693" customFormat="false" ht="15" hidden="false" customHeight="false" outlineLevel="0" collapsed="false">
      <c r="A693" s="5" t="s">
        <v>216</v>
      </c>
      <c r="B693" s="5" t="s">
        <v>169</v>
      </c>
      <c r="C693" s="5" t="n">
        <v>226</v>
      </c>
      <c r="D693" s="5" t="s">
        <v>646</v>
      </c>
      <c r="E693" s="5" t="n">
        <v>9</v>
      </c>
      <c r="F693" s="20" t="n">
        <v>8.74742272671738</v>
      </c>
      <c r="G693" s="20" t="n">
        <f aca="false">9-F693</f>
        <v>0.252577273282625</v>
      </c>
      <c r="H693" s="20" t="n">
        <f aca="false">IF(G693&gt;=1,G693,0)</f>
        <v>0</v>
      </c>
      <c r="I693" s="5" t="s">
        <v>74</v>
      </c>
      <c r="J693" s="5" t="s">
        <v>1167</v>
      </c>
    </row>
    <row r="694" customFormat="false" ht="15" hidden="false" customHeight="false" outlineLevel="0" collapsed="false">
      <c r="A694" s="5" t="s">
        <v>216</v>
      </c>
      <c r="B694" s="5" t="s">
        <v>169</v>
      </c>
      <c r="C694" s="5" t="n">
        <v>227</v>
      </c>
      <c r="D694" s="5" t="s">
        <v>646</v>
      </c>
      <c r="E694" s="5" t="n">
        <v>9</v>
      </c>
      <c r="F694" s="20" t="n">
        <v>8.74742272671737</v>
      </c>
      <c r="G694" s="20" t="n">
        <f aca="false">9-F694</f>
        <v>0.252577273282634</v>
      </c>
      <c r="H694" s="20" t="n">
        <f aca="false">IF(G694&gt;=1,G694,0)</f>
        <v>0</v>
      </c>
      <c r="I694" s="5" t="s">
        <v>74</v>
      </c>
      <c r="J694" s="5" t="s">
        <v>1168</v>
      </c>
    </row>
    <row r="695" customFormat="false" ht="15" hidden="false" customHeight="false" outlineLevel="0" collapsed="false">
      <c r="A695" s="5" t="s">
        <v>216</v>
      </c>
      <c r="B695" s="5" t="s">
        <v>169</v>
      </c>
      <c r="C695" s="5" t="n">
        <v>228</v>
      </c>
      <c r="D695" s="5" t="s">
        <v>646</v>
      </c>
      <c r="E695" s="5" t="n">
        <v>9</v>
      </c>
      <c r="F695" s="20" t="n">
        <v>8.74742272671736</v>
      </c>
      <c r="G695" s="20" t="n">
        <f aca="false">9-F695</f>
        <v>0.252577273282636</v>
      </c>
      <c r="H695" s="20" t="n">
        <f aca="false">IF(G695&gt;=1,G695,0)</f>
        <v>0</v>
      </c>
      <c r="I695" s="5" t="s">
        <v>74</v>
      </c>
      <c r="J695" s="5" t="s">
        <v>1169</v>
      </c>
    </row>
    <row r="696" customFormat="false" ht="15" hidden="false" customHeight="false" outlineLevel="0" collapsed="false">
      <c r="A696" s="5" t="s">
        <v>216</v>
      </c>
      <c r="B696" s="5" t="s">
        <v>169</v>
      </c>
      <c r="C696" s="5" t="n">
        <v>229</v>
      </c>
      <c r="D696" s="5" t="s">
        <v>646</v>
      </c>
      <c r="E696" s="5" t="n">
        <v>9</v>
      </c>
      <c r="F696" s="20" t="n">
        <v>8.74742272671736</v>
      </c>
      <c r="G696" s="20" t="n">
        <f aca="false">9-F696</f>
        <v>0.252577273282636</v>
      </c>
      <c r="H696" s="20" t="n">
        <f aca="false">IF(G696&gt;=1,G696,0)</f>
        <v>0</v>
      </c>
      <c r="I696" s="5" t="s">
        <v>74</v>
      </c>
      <c r="J696" s="5" t="s">
        <v>1170</v>
      </c>
    </row>
    <row r="697" customFormat="false" ht="15" hidden="false" customHeight="false" outlineLevel="0" collapsed="false">
      <c r="A697" s="5" t="s">
        <v>216</v>
      </c>
      <c r="B697" s="5" t="s">
        <v>169</v>
      </c>
      <c r="C697" s="5" t="n">
        <v>230</v>
      </c>
      <c r="D697" s="5" t="s">
        <v>646</v>
      </c>
      <c r="E697" s="5" t="n">
        <v>9</v>
      </c>
      <c r="F697" s="20" t="n">
        <v>8.74742272671735</v>
      </c>
      <c r="G697" s="20" t="n">
        <f aca="false">9-F697</f>
        <v>0.252577273282647</v>
      </c>
      <c r="H697" s="20" t="n">
        <f aca="false">IF(G697&gt;=1,G697,0)</f>
        <v>0</v>
      </c>
      <c r="I697" s="5" t="s">
        <v>74</v>
      </c>
      <c r="J697" s="5" t="s">
        <v>1171</v>
      </c>
    </row>
    <row r="698" customFormat="false" ht="15" hidden="false" customHeight="false" outlineLevel="0" collapsed="false">
      <c r="A698" s="5" t="s">
        <v>216</v>
      </c>
      <c r="B698" s="5" t="s">
        <v>169</v>
      </c>
      <c r="C698" s="5" t="n">
        <v>231</v>
      </c>
      <c r="D698" s="5" t="s">
        <v>646</v>
      </c>
      <c r="E698" s="5" t="n">
        <v>9</v>
      </c>
      <c r="F698" s="20" t="n">
        <v>8.74742272671735</v>
      </c>
      <c r="G698" s="20" t="n">
        <f aca="false">9-F698</f>
        <v>0.25257727328265</v>
      </c>
      <c r="H698" s="20" t="n">
        <f aca="false">IF(G698&gt;=1,G698,0)</f>
        <v>0</v>
      </c>
      <c r="I698" s="5" t="s">
        <v>74</v>
      </c>
      <c r="J698" s="5" t="s">
        <v>1172</v>
      </c>
    </row>
    <row r="699" customFormat="false" ht="15" hidden="false" customHeight="false" outlineLevel="0" collapsed="false">
      <c r="A699" s="5" t="s">
        <v>216</v>
      </c>
      <c r="B699" s="5" t="s">
        <v>169</v>
      </c>
      <c r="C699" s="5" t="n">
        <v>232</v>
      </c>
      <c r="D699" s="5" t="s">
        <v>646</v>
      </c>
      <c r="E699" s="5" t="n">
        <v>9</v>
      </c>
      <c r="F699" s="20" t="n">
        <v>8.74742272671735</v>
      </c>
      <c r="G699" s="20" t="n">
        <f aca="false">9-F699</f>
        <v>0.25257727328265</v>
      </c>
      <c r="H699" s="20" t="n">
        <f aca="false">IF(G699&gt;=1,G699,0)</f>
        <v>0</v>
      </c>
      <c r="I699" s="5" t="s">
        <v>74</v>
      </c>
      <c r="J699" s="5" t="s">
        <v>1173</v>
      </c>
    </row>
    <row r="700" customFormat="false" ht="15" hidden="false" customHeight="false" outlineLevel="0" collapsed="false">
      <c r="A700" s="5" t="s">
        <v>216</v>
      </c>
      <c r="B700" s="5" t="s">
        <v>169</v>
      </c>
      <c r="C700" s="5" t="n">
        <v>233</v>
      </c>
      <c r="D700" s="5" t="s">
        <v>646</v>
      </c>
      <c r="E700" s="5" t="n">
        <v>9</v>
      </c>
      <c r="F700" s="20" t="n">
        <v>8.74742272671735</v>
      </c>
      <c r="G700" s="20" t="n">
        <f aca="false">9-F700</f>
        <v>0.252577273282652</v>
      </c>
      <c r="H700" s="20" t="n">
        <f aca="false">IF(G700&gt;=1,G700,0)</f>
        <v>0</v>
      </c>
      <c r="I700" s="5" t="s">
        <v>74</v>
      </c>
      <c r="J700" s="5" t="s">
        <v>1174</v>
      </c>
    </row>
    <row r="701" customFormat="false" ht="15" hidden="false" customHeight="false" outlineLevel="0" collapsed="false">
      <c r="A701" s="5" t="s">
        <v>216</v>
      </c>
      <c r="B701" s="5" t="s">
        <v>169</v>
      </c>
      <c r="C701" s="5" t="n">
        <v>234</v>
      </c>
      <c r="D701" s="5" t="s">
        <v>646</v>
      </c>
      <c r="E701" s="5" t="n">
        <v>9</v>
      </c>
      <c r="F701" s="20" t="n">
        <v>8.74742272671735</v>
      </c>
      <c r="G701" s="20" t="n">
        <f aca="false">9-F701</f>
        <v>0.252577273282652</v>
      </c>
      <c r="H701" s="20" t="n">
        <f aca="false">IF(G701&gt;=1,G701,0)</f>
        <v>0</v>
      </c>
      <c r="I701" s="5" t="s">
        <v>74</v>
      </c>
      <c r="J701" s="5" t="s">
        <v>1175</v>
      </c>
    </row>
    <row r="702" customFormat="false" ht="15" hidden="false" customHeight="false" outlineLevel="0" collapsed="false">
      <c r="A702" s="5" t="s">
        <v>216</v>
      </c>
      <c r="B702" s="5" t="s">
        <v>169</v>
      </c>
      <c r="C702" s="5" t="n">
        <v>235</v>
      </c>
      <c r="D702" s="5" t="s">
        <v>646</v>
      </c>
      <c r="E702" s="5" t="n">
        <v>9</v>
      </c>
      <c r="F702" s="20" t="n">
        <v>8.74742272671735</v>
      </c>
      <c r="G702" s="20" t="n">
        <f aca="false">9-F702</f>
        <v>0.252577273282652</v>
      </c>
      <c r="H702" s="20" t="n">
        <f aca="false">IF(G702&gt;=1,G702,0)</f>
        <v>0</v>
      </c>
      <c r="I702" s="5" t="s">
        <v>74</v>
      </c>
      <c r="J702" s="5" t="s">
        <v>1176</v>
      </c>
    </row>
    <row r="703" customFormat="false" ht="15" hidden="false" customHeight="false" outlineLevel="0" collapsed="false">
      <c r="A703" s="5" t="s">
        <v>216</v>
      </c>
      <c r="B703" s="5" t="s">
        <v>169</v>
      </c>
      <c r="C703" s="5" t="n">
        <v>236</v>
      </c>
      <c r="D703" s="5" t="s">
        <v>646</v>
      </c>
      <c r="E703" s="5" t="n">
        <v>9</v>
      </c>
      <c r="F703" s="20" t="n">
        <v>8.74742272671734</v>
      </c>
      <c r="G703" s="20" t="n">
        <f aca="false">9-F703</f>
        <v>0.252577273282657</v>
      </c>
      <c r="H703" s="20" t="n">
        <f aca="false">IF(G703&gt;=1,G703,0)</f>
        <v>0</v>
      </c>
      <c r="I703" s="5" t="s">
        <v>74</v>
      </c>
      <c r="J703" s="5" t="s">
        <v>1177</v>
      </c>
    </row>
    <row r="704" customFormat="false" ht="15" hidden="false" customHeight="false" outlineLevel="0" collapsed="false">
      <c r="A704" s="5" t="s">
        <v>216</v>
      </c>
      <c r="B704" s="5" t="s">
        <v>169</v>
      </c>
      <c r="C704" s="5" t="n">
        <v>237</v>
      </c>
      <c r="D704" s="5" t="s">
        <v>646</v>
      </c>
      <c r="E704" s="5" t="n">
        <v>9</v>
      </c>
      <c r="F704" s="20" t="n">
        <v>8.74742272671734</v>
      </c>
      <c r="G704" s="20" t="n">
        <f aca="false">9-F704</f>
        <v>0.252577273282663</v>
      </c>
      <c r="H704" s="20" t="n">
        <f aca="false">IF(G704&gt;=1,G704,0)</f>
        <v>0</v>
      </c>
      <c r="I704" s="5" t="s">
        <v>74</v>
      </c>
      <c r="J704" s="5" t="s">
        <v>1178</v>
      </c>
    </row>
    <row r="705" customFormat="false" ht="15" hidden="false" customHeight="false" outlineLevel="0" collapsed="false">
      <c r="A705" s="5" t="s">
        <v>216</v>
      </c>
      <c r="B705" s="5" t="s">
        <v>169</v>
      </c>
      <c r="C705" s="5" t="n">
        <v>238</v>
      </c>
      <c r="D705" s="5" t="s">
        <v>646</v>
      </c>
      <c r="E705" s="5" t="n">
        <v>9</v>
      </c>
      <c r="F705" s="20" t="n">
        <v>8.74742272671734</v>
      </c>
      <c r="G705" s="20" t="n">
        <f aca="false">9-F705</f>
        <v>0.252577273282665</v>
      </c>
      <c r="H705" s="20" t="n">
        <f aca="false">IF(G705&gt;=1,G705,0)</f>
        <v>0</v>
      </c>
      <c r="I705" s="5" t="s">
        <v>74</v>
      </c>
      <c r="J705" s="5" t="s">
        <v>1179</v>
      </c>
    </row>
    <row r="706" customFormat="false" ht="15" hidden="false" customHeight="false" outlineLevel="0" collapsed="false">
      <c r="A706" s="5" t="s">
        <v>216</v>
      </c>
      <c r="B706" s="5" t="s">
        <v>169</v>
      </c>
      <c r="C706" s="5" t="n">
        <v>239</v>
      </c>
      <c r="D706" s="5" t="s">
        <v>646</v>
      </c>
      <c r="E706" s="5" t="n">
        <v>9</v>
      </c>
      <c r="F706" s="20" t="n">
        <v>8.74742272671733</v>
      </c>
      <c r="G706" s="20" t="n">
        <f aca="false">9-F706</f>
        <v>0.25257727328267</v>
      </c>
      <c r="H706" s="20" t="n">
        <f aca="false">IF(G706&gt;=1,G706,0)</f>
        <v>0</v>
      </c>
      <c r="I706" s="5" t="s">
        <v>74</v>
      </c>
      <c r="J706" s="5" t="s">
        <v>1180</v>
      </c>
    </row>
    <row r="707" customFormat="false" ht="15" hidden="false" customHeight="false" outlineLevel="0" collapsed="false">
      <c r="A707" s="5" t="s">
        <v>216</v>
      </c>
      <c r="B707" s="5" t="s">
        <v>169</v>
      </c>
      <c r="C707" s="5" t="n">
        <v>240</v>
      </c>
      <c r="D707" s="5" t="s">
        <v>646</v>
      </c>
      <c r="E707" s="5" t="n">
        <v>9</v>
      </c>
      <c r="F707" s="20" t="n">
        <v>8.74742272671733</v>
      </c>
      <c r="G707" s="20" t="n">
        <f aca="false">9-F707</f>
        <v>0.252577273282673</v>
      </c>
      <c r="H707" s="20" t="n">
        <f aca="false">IF(G707&gt;=1,G707,0)</f>
        <v>0</v>
      </c>
      <c r="I707" s="5" t="s">
        <v>74</v>
      </c>
      <c r="J707" s="5" t="s">
        <v>1181</v>
      </c>
    </row>
    <row r="708" customFormat="false" ht="15" hidden="false" customHeight="false" outlineLevel="0" collapsed="false">
      <c r="A708" s="5" t="s">
        <v>216</v>
      </c>
      <c r="B708" s="5" t="s">
        <v>169</v>
      </c>
      <c r="C708" s="5" t="n">
        <v>241</v>
      </c>
      <c r="D708" s="5" t="s">
        <v>646</v>
      </c>
      <c r="E708" s="5" t="n">
        <v>9</v>
      </c>
      <c r="F708" s="20" t="n">
        <v>8.74742272671733</v>
      </c>
      <c r="G708" s="20" t="n">
        <f aca="false">9-F708</f>
        <v>0.252577273282673</v>
      </c>
      <c r="H708" s="20" t="n">
        <f aca="false">IF(G708&gt;=1,G708,0)</f>
        <v>0</v>
      </c>
      <c r="I708" s="5" t="s">
        <v>74</v>
      </c>
      <c r="J708" s="5" t="s">
        <v>1182</v>
      </c>
    </row>
    <row r="709" customFormat="false" ht="15" hidden="false" customHeight="false" outlineLevel="0" collapsed="false">
      <c r="A709" s="5" t="s">
        <v>216</v>
      </c>
      <c r="B709" s="5" t="s">
        <v>169</v>
      </c>
      <c r="C709" s="5" t="n">
        <v>242</v>
      </c>
      <c r="D709" s="5" t="s">
        <v>646</v>
      </c>
      <c r="E709" s="5" t="n">
        <v>9</v>
      </c>
      <c r="F709" s="20" t="n">
        <v>8.74742272671732</v>
      </c>
      <c r="G709" s="20" t="n">
        <f aca="false">9-F709</f>
        <v>0.252577273282679</v>
      </c>
      <c r="H709" s="20" t="n">
        <f aca="false">IF(G709&gt;=1,G709,0)</f>
        <v>0</v>
      </c>
      <c r="I709" s="5" t="s">
        <v>74</v>
      </c>
      <c r="J709" s="5" t="s">
        <v>1183</v>
      </c>
    </row>
    <row r="710" customFormat="false" ht="15" hidden="false" customHeight="false" outlineLevel="0" collapsed="false">
      <c r="A710" s="5" t="s">
        <v>216</v>
      </c>
      <c r="B710" s="5" t="s">
        <v>169</v>
      </c>
      <c r="C710" s="5" t="n">
        <v>243</v>
      </c>
      <c r="D710" s="5" t="s">
        <v>646</v>
      </c>
      <c r="E710" s="5" t="n">
        <v>9</v>
      </c>
      <c r="F710" s="20" t="n">
        <v>8.74742272671731</v>
      </c>
      <c r="G710" s="20" t="n">
        <f aca="false">9-F710</f>
        <v>0.252577273282689</v>
      </c>
      <c r="H710" s="20" t="n">
        <f aca="false">IF(G710&gt;=1,G710,0)</f>
        <v>0</v>
      </c>
      <c r="I710" s="5" t="s">
        <v>74</v>
      </c>
      <c r="J710" s="5" t="s">
        <v>1184</v>
      </c>
    </row>
    <row r="711" customFormat="false" ht="15" hidden="false" customHeight="false" outlineLevel="0" collapsed="false">
      <c r="A711" s="5" t="s">
        <v>216</v>
      </c>
      <c r="B711" s="5" t="s">
        <v>169</v>
      </c>
      <c r="C711" s="5" t="n">
        <v>244</v>
      </c>
      <c r="D711" s="5" t="s">
        <v>646</v>
      </c>
      <c r="E711" s="5" t="n">
        <v>9</v>
      </c>
      <c r="F711" s="20" t="n">
        <v>8.74742272671731</v>
      </c>
      <c r="G711" s="20" t="n">
        <f aca="false">9-F711</f>
        <v>0.252577273282689</v>
      </c>
      <c r="H711" s="20" t="n">
        <f aca="false">IF(G711&gt;=1,G711,0)</f>
        <v>0</v>
      </c>
      <c r="I711" s="5" t="s">
        <v>74</v>
      </c>
      <c r="J711" s="5" t="s">
        <v>1185</v>
      </c>
    </row>
    <row r="712" customFormat="false" ht="15" hidden="false" customHeight="false" outlineLevel="0" collapsed="false">
      <c r="A712" s="5" t="s">
        <v>216</v>
      </c>
      <c r="B712" s="5" t="s">
        <v>169</v>
      </c>
      <c r="C712" s="5" t="n">
        <v>245</v>
      </c>
      <c r="D712" s="5" t="s">
        <v>646</v>
      </c>
      <c r="E712" s="5" t="n">
        <v>9</v>
      </c>
      <c r="F712" s="20" t="n">
        <v>8.74742272671731</v>
      </c>
      <c r="G712" s="20" t="n">
        <f aca="false">9-F712</f>
        <v>0.252577273282691</v>
      </c>
      <c r="H712" s="20" t="n">
        <f aca="false">IF(G712&gt;=1,G712,0)</f>
        <v>0</v>
      </c>
      <c r="I712" s="5" t="s">
        <v>74</v>
      </c>
      <c r="J712" s="5" t="s">
        <v>1186</v>
      </c>
    </row>
    <row r="713" customFormat="false" ht="15" hidden="false" customHeight="false" outlineLevel="0" collapsed="false">
      <c r="A713" s="5" t="s">
        <v>216</v>
      </c>
      <c r="B713" s="5" t="s">
        <v>169</v>
      </c>
      <c r="C713" s="5" t="n">
        <v>246</v>
      </c>
      <c r="D713" s="5" t="s">
        <v>646</v>
      </c>
      <c r="E713" s="5" t="n">
        <v>9</v>
      </c>
      <c r="F713" s="20" t="n">
        <v>8.74742272671731</v>
      </c>
      <c r="G713" s="20" t="n">
        <f aca="false">9-F713</f>
        <v>0.252577273282691</v>
      </c>
      <c r="H713" s="20" t="n">
        <f aca="false">IF(G713&gt;=1,G713,0)</f>
        <v>0</v>
      </c>
      <c r="I713" s="5" t="s">
        <v>74</v>
      </c>
      <c r="J713" s="5" t="s">
        <v>1187</v>
      </c>
    </row>
    <row r="714" customFormat="false" ht="15" hidden="false" customHeight="false" outlineLevel="0" collapsed="false">
      <c r="A714" s="5" t="s">
        <v>216</v>
      </c>
      <c r="B714" s="5" t="s">
        <v>169</v>
      </c>
      <c r="C714" s="5" t="n">
        <v>247</v>
      </c>
      <c r="D714" s="5" t="s">
        <v>646</v>
      </c>
      <c r="E714" s="5" t="n">
        <v>9</v>
      </c>
      <c r="F714" s="20" t="n">
        <v>8.74742272671731</v>
      </c>
      <c r="G714" s="20" t="n">
        <f aca="false">9-F714</f>
        <v>0.252577273282691</v>
      </c>
      <c r="H714" s="20" t="n">
        <f aca="false">IF(G714&gt;=1,G714,0)</f>
        <v>0</v>
      </c>
      <c r="I714" s="5" t="s">
        <v>74</v>
      </c>
      <c r="J714" s="5" t="s">
        <v>1188</v>
      </c>
    </row>
    <row r="715" customFormat="false" ht="15" hidden="false" customHeight="false" outlineLevel="0" collapsed="false">
      <c r="A715" s="5" t="s">
        <v>216</v>
      </c>
      <c r="B715" s="5" t="s">
        <v>169</v>
      </c>
      <c r="C715" s="5" t="n">
        <v>248</v>
      </c>
      <c r="D715" s="5" t="s">
        <v>1189</v>
      </c>
      <c r="E715" s="5" t="n">
        <v>10</v>
      </c>
      <c r="F715" s="20" t="n">
        <v>8.86373939338398</v>
      </c>
      <c r="G715" s="20" t="n">
        <f aca="false">9-F715</f>
        <v>0.136260606616016</v>
      </c>
      <c r="H715" s="20" t="n">
        <f aca="false">IF(G715&gt;=1,G715,0)</f>
        <v>0</v>
      </c>
      <c r="I715" s="5" t="s">
        <v>74</v>
      </c>
      <c r="J715" s="5" t="s">
        <v>1190</v>
      </c>
    </row>
    <row r="716" customFormat="false" ht="15" hidden="false" customHeight="false" outlineLevel="0" collapsed="false">
      <c r="A716" s="5" t="s">
        <v>216</v>
      </c>
      <c r="B716" s="5" t="s">
        <v>169</v>
      </c>
      <c r="C716" s="5" t="n">
        <v>249</v>
      </c>
      <c r="D716" s="5" t="s">
        <v>664</v>
      </c>
      <c r="E716" s="5" t="n">
        <v>13</v>
      </c>
      <c r="F716" s="20" t="n">
        <v>8.74110391374032</v>
      </c>
      <c r="G716" s="20" t="n">
        <f aca="false">9-F716</f>
        <v>0.258896086259684</v>
      </c>
      <c r="H716" s="20" t="n">
        <f aca="false">IF(G716&gt;=1,G716,0)</f>
        <v>0</v>
      </c>
      <c r="I716" s="5" t="s">
        <v>74</v>
      </c>
      <c r="J716" s="5" t="s">
        <v>1191</v>
      </c>
    </row>
    <row r="717" customFormat="false" ht="15" hidden="false" customHeight="false" outlineLevel="0" collapsed="false">
      <c r="A717" s="5" t="s">
        <v>216</v>
      </c>
      <c r="B717" s="5" t="s">
        <v>169</v>
      </c>
      <c r="C717" s="5" t="n">
        <v>250</v>
      </c>
      <c r="D717" s="5" t="s">
        <v>664</v>
      </c>
      <c r="E717" s="5" t="n">
        <v>13</v>
      </c>
      <c r="F717" s="20" t="n">
        <v>8.74110391374032</v>
      </c>
      <c r="G717" s="20" t="n">
        <f aca="false">9-F717</f>
        <v>0.258896086259684</v>
      </c>
      <c r="H717" s="20" t="n">
        <f aca="false">IF(G717&gt;=1,G717,0)</f>
        <v>0</v>
      </c>
      <c r="I717" s="5" t="s">
        <v>74</v>
      </c>
      <c r="J717" s="5" t="s">
        <v>1192</v>
      </c>
    </row>
    <row r="718" customFormat="false" ht="15" hidden="false" customHeight="false" outlineLevel="0" collapsed="false">
      <c r="A718" s="5" t="s">
        <v>216</v>
      </c>
      <c r="B718" s="5" t="s">
        <v>169</v>
      </c>
      <c r="C718" s="5" t="n">
        <v>251</v>
      </c>
      <c r="D718" s="5" t="s">
        <v>664</v>
      </c>
      <c r="E718" s="5" t="n">
        <v>13</v>
      </c>
      <c r="F718" s="20" t="n">
        <v>8.74110391374032</v>
      </c>
      <c r="G718" s="20" t="n">
        <f aca="false">9-F718</f>
        <v>0.258896086259684</v>
      </c>
      <c r="H718" s="20" t="n">
        <f aca="false">IF(G718&gt;=1,G718,0)</f>
        <v>0</v>
      </c>
      <c r="I718" s="5" t="s">
        <v>74</v>
      </c>
      <c r="J718" s="5" t="s">
        <v>1193</v>
      </c>
    </row>
    <row r="719" customFormat="false" ht="15" hidden="false" customHeight="false" outlineLevel="0" collapsed="false">
      <c r="A719" s="5" t="s">
        <v>216</v>
      </c>
      <c r="B719" s="5" t="s">
        <v>169</v>
      </c>
      <c r="C719" s="5" t="n">
        <v>252</v>
      </c>
      <c r="D719" s="5" t="s">
        <v>664</v>
      </c>
      <c r="E719" s="5" t="n">
        <v>13</v>
      </c>
      <c r="F719" s="20" t="n">
        <v>8.74110391374032</v>
      </c>
      <c r="G719" s="20" t="n">
        <f aca="false">9-F719</f>
        <v>0.258896086259684</v>
      </c>
      <c r="H719" s="20" t="n">
        <f aca="false">IF(G719&gt;=1,G719,0)</f>
        <v>0</v>
      </c>
      <c r="I719" s="5" t="s">
        <v>74</v>
      </c>
      <c r="J719" s="5" t="s">
        <v>1194</v>
      </c>
    </row>
    <row r="720" customFormat="false" ht="15" hidden="false" customHeight="false" outlineLevel="0" collapsed="false">
      <c r="A720" s="5" t="s">
        <v>216</v>
      </c>
      <c r="B720" s="5" t="s">
        <v>169</v>
      </c>
      <c r="C720" s="5" t="n">
        <v>253</v>
      </c>
      <c r="D720" s="5" t="s">
        <v>664</v>
      </c>
      <c r="E720" s="5" t="n">
        <v>13</v>
      </c>
      <c r="F720" s="20" t="n">
        <v>8.74110391374032</v>
      </c>
      <c r="G720" s="20" t="n">
        <f aca="false">9-F720</f>
        <v>0.258896086259684</v>
      </c>
      <c r="H720" s="20" t="n">
        <f aca="false">IF(G720&gt;=1,G720,0)</f>
        <v>0</v>
      </c>
      <c r="I720" s="5" t="s">
        <v>74</v>
      </c>
      <c r="J720" s="5" t="s">
        <v>1195</v>
      </c>
    </row>
    <row r="721" customFormat="false" ht="15" hidden="false" customHeight="false" outlineLevel="0" collapsed="false">
      <c r="A721" s="5" t="s">
        <v>216</v>
      </c>
      <c r="B721" s="5" t="s">
        <v>169</v>
      </c>
      <c r="C721" s="5" t="n">
        <v>254</v>
      </c>
      <c r="D721" s="5" t="s">
        <v>664</v>
      </c>
      <c r="E721" s="5" t="n">
        <v>13</v>
      </c>
      <c r="F721" s="20" t="n">
        <v>8.74110391374032</v>
      </c>
      <c r="G721" s="20" t="n">
        <f aca="false">9-F721</f>
        <v>0.258896086259684</v>
      </c>
      <c r="H721" s="20" t="n">
        <f aca="false">IF(G721&gt;=1,G721,0)</f>
        <v>0</v>
      </c>
      <c r="I721" s="5" t="s">
        <v>74</v>
      </c>
      <c r="J721" s="5" t="s">
        <v>1196</v>
      </c>
    </row>
    <row r="722" customFormat="false" ht="15" hidden="false" customHeight="false" outlineLevel="0" collapsed="false">
      <c r="A722" s="5" t="s">
        <v>216</v>
      </c>
      <c r="B722" s="5" t="s">
        <v>169</v>
      </c>
      <c r="C722" s="5" t="n">
        <v>255</v>
      </c>
      <c r="D722" s="5" t="s">
        <v>664</v>
      </c>
      <c r="E722" s="5" t="n">
        <v>13</v>
      </c>
      <c r="F722" s="20" t="n">
        <v>8.74110391374032</v>
      </c>
      <c r="G722" s="20" t="n">
        <f aca="false">9-F722</f>
        <v>0.258896086259684</v>
      </c>
      <c r="H722" s="20" t="n">
        <f aca="false">IF(G722&gt;=1,G722,0)</f>
        <v>0</v>
      </c>
      <c r="I722" s="5" t="s">
        <v>74</v>
      </c>
      <c r="J722" s="5" t="s">
        <v>1197</v>
      </c>
    </row>
    <row r="723" customFormat="false" ht="15" hidden="false" customHeight="false" outlineLevel="0" collapsed="false">
      <c r="A723" s="5" t="s">
        <v>216</v>
      </c>
      <c r="B723" s="5" t="s">
        <v>169</v>
      </c>
      <c r="C723" s="5" t="n">
        <v>256</v>
      </c>
      <c r="D723" s="5" t="s">
        <v>664</v>
      </c>
      <c r="E723" s="5" t="n">
        <v>13</v>
      </c>
      <c r="F723" s="20" t="n">
        <v>8.74110391374032</v>
      </c>
      <c r="G723" s="20" t="n">
        <f aca="false">9-F723</f>
        <v>0.258896086259684</v>
      </c>
      <c r="H723" s="20" t="n">
        <f aca="false">IF(G723&gt;=1,G723,0)</f>
        <v>0</v>
      </c>
      <c r="I723" s="5" t="s">
        <v>74</v>
      </c>
      <c r="J723" s="5" t="s">
        <v>1198</v>
      </c>
    </row>
    <row r="724" customFormat="false" ht="15" hidden="false" customHeight="false" outlineLevel="0" collapsed="false">
      <c r="A724" s="5" t="s">
        <v>216</v>
      </c>
      <c r="B724" s="5" t="s">
        <v>169</v>
      </c>
      <c r="C724" s="5" t="n">
        <v>257</v>
      </c>
      <c r="D724" s="5" t="s">
        <v>664</v>
      </c>
      <c r="E724" s="5" t="n">
        <v>13</v>
      </c>
      <c r="F724" s="20" t="n">
        <v>8.74110391374032</v>
      </c>
      <c r="G724" s="20" t="n">
        <f aca="false">9-F724</f>
        <v>0.258896086259684</v>
      </c>
      <c r="H724" s="20" t="n">
        <f aca="false">IF(G724&gt;=1,G724,0)</f>
        <v>0</v>
      </c>
      <c r="I724" s="5" t="s">
        <v>74</v>
      </c>
      <c r="J724" s="5" t="s">
        <v>1199</v>
      </c>
    </row>
    <row r="725" customFormat="false" ht="15" hidden="false" customHeight="false" outlineLevel="0" collapsed="false">
      <c r="A725" s="5" t="s">
        <v>216</v>
      </c>
      <c r="B725" s="5" t="s">
        <v>169</v>
      </c>
      <c r="C725" s="5" t="n">
        <v>258</v>
      </c>
      <c r="D725" s="5" t="s">
        <v>664</v>
      </c>
      <c r="E725" s="5" t="n">
        <v>13</v>
      </c>
      <c r="F725" s="20" t="n">
        <v>8.74110391374032</v>
      </c>
      <c r="G725" s="20" t="n">
        <f aca="false">9-F725</f>
        <v>0.258896086259684</v>
      </c>
      <c r="H725" s="20" t="n">
        <f aca="false">IF(G725&gt;=1,G725,0)</f>
        <v>0</v>
      </c>
      <c r="I725" s="5" t="s">
        <v>74</v>
      </c>
      <c r="J725" s="5" t="s">
        <v>1200</v>
      </c>
    </row>
    <row r="726" customFormat="false" ht="15" hidden="false" customHeight="false" outlineLevel="0" collapsed="false">
      <c r="A726" s="5" t="s">
        <v>216</v>
      </c>
      <c r="B726" s="5" t="s">
        <v>169</v>
      </c>
      <c r="C726" s="5" t="n">
        <v>259</v>
      </c>
      <c r="D726" s="5" t="s">
        <v>664</v>
      </c>
      <c r="E726" s="5" t="n">
        <v>13</v>
      </c>
      <c r="F726" s="20" t="n">
        <v>8.74110391374032</v>
      </c>
      <c r="G726" s="20" t="n">
        <f aca="false">9-F726</f>
        <v>0.258896086259684</v>
      </c>
      <c r="H726" s="20" t="n">
        <f aca="false">IF(G726&gt;=1,G726,0)</f>
        <v>0</v>
      </c>
      <c r="I726" s="5" t="s">
        <v>74</v>
      </c>
      <c r="J726" s="5" t="s">
        <v>1201</v>
      </c>
    </row>
    <row r="727" customFormat="false" ht="15" hidden="false" customHeight="false" outlineLevel="0" collapsed="false">
      <c r="A727" s="5" t="s">
        <v>216</v>
      </c>
      <c r="B727" s="5" t="s">
        <v>169</v>
      </c>
      <c r="C727" s="5" t="n">
        <v>260</v>
      </c>
      <c r="D727" s="5" t="s">
        <v>664</v>
      </c>
      <c r="E727" s="5" t="n">
        <v>13</v>
      </c>
      <c r="F727" s="20" t="n">
        <v>8.74110391374031</v>
      </c>
      <c r="G727" s="20" t="n">
        <f aca="false">9-F727</f>
        <v>0.258896086259686</v>
      </c>
      <c r="H727" s="20" t="n">
        <f aca="false">IF(G727&gt;=1,G727,0)</f>
        <v>0</v>
      </c>
      <c r="I727" s="5" t="s">
        <v>74</v>
      </c>
      <c r="J727" s="5" t="s">
        <v>1202</v>
      </c>
    </row>
    <row r="728" customFormat="false" ht="15" hidden="false" customHeight="false" outlineLevel="0" collapsed="false">
      <c r="A728" s="5" t="s">
        <v>216</v>
      </c>
      <c r="B728" s="5" t="s">
        <v>169</v>
      </c>
      <c r="C728" s="5" t="n">
        <v>261</v>
      </c>
      <c r="D728" s="5" t="s">
        <v>664</v>
      </c>
      <c r="E728" s="5" t="n">
        <v>13</v>
      </c>
      <c r="F728" s="20" t="n">
        <v>8.74110391374031</v>
      </c>
      <c r="G728" s="20" t="n">
        <f aca="false">9-F728</f>
        <v>0.258896086259686</v>
      </c>
      <c r="H728" s="20" t="n">
        <f aca="false">IF(G728&gt;=1,G728,0)</f>
        <v>0</v>
      </c>
      <c r="I728" s="5" t="s">
        <v>74</v>
      </c>
      <c r="J728" s="5" t="s">
        <v>1203</v>
      </c>
    </row>
    <row r="729" customFormat="false" ht="15" hidden="false" customHeight="false" outlineLevel="0" collapsed="false">
      <c r="A729" s="5" t="s">
        <v>216</v>
      </c>
      <c r="B729" s="5" t="s">
        <v>169</v>
      </c>
      <c r="C729" s="5" t="n">
        <v>262</v>
      </c>
      <c r="D729" s="5" t="s">
        <v>1204</v>
      </c>
      <c r="E729" s="5" t="n">
        <v>14</v>
      </c>
      <c r="F729" s="20" t="n">
        <v>8.83046767633573</v>
      </c>
      <c r="G729" s="20" t="n">
        <f aca="false">9-F729</f>
        <v>0.169532323664274</v>
      </c>
      <c r="H729" s="20" t="n">
        <f aca="false">IF(G729&gt;=1,G729,0)</f>
        <v>0</v>
      </c>
      <c r="I729" s="5" t="s">
        <v>74</v>
      </c>
      <c r="J729" s="5" t="s">
        <v>1205</v>
      </c>
    </row>
    <row r="730" customFormat="false" ht="15" hidden="false" customHeight="false" outlineLevel="0" collapsed="false">
      <c r="A730" s="5" t="s">
        <v>216</v>
      </c>
      <c r="B730" s="5" t="s">
        <v>169</v>
      </c>
      <c r="C730" s="5" t="n">
        <v>263</v>
      </c>
      <c r="D730" s="5" t="s">
        <v>674</v>
      </c>
      <c r="E730" s="5" t="n">
        <v>22</v>
      </c>
      <c r="F730" s="20" t="n">
        <v>8.63585277709904</v>
      </c>
      <c r="G730" s="20" t="n">
        <f aca="false">9-F730</f>
        <v>0.364147222900964</v>
      </c>
      <c r="H730" s="20" t="n">
        <f aca="false">IF(G730&gt;=1,G730,0)</f>
        <v>0</v>
      </c>
      <c r="I730" s="5" t="s">
        <v>74</v>
      </c>
      <c r="J730" s="5" t="s">
        <v>1206</v>
      </c>
    </row>
    <row r="731" customFormat="false" ht="15" hidden="false" customHeight="false" outlineLevel="0" collapsed="false">
      <c r="A731" s="5" t="s">
        <v>216</v>
      </c>
      <c r="B731" s="5" t="s">
        <v>169</v>
      </c>
      <c r="C731" s="5" t="n">
        <v>264</v>
      </c>
      <c r="D731" s="5" t="s">
        <v>674</v>
      </c>
      <c r="E731" s="5" t="n">
        <v>22</v>
      </c>
      <c r="F731" s="20" t="n">
        <v>8.63585277709904</v>
      </c>
      <c r="G731" s="20" t="n">
        <f aca="false">9-F731</f>
        <v>0.364147222900964</v>
      </c>
      <c r="H731" s="20" t="n">
        <f aca="false">IF(G731&gt;=1,G731,0)</f>
        <v>0</v>
      </c>
      <c r="I731" s="5" t="s">
        <v>74</v>
      </c>
      <c r="J731" s="5" t="s">
        <v>1207</v>
      </c>
    </row>
    <row r="732" customFormat="false" ht="15" hidden="false" customHeight="false" outlineLevel="0" collapsed="false">
      <c r="A732" s="5" t="s">
        <v>216</v>
      </c>
      <c r="B732" s="5" t="s">
        <v>169</v>
      </c>
      <c r="C732" s="5" t="n">
        <v>265</v>
      </c>
      <c r="D732" s="5" t="s">
        <v>674</v>
      </c>
      <c r="E732" s="5" t="n">
        <v>22</v>
      </c>
      <c r="F732" s="20" t="n">
        <v>8.63585277709904</v>
      </c>
      <c r="G732" s="20" t="n">
        <f aca="false">9-F732</f>
        <v>0.364147222900964</v>
      </c>
      <c r="H732" s="20" t="n">
        <f aca="false">IF(G732&gt;=1,G732,0)</f>
        <v>0</v>
      </c>
      <c r="I732" s="5" t="s">
        <v>74</v>
      </c>
      <c r="J732" s="5" t="s">
        <v>1208</v>
      </c>
    </row>
    <row r="733" customFormat="false" ht="15" hidden="false" customHeight="false" outlineLevel="0" collapsed="false">
      <c r="A733" s="5" t="s">
        <v>216</v>
      </c>
      <c r="B733" s="5" t="s">
        <v>169</v>
      </c>
      <c r="C733" s="5" t="n">
        <v>266</v>
      </c>
      <c r="D733" s="5" t="s">
        <v>674</v>
      </c>
      <c r="E733" s="5" t="n">
        <v>22</v>
      </c>
      <c r="F733" s="20" t="n">
        <v>8.63585277709904</v>
      </c>
      <c r="G733" s="20" t="n">
        <f aca="false">9-F733</f>
        <v>0.364147222900964</v>
      </c>
      <c r="H733" s="20" t="n">
        <f aca="false">IF(G733&gt;=1,G733,0)</f>
        <v>0</v>
      </c>
      <c r="I733" s="5" t="s">
        <v>74</v>
      </c>
      <c r="J733" s="5" t="s">
        <v>1209</v>
      </c>
    </row>
    <row r="734" customFormat="false" ht="15" hidden="false" customHeight="false" outlineLevel="0" collapsed="false">
      <c r="A734" s="5" t="s">
        <v>216</v>
      </c>
      <c r="B734" s="5" t="s">
        <v>169</v>
      </c>
      <c r="C734" s="5" t="n">
        <v>267</v>
      </c>
      <c r="D734" s="5" t="s">
        <v>674</v>
      </c>
      <c r="E734" s="5" t="n">
        <v>22</v>
      </c>
      <c r="F734" s="20" t="n">
        <v>8.63585277709904</v>
      </c>
      <c r="G734" s="20" t="n">
        <f aca="false">9-F734</f>
        <v>0.364147222900964</v>
      </c>
      <c r="H734" s="20" t="n">
        <f aca="false">IF(G734&gt;=1,G734,0)</f>
        <v>0</v>
      </c>
      <c r="I734" s="5" t="s">
        <v>74</v>
      </c>
      <c r="J734" s="5" t="s">
        <v>1210</v>
      </c>
    </row>
    <row r="735" customFormat="false" ht="15" hidden="false" customHeight="false" outlineLevel="0" collapsed="false">
      <c r="A735" s="5" t="s">
        <v>216</v>
      </c>
      <c r="B735" s="5" t="s">
        <v>169</v>
      </c>
      <c r="C735" s="5" t="n">
        <v>268</v>
      </c>
      <c r="D735" s="5" t="s">
        <v>674</v>
      </c>
      <c r="E735" s="5" t="n">
        <v>22</v>
      </c>
      <c r="F735" s="20" t="n">
        <v>8.63585277709904</v>
      </c>
      <c r="G735" s="20" t="n">
        <f aca="false">9-F735</f>
        <v>0.364147222900964</v>
      </c>
      <c r="H735" s="20" t="n">
        <f aca="false">IF(G735&gt;=1,G735,0)</f>
        <v>0</v>
      </c>
      <c r="I735" s="5" t="s">
        <v>74</v>
      </c>
      <c r="J735" s="5" t="s">
        <v>1211</v>
      </c>
    </row>
    <row r="736" customFormat="false" ht="15" hidden="false" customHeight="false" outlineLevel="0" collapsed="false">
      <c r="A736" s="5" t="s">
        <v>216</v>
      </c>
      <c r="B736" s="5" t="s">
        <v>169</v>
      </c>
      <c r="C736" s="5" t="n">
        <v>269</v>
      </c>
      <c r="D736" s="5" t="s">
        <v>674</v>
      </c>
      <c r="E736" s="5" t="n">
        <v>22</v>
      </c>
      <c r="F736" s="20" t="n">
        <v>8.63585277709904</v>
      </c>
      <c r="G736" s="20" t="n">
        <f aca="false">9-F736</f>
        <v>0.364147222900964</v>
      </c>
      <c r="H736" s="20" t="n">
        <f aca="false">IF(G736&gt;=1,G736,0)</f>
        <v>0</v>
      </c>
      <c r="I736" s="5" t="s">
        <v>74</v>
      </c>
      <c r="J736" s="5" t="s">
        <v>1212</v>
      </c>
    </row>
    <row r="737" customFormat="false" ht="15" hidden="false" customHeight="false" outlineLevel="0" collapsed="false">
      <c r="A737" s="5" t="s">
        <v>216</v>
      </c>
      <c r="B737" s="5" t="s">
        <v>169</v>
      </c>
      <c r="C737" s="5" t="n">
        <v>270</v>
      </c>
      <c r="D737" s="5" t="s">
        <v>674</v>
      </c>
      <c r="E737" s="5" t="n">
        <v>22</v>
      </c>
      <c r="F737" s="20" t="n">
        <v>8.63585277709904</v>
      </c>
      <c r="G737" s="20" t="n">
        <f aca="false">9-F737</f>
        <v>0.364147222900964</v>
      </c>
      <c r="H737" s="20" t="n">
        <f aca="false">IF(G737&gt;=1,G737,0)</f>
        <v>0</v>
      </c>
      <c r="I737" s="5" t="s">
        <v>74</v>
      </c>
      <c r="J737" s="5" t="s">
        <v>1213</v>
      </c>
    </row>
    <row r="738" customFormat="false" ht="15" hidden="false" customHeight="false" outlineLevel="0" collapsed="false">
      <c r="A738" s="5" t="s">
        <v>216</v>
      </c>
      <c r="B738" s="5" t="s">
        <v>169</v>
      </c>
      <c r="C738" s="5" t="n">
        <v>271</v>
      </c>
      <c r="D738" s="5" t="s">
        <v>674</v>
      </c>
      <c r="E738" s="5" t="n">
        <v>22</v>
      </c>
      <c r="F738" s="20" t="n">
        <v>8.63585277709904</v>
      </c>
      <c r="G738" s="20" t="n">
        <f aca="false">9-F738</f>
        <v>0.364147222900964</v>
      </c>
      <c r="H738" s="20" t="n">
        <f aca="false">IF(G738&gt;=1,G738,0)</f>
        <v>0</v>
      </c>
      <c r="I738" s="5" t="s">
        <v>74</v>
      </c>
      <c r="J738" s="5" t="s">
        <v>1214</v>
      </c>
    </row>
    <row r="739" customFormat="false" ht="15" hidden="false" customHeight="false" outlineLevel="0" collapsed="false">
      <c r="A739" s="5" t="s">
        <v>216</v>
      </c>
      <c r="B739" s="5" t="s">
        <v>169</v>
      </c>
      <c r="C739" s="5" t="n">
        <v>272</v>
      </c>
      <c r="D739" s="5" t="s">
        <v>674</v>
      </c>
      <c r="E739" s="5" t="n">
        <v>22</v>
      </c>
      <c r="F739" s="20" t="n">
        <v>8.63585277709904</v>
      </c>
      <c r="G739" s="20" t="n">
        <f aca="false">9-F739</f>
        <v>0.364147222900964</v>
      </c>
      <c r="H739" s="20" t="n">
        <f aca="false">IF(G739&gt;=1,G739,0)</f>
        <v>0</v>
      </c>
      <c r="I739" s="5" t="s">
        <v>74</v>
      </c>
      <c r="J739" s="5" t="s">
        <v>1215</v>
      </c>
    </row>
    <row r="740" customFormat="false" ht="15" hidden="false" customHeight="false" outlineLevel="0" collapsed="false">
      <c r="A740" s="5" t="s">
        <v>216</v>
      </c>
      <c r="B740" s="5" t="s">
        <v>169</v>
      </c>
      <c r="C740" s="5" t="n">
        <v>273</v>
      </c>
      <c r="D740" s="5" t="s">
        <v>674</v>
      </c>
      <c r="E740" s="5" t="n">
        <v>22</v>
      </c>
      <c r="F740" s="20" t="n">
        <v>8.63585277709904</v>
      </c>
      <c r="G740" s="20" t="n">
        <f aca="false">9-F740</f>
        <v>0.364147222900964</v>
      </c>
      <c r="H740" s="20" t="n">
        <f aca="false">IF(G740&gt;=1,G740,0)</f>
        <v>0</v>
      </c>
      <c r="I740" s="5" t="s">
        <v>74</v>
      </c>
      <c r="J740" s="5" t="s">
        <v>1216</v>
      </c>
    </row>
    <row r="741" customFormat="false" ht="15" hidden="false" customHeight="false" outlineLevel="0" collapsed="false">
      <c r="A741" s="5" t="s">
        <v>216</v>
      </c>
      <c r="B741" s="5" t="s">
        <v>169</v>
      </c>
      <c r="C741" s="5" t="n">
        <v>274</v>
      </c>
      <c r="D741" s="5" t="s">
        <v>674</v>
      </c>
      <c r="E741" s="5" t="n">
        <v>22</v>
      </c>
      <c r="F741" s="20" t="n">
        <v>8.63585277709904</v>
      </c>
      <c r="G741" s="20" t="n">
        <f aca="false">9-F741</f>
        <v>0.364147222900964</v>
      </c>
      <c r="H741" s="20" t="n">
        <f aca="false">IF(G741&gt;=1,G741,0)</f>
        <v>0</v>
      </c>
      <c r="I741" s="5" t="s">
        <v>74</v>
      </c>
      <c r="J741" s="5" t="s">
        <v>1217</v>
      </c>
    </row>
    <row r="742" customFormat="false" ht="15" hidden="false" customHeight="false" outlineLevel="0" collapsed="false">
      <c r="A742" s="5" t="s">
        <v>216</v>
      </c>
      <c r="B742" s="5" t="s">
        <v>169</v>
      </c>
      <c r="C742" s="5" t="n">
        <v>275</v>
      </c>
      <c r="D742" s="5" t="s">
        <v>674</v>
      </c>
      <c r="E742" s="5" t="n">
        <v>22</v>
      </c>
      <c r="F742" s="20" t="n">
        <v>8.63585277709904</v>
      </c>
      <c r="G742" s="20" t="n">
        <f aca="false">9-F742</f>
        <v>0.364147222900964</v>
      </c>
      <c r="H742" s="20" t="n">
        <f aca="false">IF(G742&gt;=1,G742,0)</f>
        <v>0</v>
      </c>
      <c r="I742" s="5" t="s">
        <v>74</v>
      </c>
      <c r="J742" s="5" t="s">
        <v>1218</v>
      </c>
    </row>
    <row r="743" customFormat="false" ht="15" hidden="false" customHeight="false" outlineLevel="0" collapsed="false">
      <c r="A743" s="5" t="s">
        <v>216</v>
      </c>
      <c r="B743" s="5" t="s">
        <v>169</v>
      </c>
      <c r="C743" s="5" t="n">
        <v>276</v>
      </c>
      <c r="D743" s="5" t="s">
        <v>674</v>
      </c>
      <c r="E743" s="5" t="n">
        <v>22</v>
      </c>
      <c r="F743" s="20" t="n">
        <v>8.63585277709904</v>
      </c>
      <c r="G743" s="20" t="n">
        <f aca="false">9-F743</f>
        <v>0.364147222900964</v>
      </c>
      <c r="H743" s="20" t="n">
        <f aca="false">IF(G743&gt;=1,G743,0)</f>
        <v>0</v>
      </c>
      <c r="I743" s="5" t="s">
        <v>74</v>
      </c>
      <c r="J743" s="5" t="s">
        <v>1219</v>
      </c>
    </row>
    <row r="744" customFormat="false" ht="15" hidden="false" customHeight="false" outlineLevel="0" collapsed="false">
      <c r="A744" s="5" t="s">
        <v>216</v>
      </c>
      <c r="B744" s="5" t="s">
        <v>169</v>
      </c>
      <c r="C744" s="5" t="n">
        <v>277</v>
      </c>
      <c r="D744" s="5" t="s">
        <v>674</v>
      </c>
      <c r="E744" s="5" t="n">
        <v>22</v>
      </c>
      <c r="F744" s="20" t="n">
        <v>8.63585277709904</v>
      </c>
      <c r="G744" s="20" t="n">
        <f aca="false">9-F744</f>
        <v>0.364147222900964</v>
      </c>
      <c r="H744" s="20" t="n">
        <f aca="false">IF(G744&gt;=1,G744,0)</f>
        <v>0</v>
      </c>
      <c r="I744" s="5" t="s">
        <v>74</v>
      </c>
      <c r="J744" s="5" t="s">
        <v>1220</v>
      </c>
    </row>
    <row r="745" customFormat="false" ht="15" hidden="false" customHeight="false" outlineLevel="0" collapsed="false">
      <c r="A745" s="5" t="s">
        <v>216</v>
      </c>
      <c r="B745" s="5" t="s">
        <v>169</v>
      </c>
      <c r="C745" s="5" t="n">
        <v>278</v>
      </c>
      <c r="D745" s="5" t="s">
        <v>1221</v>
      </c>
      <c r="E745" s="5" t="n">
        <v>18</v>
      </c>
      <c r="F745" s="20" t="n">
        <v>7.06569772671739</v>
      </c>
      <c r="G745" s="20" t="n">
        <f aca="false">9-F745</f>
        <v>1.93430227328261</v>
      </c>
      <c r="H745" s="20" t="n">
        <f aca="false">IF(G745&gt;=1,G745,0)</f>
        <v>1.93430227328261</v>
      </c>
      <c r="I745" s="5" t="s">
        <v>74</v>
      </c>
      <c r="J745" s="5" t="s">
        <v>1222</v>
      </c>
    </row>
    <row r="746" customFormat="false" ht="15" hidden="false" customHeight="false" outlineLevel="0" collapsed="false">
      <c r="A746" s="5" t="s">
        <v>216</v>
      </c>
      <c r="B746" s="5" t="s">
        <v>170</v>
      </c>
      <c r="C746" s="5" t="n">
        <v>1</v>
      </c>
      <c r="D746" s="5" t="s">
        <v>1223</v>
      </c>
      <c r="E746" s="5" t="n">
        <v>2</v>
      </c>
      <c r="F746" s="20" t="n">
        <v>8.91367676547286</v>
      </c>
      <c r="G746" s="20" t="n">
        <f aca="false">9-F746</f>
        <v>0.086323234527141</v>
      </c>
      <c r="H746" s="20" t="n">
        <f aca="false">IF(G746&gt;=1,G746,0)</f>
        <v>0</v>
      </c>
      <c r="I746" s="5" t="s">
        <v>774</v>
      </c>
      <c r="J746" s="5" t="s">
        <v>1224</v>
      </c>
    </row>
    <row r="747" customFormat="false" ht="15" hidden="false" customHeight="false" outlineLevel="0" collapsed="false">
      <c r="A747" s="5" t="s">
        <v>216</v>
      </c>
      <c r="B747" s="5" t="s">
        <v>170</v>
      </c>
      <c r="C747" s="5" t="n">
        <v>2</v>
      </c>
      <c r="D747" s="5" t="s">
        <v>1225</v>
      </c>
      <c r="E747" s="5" t="n">
        <v>2</v>
      </c>
      <c r="F747" s="20" t="n">
        <v>8.88356923859114</v>
      </c>
      <c r="G747" s="20" t="n">
        <f aca="false">9-F747</f>
        <v>0.116430761408859</v>
      </c>
      <c r="H747" s="20" t="n">
        <f aca="false">IF(G747&gt;=1,G747,0)</f>
        <v>0</v>
      </c>
      <c r="I747" s="5" t="s">
        <v>774</v>
      </c>
      <c r="J747" s="5" t="s">
        <v>1226</v>
      </c>
    </row>
    <row r="748" customFormat="false" ht="15" hidden="false" customHeight="false" outlineLevel="0" collapsed="false">
      <c r="A748" s="5" t="s">
        <v>216</v>
      </c>
      <c r="B748" s="5" t="s">
        <v>170</v>
      </c>
      <c r="C748" s="5" t="n">
        <v>3</v>
      </c>
      <c r="D748" s="5" t="s">
        <v>1227</v>
      </c>
      <c r="E748" s="5" t="n">
        <v>2</v>
      </c>
      <c r="F748" s="20" t="n">
        <v>8.85346171170941</v>
      </c>
      <c r="G748" s="20" t="n">
        <f aca="false">9-F748</f>
        <v>0.146538288290586</v>
      </c>
      <c r="H748" s="20" t="n">
        <f aca="false">IF(G748&gt;=1,G748,0)</f>
        <v>0</v>
      </c>
      <c r="I748" s="5" t="s">
        <v>774</v>
      </c>
      <c r="J748" s="5" t="s">
        <v>1228</v>
      </c>
    </row>
    <row r="749" customFormat="false" ht="15" hidden="false" customHeight="false" outlineLevel="0" collapsed="false">
      <c r="A749" s="5" t="s">
        <v>216</v>
      </c>
      <c r="B749" s="5" t="s">
        <v>170</v>
      </c>
      <c r="C749" s="5" t="n">
        <v>4</v>
      </c>
      <c r="D749" s="5" t="s">
        <v>1229</v>
      </c>
      <c r="E749" s="5" t="n">
        <v>1</v>
      </c>
      <c r="F749" s="20" t="n">
        <v>7.225</v>
      </c>
      <c r="G749" s="20" t="n">
        <f aca="false">9-F749</f>
        <v>1.775</v>
      </c>
      <c r="H749" s="20" t="n">
        <f aca="false">IF(G749&gt;=1,G749,0)</f>
        <v>1.775</v>
      </c>
      <c r="I749" s="5" t="s">
        <v>774</v>
      </c>
      <c r="J749" s="5" t="s">
        <v>1230</v>
      </c>
    </row>
    <row r="750" customFormat="false" ht="15" hidden="false" customHeight="false" outlineLevel="0" collapsed="false">
      <c r="A750" s="5" t="s">
        <v>216</v>
      </c>
      <c r="B750" s="5" t="s">
        <v>170</v>
      </c>
      <c r="C750" s="5" t="n">
        <v>5</v>
      </c>
      <c r="D750" s="5" t="s">
        <v>1231</v>
      </c>
      <c r="E750" s="5" t="n">
        <v>1</v>
      </c>
      <c r="F750" s="20" t="n">
        <v>7.225</v>
      </c>
      <c r="G750" s="20" t="n">
        <f aca="false">9-F750</f>
        <v>1.775</v>
      </c>
      <c r="H750" s="20" t="n">
        <f aca="false">IF(G750&gt;=1,G750,0)</f>
        <v>1.775</v>
      </c>
      <c r="I750" s="5" t="s">
        <v>774</v>
      </c>
      <c r="J750" s="5" t="s">
        <v>1232</v>
      </c>
    </row>
    <row r="751" customFormat="false" ht="15" hidden="false" customHeight="false" outlineLevel="0" collapsed="false">
      <c r="A751" s="5" t="s">
        <v>216</v>
      </c>
      <c r="B751" s="5" t="s">
        <v>170</v>
      </c>
      <c r="C751" s="5" t="n">
        <v>6</v>
      </c>
      <c r="D751" s="5" t="s">
        <v>1231</v>
      </c>
      <c r="E751" s="5" t="n">
        <v>1</v>
      </c>
      <c r="F751" s="20" t="n">
        <v>7.225</v>
      </c>
      <c r="G751" s="20" t="n">
        <f aca="false">9-F751</f>
        <v>1.775</v>
      </c>
      <c r="H751" s="20" t="n">
        <f aca="false">IF(G751&gt;=1,G751,0)</f>
        <v>1.775</v>
      </c>
      <c r="I751" s="5" t="s">
        <v>774</v>
      </c>
      <c r="J751" s="5" t="s">
        <v>1233</v>
      </c>
    </row>
    <row r="752" customFormat="false" ht="15" hidden="false" customHeight="false" outlineLevel="0" collapsed="false">
      <c r="A752" s="5" t="s">
        <v>216</v>
      </c>
      <c r="B752" s="5" t="s">
        <v>170</v>
      </c>
      <c r="C752" s="5" t="n">
        <v>7</v>
      </c>
      <c r="D752" s="5" t="s">
        <v>1231</v>
      </c>
      <c r="E752" s="5" t="n">
        <v>1</v>
      </c>
      <c r="F752" s="20" t="n">
        <v>7.225</v>
      </c>
      <c r="G752" s="20" t="n">
        <f aca="false">9-F752</f>
        <v>1.775</v>
      </c>
      <c r="H752" s="20" t="n">
        <f aca="false">IF(G752&gt;=1,G752,0)</f>
        <v>1.775</v>
      </c>
      <c r="I752" s="5" t="s">
        <v>774</v>
      </c>
      <c r="J752" s="5" t="s">
        <v>1234</v>
      </c>
    </row>
    <row r="753" customFormat="false" ht="15" hidden="false" customHeight="false" outlineLevel="0" collapsed="false">
      <c r="A753" s="5" t="s">
        <v>216</v>
      </c>
      <c r="B753" s="5" t="s">
        <v>170</v>
      </c>
      <c r="C753" s="5" t="n">
        <v>8</v>
      </c>
      <c r="D753" s="5" t="s">
        <v>1235</v>
      </c>
      <c r="E753" s="5" t="n">
        <v>2</v>
      </c>
      <c r="F753" s="20" t="n">
        <v>8.99011034913166</v>
      </c>
      <c r="G753" s="20" t="n">
        <f aca="false">9-F753</f>
        <v>0.00988965086834526</v>
      </c>
      <c r="H753" s="20" t="n">
        <f aca="false">IF(G753&gt;=1,G753,0)</f>
        <v>0</v>
      </c>
      <c r="I753" s="5" t="s">
        <v>774</v>
      </c>
      <c r="J753" s="5" t="s">
        <v>1236</v>
      </c>
    </row>
    <row r="754" customFormat="false" ht="15" hidden="false" customHeight="false" outlineLevel="0" collapsed="false">
      <c r="A754" s="5" t="s">
        <v>216</v>
      </c>
      <c r="B754" s="5" t="s">
        <v>170</v>
      </c>
      <c r="C754" s="5" t="n">
        <v>9</v>
      </c>
      <c r="D754" s="5" t="s">
        <v>1237</v>
      </c>
      <c r="E754" s="5" t="n">
        <v>2</v>
      </c>
      <c r="F754" s="20" t="n">
        <v>8.99011034913165</v>
      </c>
      <c r="G754" s="20" t="n">
        <f aca="false">9-F754</f>
        <v>0.00988965086834881</v>
      </c>
      <c r="H754" s="20" t="n">
        <f aca="false">IF(G754&gt;=1,G754,0)</f>
        <v>0</v>
      </c>
      <c r="I754" s="5" t="s">
        <v>774</v>
      </c>
      <c r="J754" s="5" t="s">
        <v>1238</v>
      </c>
    </row>
    <row r="755" customFormat="false" ht="15" hidden="false" customHeight="false" outlineLevel="0" collapsed="false">
      <c r="A755" s="5" t="s">
        <v>216</v>
      </c>
      <c r="B755" s="5" t="s">
        <v>170</v>
      </c>
      <c r="C755" s="5" t="n">
        <v>10</v>
      </c>
      <c r="D755" s="5" t="s">
        <v>1239</v>
      </c>
      <c r="E755" s="5" t="n">
        <v>2</v>
      </c>
      <c r="F755" s="20" t="n">
        <v>8.89858346741122</v>
      </c>
      <c r="G755" s="20" t="n">
        <f aca="false">9-F755</f>
        <v>0.101416532588784</v>
      </c>
      <c r="H755" s="20" t="n">
        <f aca="false">IF(G755&gt;=1,G755,0)</f>
        <v>0</v>
      </c>
      <c r="I755" s="5" t="s">
        <v>774</v>
      </c>
      <c r="J755" s="5" t="s">
        <v>1240</v>
      </c>
    </row>
    <row r="756" customFormat="false" ht="15" hidden="false" customHeight="false" outlineLevel="0" collapsed="false">
      <c r="A756" s="5" t="s">
        <v>216</v>
      </c>
      <c r="B756" s="5" t="s">
        <v>170</v>
      </c>
      <c r="C756" s="5" t="n">
        <v>11</v>
      </c>
      <c r="D756" s="5" t="s">
        <v>1241</v>
      </c>
      <c r="E756" s="5" t="n">
        <v>1</v>
      </c>
      <c r="F756" s="20" t="n">
        <v>7.09429379871255</v>
      </c>
      <c r="G756" s="20" t="n">
        <f aca="false">9-F756</f>
        <v>1.90570620128745</v>
      </c>
      <c r="H756" s="20" t="n">
        <f aca="false">IF(G756&gt;=1,G756,0)</f>
        <v>1.90570620128745</v>
      </c>
      <c r="I756" s="5" t="s">
        <v>774</v>
      </c>
      <c r="J756" s="5" t="s">
        <v>1242</v>
      </c>
    </row>
    <row r="757" customFormat="false" ht="15" hidden="false" customHeight="false" outlineLevel="0" collapsed="false">
      <c r="A757" s="5" t="s">
        <v>216</v>
      </c>
      <c r="B757" s="5" t="s">
        <v>170</v>
      </c>
      <c r="C757" s="5" t="n">
        <v>12</v>
      </c>
      <c r="D757" s="5" t="s">
        <v>1241</v>
      </c>
      <c r="E757" s="5" t="n">
        <v>1</v>
      </c>
      <c r="F757" s="20" t="n">
        <v>7.093158378244</v>
      </c>
      <c r="G757" s="20" t="n">
        <f aca="false">9-F757</f>
        <v>1.906841621756</v>
      </c>
      <c r="H757" s="20" t="n">
        <f aca="false">IF(G757&gt;=1,G757,0)</f>
        <v>1.906841621756</v>
      </c>
      <c r="I757" s="5" t="s">
        <v>774</v>
      </c>
      <c r="J757" s="5" t="s">
        <v>1243</v>
      </c>
    </row>
    <row r="758" customFormat="false" ht="15" hidden="false" customHeight="false" outlineLevel="0" collapsed="false">
      <c r="A758" s="5" t="s">
        <v>216</v>
      </c>
      <c r="B758" s="5" t="s">
        <v>170</v>
      </c>
      <c r="C758" s="5" t="n">
        <v>13</v>
      </c>
      <c r="D758" s="5" t="s">
        <v>1244</v>
      </c>
      <c r="E758" s="5" t="n">
        <v>1</v>
      </c>
      <c r="F758" s="20" t="n">
        <v>7.07954111054051</v>
      </c>
      <c r="G758" s="20" t="n">
        <f aca="false">9-F758</f>
        <v>1.92045888945949</v>
      </c>
      <c r="H758" s="20" t="n">
        <f aca="false">IF(G758&gt;=1,G758,0)</f>
        <v>1.92045888945949</v>
      </c>
      <c r="I758" s="5" t="s">
        <v>774</v>
      </c>
      <c r="J758" s="5" t="s">
        <v>1245</v>
      </c>
    </row>
    <row r="759" customFormat="false" ht="15" hidden="false" customHeight="false" outlineLevel="0" collapsed="false">
      <c r="A759" s="5" t="s">
        <v>216</v>
      </c>
      <c r="B759" s="5" t="s">
        <v>170</v>
      </c>
      <c r="C759" s="5" t="n">
        <v>14</v>
      </c>
      <c r="D759" s="5" t="s">
        <v>1244</v>
      </c>
      <c r="E759" s="5" t="n">
        <v>1</v>
      </c>
      <c r="F759" s="20" t="n">
        <v>7.07954111054051</v>
      </c>
      <c r="G759" s="20" t="n">
        <f aca="false">9-F759</f>
        <v>1.92045888945949</v>
      </c>
      <c r="H759" s="20" t="n">
        <f aca="false">IF(G759&gt;=1,G759,0)</f>
        <v>1.92045888945949</v>
      </c>
      <c r="I759" s="5" t="s">
        <v>774</v>
      </c>
      <c r="J759" s="5" t="s">
        <v>1246</v>
      </c>
    </row>
    <row r="760" customFormat="false" ht="15" hidden="false" customHeight="false" outlineLevel="0" collapsed="false">
      <c r="A760" s="5" t="s">
        <v>216</v>
      </c>
      <c r="B760" s="5" t="s">
        <v>170</v>
      </c>
      <c r="C760" s="5" t="n">
        <v>15</v>
      </c>
      <c r="D760" s="5" t="s">
        <v>1247</v>
      </c>
      <c r="E760" s="5" t="n">
        <v>2</v>
      </c>
      <c r="F760" s="20" t="n">
        <v>8.37334465007483</v>
      </c>
      <c r="G760" s="20" t="n">
        <f aca="false">9-F760</f>
        <v>0.626655349925169</v>
      </c>
      <c r="H760" s="20" t="n">
        <f aca="false">IF(G760&gt;=1,G760,0)</f>
        <v>0</v>
      </c>
      <c r="I760" s="5" t="s">
        <v>774</v>
      </c>
      <c r="J760" s="5" t="s">
        <v>1248</v>
      </c>
    </row>
    <row r="761" customFormat="false" ht="15" hidden="false" customHeight="false" outlineLevel="0" collapsed="false">
      <c r="A761" s="5" t="s">
        <v>216</v>
      </c>
      <c r="B761" s="5" t="s">
        <v>170</v>
      </c>
      <c r="C761" s="5" t="n">
        <v>16</v>
      </c>
      <c r="D761" s="5" t="s">
        <v>1249</v>
      </c>
      <c r="E761" s="5" t="n">
        <v>2</v>
      </c>
      <c r="F761" s="20" t="n">
        <v>8.34617899527458</v>
      </c>
      <c r="G761" s="20" t="n">
        <f aca="false">9-F761</f>
        <v>0.653821004725423</v>
      </c>
      <c r="H761" s="20" t="n">
        <f aca="false">IF(G761&gt;=1,G761,0)</f>
        <v>0</v>
      </c>
      <c r="I761" s="5" t="s">
        <v>774</v>
      </c>
      <c r="J761" s="5" t="s">
        <v>1250</v>
      </c>
    </row>
    <row r="762" customFormat="false" ht="15" hidden="false" customHeight="false" outlineLevel="0" collapsed="false">
      <c r="A762" s="5" t="s">
        <v>216</v>
      </c>
      <c r="B762" s="5" t="s">
        <v>170</v>
      </c>
      <c r="C762" s="5" t="n">
        <v>17</v>
      </c>
      <c r="D762" s="5" t="s">
        <v>1251</v>
      </c>
      <c r="E762" s="5" t="n">
        <v>2</v>
      </c>
      <c r="F762" s="20" t="n">
        <v>8.23056609204876</v>
      </c>
      <c r="G762" s="20" t="n">
        <f aca="false">9-F762</f>
        <v>0.769433907951239</v>
      </c>
      <c r="H762" s="20" t="n">
        <f aca="false">IF(G762&gt;=1,G762,0)</f>
        <v>0</v>
      </c>
      <c r="I762" s="5" t="s">
        <v>774</v>
      </c>
      <c r="J762" s="5" t="s">
        <v>1252</v>
      </c>
    </row>
    <row r="763" customFormat="false" ht="15" hidden="false" customHeight="false" outlineLevel="0" collapsed="false">
      <c r="A763" s="5" t="s">
        <v>216</v>
      </c>
      <c r="B763" s="5" t="s">
        <v>170</v>
      </c>
      <c r="C763" s="5" t="n">
        <v>18</v>
      </c>
      <c r="D763" s="5" t="s">
        <v>1253</v>
      </c>
      <c r="E763" s="5" t="n">
        <v>2</v>
      </c>
      <c r="F763" s="20" t="n">
        <v>8.0951217557018</v>
      </c>
      <c r="G763" s="20" t="n">
        <f aca="false">9-F763</f>
        <v>0.9048782442982</v>
      </c>
      <c r="H763" s="20" t="n">
        <f aca="false">IF(G763&gt;=1,G763,0)</f>
        <v>0</v>
      </c>
      <c r="I763" s="5" t="s">
        <v>774</v>
      </c>
      <c r="J763" s="5" t="s">
        <v>1254</v>
      </c>
    </row>
    <row r="764" customFormat="false" ht="15" hidden="false" customHeight="false" outlineLevel="0" collapsed="false">
      <c r="A764" s="5" t="s">
        <v>216</v>
      </c>
      <c r="B764" s="5" t="s">
        <v>170</v>
      </c>
      <c r="C764" s="5" t="n">
        <v>19</v>
      </c>
      <c r="D764" s="5" t="s">
        <v>1255</v>
      </c>
      <c r="E764" s="5" t="n">
        <v>2</v>
      </c>
      <c r="F764" s="20" t="n">
        <v>8.05</v>
      </c>
      <c r="G764" s="20" t="n">
        <f aca="false">9-F764</f>
        <v>0.949999999999999</v>
      </c>
      <c r="H764" s="20" t="n">
        <f aca="false">IF(G764&gt;=1,G764,0)</f>
        <v>0</v>
      </c>
      <c r="I764" s="5" t="s">
        <v>774</v>
      </c>
      <c r="J764" s="5" t="s">
        <v>1256</v>
      </c>
    </row>
    <row r="765" customFormat="false" ht="15" hidden="false" customHeight="false" outlineLevel="0" collapsed="false">
      <c r="A765" s="5" t="s">
        <v>216</v>
      </c>
      <c r="B765" s="5" t="s">
        <v>170</v>
      </c>
      <c r="C765" s="5" t="n">
        <v>20</v>
      </c>
      <c r="D765" s="5" t="s">
        <v>1255</v>
      </c>
      <c r="E765" s="5" t="n">
        <v>2</v>
      </c>
      <c r="F765" s="20" t="n">
        <v>8.05</v>
      </c>
      <c r="G765" s="20" t="n">
        <f aca="false">9-F765</f>
        <v>0.949999999999999</v>
      </c>
      <c r="H765" s="20" t="n">
        <f aca="false">IF(G765&gt;=1,G765,0)</f>
        <v>0</v>
      </c>
      <c r="I765" s="5" t="s">
        <v>774</v>
      </c>
      <c r="J765" s="5" t="s">
        <v>1257</v>
      </c>
    </row>
    <row r="766" customFormat="false" ht="15" hidden="false" customHeight="false" outlineLevel="0" collapsed="false">
      <c r="A766" s="5" t="s">
        <v>216</v>
      </c>
      <c r="B766" s="5" t="s">
        <v>170</v>
      </c>
      <c r="C766" s="5" t="n">
        <v>21</v>
      </c>
      <c r="D766" s="5" t="s">
        <v>1255</v>
      </c>
      <c r="E766" s="5" t="n">
        <v>2</v>
      </c>
      <c r="F766" s="20" t="n">
        <v>8.05</v>
      </c>
      <c r="G766" s="20" t="n">
        <f aca="false">9-F766</f>
        <v>0.949999999999999</v>
      </c>
      <c r="H766" s="20" t="n">
        <f aca="false">IF(G766&gt;=1,G766,0)</f>
        <v>0</v>
      </c>
      <c r="I766" s="5" t="s">
        <v>774</v>
      </c>
      <c r="J766" s="5" t="s">
        <v>1258</v>
      </c>
    </row>
    <row r="767" customFormat="false" ht="15" hidden="false" customHeight="false" outlineLevel="0" collapsed="false">
      <c r="A767" s="5" t="s">
        <v>216</v>
      </c>
      <c r="B767" s="5" t="s">
        <v>170</v>
      </c>
      <c r="C767" s="5" t="n">
        <v>22</v>
      </c>
      <c r="D767" s="5" t="s">
        <v>767</v>
      </c>
      <c r="E767" s="5" t="n">
        <v>2</v>
      </c>
      <c r="F767" s="20" t="n">
        <v>7.46098758690413</v>
      </c>
      <c r="G767" s="20" t="n">
        <f aca="false">9-F767</f>
        <v>1.53901241309587</v>
      </c>
      <c r="H767" s="20" t="n">
        <f aca="false">IF(G767&gt;=1,G767,0)</f>
        <v>1.53901241309587</v>
      </c>
      <c r="I767" s="5" t="s">
        <v>774</v>
      </c>
      <c r="J767" s="5" t="s">
        <v>1259</v>
      </c>
    </row>
    <row r="768" customFormat="false" ht="15" hidden="false" customHeight="false" outlineLevel="0" collapsed="false">
      <c r="A768" s="5" t="s">
        <v>216</v>
      </c>
      <c r="B768" s="5" t="s">
        <v>170</v>
      </c>
      <c r="C768" s="5" t="n">
        <v>23</v>
      </c>
      <c r="D768" s="5" t="s">
        <v>767</v>
      </c>
      <c r="E768" s="5" t="n">
        <v>2</v>
      </c>
      <c r="F768" s="20" t="n">
        <v>7.46098758690413</v>
      </c>
      <c r="G768" s="20" t="n">
        <f aca="false">9-F768</f>
        <v>1.53901241309587</v>
      </c>
      <c r="H768" s="20" t="n">
        <f aca="false">IF(G768&gt;=1,G768,0)</f>
        <v>1.53901241309587</v>
      </c>
      <c r="I768" s="5" t="s">
        <v>774</v>
      </c>
      <c r="J768" s="5" t="s">
        <v>1260</v>
      </c>
    </row>
    <row r="769" customFormat="false" ht="15" hidden="false" customHeight="false" outlineLevel="0" collapsed="false">
      <c r="A769" s="5" t="s">
        <v>216</v>
      </c>
      <c r="B769" s="5" t="s">
        <v>170</v>
      </c>
      <c r="C769" s="5" t="n">
        <v>24</v>
      </c>
      <c r="D769" s="5" t="s">
        <v>767</v>
      </c>
      <c r="E769" s="5" t="n">
        <v>2</v>
      </c>
      <c r="F769" s="20" t="n">
        <v>7.46098758690413</v>
      </c>
      <c r="G769" s="20" t="n">
        <f aca="false">9-F769</f>
        <v>1.53901241309587</v>
      </c>
      <c r="H769" s="20" t="n">
        <f aca="false">IF(G769&gt;=1,G769,0)</f>
        <v>1.53901241309587</v>
      </c>
      <c r="I769" s="5" t="s">
        <v>774</v>
      </c>
      <c r="J769" s="5" t="s">
        <v>1261</v>
      </c>
    </row>
    <row r="770" customFormat="false" ht="15" hidden="false" customHeight="false" outlineLevel="0" collapsed="false">
      <c r="A770" s="5" t="s">
        <v>216</v>
      </c>
      <c r="B770" s="5" t="s">
        <v>170</v>
      </c>
      <c r="C770" s="5" t="n">
        <v>25</v>
      </c>
      <c r="D770" s="5" t="s">
        <v>767</v>
      </c>
      <c r="E770" s="5" t="n">
        <v>2</v>
      </c>
      <c r="F770" s="20" t="n">
        <v>7.46098758690413</v>
      </c>
      <c r="G770" s="20" t="n">
        <f aca="false">9-F770</f>
        <v>1.53901241309587</v>
      </c>
      <c r="H770" s="20" t="n">
        <f aca="false">IF(G770&gt;=1,G770,0)</f>
        <v>1.53901241309587</v>
      </c>
      <c r="I770" s="5" t="s">
        <v>774</v>
      </c>
      <c r="J770" s="5" t="s">
        <v>1262</v>
      </c>
    </row>
    <row r="771" customFormat="false" ht="15" hidden="false" customHeight="false" outlineLevel="0" collapsed="false">
      <c r="A771" s="5" t="s">
        <v>216</v>
      </c>
      <c r="B771" s="5" t="s">
        <v>170</v>
      </c>
      <c r="C771" s="5" t="n">
        <v>26</v>
      </c>
      <c r="D771" s="5" t="s">
        <v>767</v>
      </c>
      <c r="E771" s="5" t="n">
        <v>2</v>
      </c>
      <c r="F771" s="20" t="n">
        <v>7.46098758690413</v>
      </c>
      <c r="G771" s="20" t="n">
        <f aca="false">9-F771</f>
        <v>1.53901241309587</v>
      </c>
      <c r="H771" s="20" t="n">
        <f aca="false">IF(G771&gt;=1,G771,0)</f>
        <v>1.53901241309587</v>
      </c>
      <c r="I771" s="5" t="s">
        <v>774</v>
      </c>
      <c r="J771" s="5" t="s">
        <v>1263</v>
      </c>
    </row>
    <row r="772" customFormat="false" ht="15" hidden="false" customHeight="false" outlineLevel="0" collapsed="false">
      <c r="A772" s="5" t="s">
        <v>216</v>
      </c>
      <c r="B772" s="5" t="s">
        <v>170</v>
      </c>
      <c r="C772" s="5" t="n">
        <v>27</v>
      </c>
      <c r="D772" s="5" t="s">
        <v>767</v>
      </c>
      <c r="E772" s="5" t="n">
        <v>2</v>
      </c>
      <c r="F772" s="20" t="n">
        <v>7.46098758690413</v>
      </c>
      <c r="G772" s="20" t="n">
        <f aca="false">9-F772</f>
        <v>1.53901241309587</v>
      </c>
      <c r="H772" s="20" t="n">
        <f aca="false">IF(G772&gt;=1,G772,0)</f>
        <v>1.53901241309587</v>
      </c>
      <c r="I772" s="5" t="s">
        <v>774</v>
      </c>
      <c r="J772" s="5" t="s">
        <v>1264</v>
      </c>
    </row>
    <row r="773" customFormat="false" ht="15" hidden="false" customHeight="false" outlineLevel="0" collapsed="false">
      <c r="A773" s="5" t="s">
        <v>216</v>
      </c>
      <c r="B773" s="5" t="s">
        <v>170</v>
      </c>
      <c r="C773" s="5" t="n">
        <v>28</v>
      </c>
      <c r="D773" s="5" t="s">
        <v>767</v>
      </c>
      <c r="E773" s="5" t="n">
        <v>2</v>
      </c>
      <c r="F773" s="20" t="n">
        <v>7.46098758690413</v>
      </c>
      <c r="G773" s="20" t="n">
        <f aca="false">9-F773</f>
        <v>1.53901241309587</v>
      </c>
      <c r="H773" s="20" t="n">
        <f aca="false">IF(G773&gt;=1,G773,0)</f>
        <v>1.53901241309587</v>
      </c>
      <c r="I773" s="5" t="s">
        <v>774</v>
      </c>
      <c r="J773" s="5" t="s">
        <v>1265</v>
      </c>
    </row>
    <row r="774" customFormat="false" ht="15" hidden="false" customHeight="false" outlineLevel="0" collapsed="false">
      <c r="A774" s="5" t="s">
        <v>216</v>
      </c>
      <c r="B774" s="5" t="s">
        <v>170</v>
      </c>
      <c r="C774" s="5" t="n">
        <v>29</v>
      </c>
      <c r="D774" s="5" t="s">
        <v>1266</v>
      </c>
      <c r="E774" s="5" t="n">
        <v>2</v>
      </c>
      <c r="F774" s="20" t="n">
        <v>7.00236629746104</v>
      </c>
      <c r="G774" s="20" t="n">
        <f aca="false">9-F774</f>
        <v>1.99763370253896</v>
      </c>
      <c r="H774" s="20" t="n">
        <f aca="false">IF(G774&gt;=1,G774,0)</f>
        <v>1.99763370253896</v>
      </c>
      <c r="I774" s="5" t="s">
        <v>74</v>
      </c>
      <c r="J774" s="5" t="s">
        <v>1267</v>
      </c>
    </row>
    <row r="775" customFormat="false" ht="15" hidden="false" customHeight="false" outlineLevel="0" collapsed="false">
      <c r="A775" s="5" t="s">
        <v>216</v>
      </c>
      <c r="B775" s="5" t="s">
        <v>170</v>
      </c>
      <c r="C775" s="5" t="n">
        <v>30</v>
      </c>
      <c r="D775" s="5" t="s">
        <v>1266</v>
      </c>
      <c r="E775" s="5" t="n">
        <v>2</v>
      </c>
      <c r="F775" s="20" t="n">
        <v>7.00236629746104</v>
      </c>
      <c r="G775" s="20" t="n">
        <f aca="false">9-F775</f>
        <v>1.99763370253896</v>
      </c>
      <c r="H775" s="20" t="n">
        <f aca="false">IF(G775&gt;=1,G775,0)</f>
        <v>1.99763370253896</v>
      </c>
      <c r="I775" s="5" t="s">
        <v>74</v>
      </c>
      <c r="J775" s="5" t="s">
        <v>1268</v>
      </c>
    </row>
    <row r="776" customFormat="false" ht="15" hidden="false" customHeight="false" outlineLevel="0" collapsed="false">
      <c r="A776" s="5" t="s">
        <v>216</v>
      </c>
      <c r="B776" s="5" t="s">
        <v>170</v>
      </c>
      <c r="C776" s="5" t="n">
        <v>31</v>
      </c>
      <c r="D776" s="5" t="s">
        <v>1266</v>
      </c>
      <c r="E776" s="5" t="n">
        <v>2</v>
      </c>
      <c r="F776" s="20" t="n">
        <v>7.00236629746104</v>
      </c>
      <c r="G776" s="20" t="n">
        <f aca="false">9-F776</f>
        <v>1.99763370253896</v>
      </c>
      <c r="H776" s="20" t="n">
        <f aca="false">IF(G776&gt;=1,G776,0)</f>
        <v>1.99763370253896</v>
      </c>
      <c r="I776" s="5" t="s">
        <v>74</v>
      </c>
      <c r="J776" s="5" t="s">
        <v>1269</v>
      </c>
    </row>
    <row r="777" customFormat="false" ht="15" hidden="false" customHeight="false" outlineLevel="0" collapsed="false">
      <c r="A777" s="5" t="s">
        <v>216</v>
      </c>
      <c r="B777" s="5" t="s">
        <v>170</v>
      </c>
      <c r="C777" s="5" t="n">
        <v>32</v>
      </c>
      <c r="D777" s="5" t="s">
        <v>1266</v>
      </c>
      <c r="E777" s="5" t="n">
        <v>2</v>
      </c>
      <c r="F777" s="20" t="n">
        <v>7.00236629746104</v>
      </c>
      <c r="G777" s="20" t="n">
        <f aca="false">9-F777</f>
        <v>1.99763370253896</v>
      </c>
      <c r="H777" s="20" t="n">
        <f aca="false">IF(G777&gt;=1,G777,0)</f>
        <v>1.99763370253896</v>
      </c>
      <c r="I777" s="5" t="s">
        <v>74</v>
      </c>
      <c r="J777" s="5" t="s">
        <v>1270</v>
      </c>
    </row>
    <row r="778" customFormat="false" ht="15" hidden="false" customHeight="false" outlineLevel="0" collapsed="false">
      <c r="A778" s="5" t="s">
        <v>216</v>
      </c>
      <c r="B778" s="5" t="s">
        <v>170</v>
      </c>
      <c r="C778" s="5" t="n">
        <v>33</v>
      </c>
      <c r="D778" s="5" t="s">
        <v>1266</v>
      </c>
      <c r="E778" s="5" t="n">
        <v>2</v>
      </c>
      <c r="F778" s="20" t="n">
        <v>7.00236629746104</v>
      </c>
      <c r="G778" s="20" t="n">
        <f aca="false">9-F778</f>
        <v>1.99763370253896</v>
      </c>
      <c r="H778" s="20" t="n">
        <f aca="false">IF(G778&gt;=1,G778,0)</f>
        <v>1.99763370253896</v>
      </c>
      <c r="I778" s="5" t="s">
        <v>74</v>
      </c>
      <c r="J778" s="5" t="s">
        <v>1271</v>
      </c>
    </row>
    <row r="779" customFormat="false" ht="15" hidden="false" customHeight="false" outlineLevel="0" collapsed="false">
      <c r="A779" s="5" t="s">
        <v>216</v>
      </c>
      <c r="B779" s="5" t="s">
        <v>170</v>
      </c>
      <c r="C779" s="5" t="n">
        <v>34</v>
      </c>
      <c r="D779" s="5" t="s">
        <v>1266</v>
      </c>
      <c r="E779" s="5" t="n">
        <v>2</v>
      </c>
      <c r="F779" s="20" t="n">
        <v>7.00236629746104</v>
      </c>
      <c r="G779" s="20" t="n">
        <f aca="false">9-F779</f>
        <v>1.99763370253896</v>
      </c>
      <c r="H779" s="20" t="n">
        <f aca="false">IF(G779&gt;=1,G779,0)</f>
        <v>1.99763370253896</v>
      </c>
      <c r="I779" s="5" t="s">
        <v>74</v>
      </c>
      <c r="J779" s="5" t="s">
        <v>1272</v>
      </c>
    </row>
    <row r="780" customFormat="false" ht="15" hidden="false" customHeight="false" outlineLevel="0" collapsed="false">
      <c r="A780" s="5" t="s">
        <v>216</v>
      </c>
      <c r="B780" s="5" t="s">
        <v>170</v>
      </c>
      <c r="C780" s="5" t="n">
        <v>35</v>
      </c>
      <c r="D780" s="5" t="s">
        <v>1266</v>
      </c>
      <c r="E780" s="5" t="n">
        <v>2</v>
      </c>
      <c r="F780" s="20" t="n">
        <v>7.00236629746104</v>
      </c>
      <c r="G780" s="20" t="n">
        <f aca="false">9-F780</f>
        <v>1.99763370253896</v>
      </c>
      <c r="H780" s="20" t="n">
        <f aca="false">IF(G780&gt;=1,G780,0)</f>
        <v>1.99763370253896</v>
      </c>
      <c r="I780" s="5" t="s">
        <v>74</v>
      </c>
      <c r="J780" s="5" t="s">
        <v>1273</v>
      </c>
    </row>
    <row r="781" customFormat="false" ht="15" hidden="false" customHeight="false" outlineLevel="0" collapsed="false">
      <c r="A781" s="5" t="s">
        <v>216</v>
      </c>
      <c r="B781" s="5" t="s">
        <v>170</v>
      </c>
      <c r="C781" s="5" t="n">
        <v>36</v>
      </c>
      <c r="D781" s="5" t="s">
        <v>1266</v>
      </c>
      <c r="E781" s="5" t="n">
        <v>2</v>
      </c>
      <c r="F781" s="20" t="n">
        <v>7.00236629746104</v>
      </c>
      <c r="G781" s="20" t="n">
        <f aca="false">9-F781</f>
        <v>1.99763370253896</v>
      </c>
      <c r="H781" s="20" t="n">
        <f aca="false">IF(G781&gt;=1,G781,0)</f>
        <v>1.99763370253896</v>
      </c>
      <c r="I781" s="5" t="s">
        <v>74</v>
      </c>
      <c r="J781" s="5" t="s">
        <v>1274</v>
      </c>
    </row>
    <row r="782" customFormat="false" ht="15" hidden="false" customHeight="false" outlineLevel="0" collapsed="false">
      <c r="A782" s="5" t="s">
        <v>216</v>
      </c>
      <c r="B782" s="5" t="s">
        <v>170</v>
      </c>
      <c r="C782" s="5" t="n">
        <v>37</v>
      </c>
      <c r="D782" s="5" t="s">
        <v>1266</v>
      </c>
      <c r="E782" s="5" t="n">
        <v>2</v>
      </c>
      <c r="F782" s="20" t="n">
        <v>7.00236629746104</v>
      </c>
      <c r="G782" s="20" t="n">
        <f aca="false">9-F782</f>
        <v>1.99763370253896</v>
      </c>
      <c r="H782" s="20" t="n">
        <f aca="false">IF(G782&gt;=1,G782,0)</f>
        <v>1.99763370253896</v>
      </c>
      <c r="I782" s="5" t="s">
        <v>74</v>
      </c>
      <c r="J782" s="5" t="s">
        <v>1275</v>
      </c>
    </row>
    <row r="783" customFormat="false" ht="15" hidden="false" customHeight="false" outlineLevel="0" collapsed="false">
      <c r="A783" s="5" t="s">
        <v>216</v>
      </c>
      <c r="B783" s="5" t="s">
        <v>170</v>
      </c>
      <c r="C783" s="5" t="n">
        <v>38</v>
      </c>
      <c r="D783" s="5" t="s">
        <v>1266</v>
      </c>
      <c r="E783" s="5" t="n">
        <v>2</v>
      </c>
      <c r="F783" s="20" t="n">
        <v>7.00236629746104</v>
      </c>
      <c r="G783" s="20" t="n">
        <f aca="false">9-F783</f>
        <v>1.99763370253896</v>
      </c>
      <c r="H783" s="20" t="n">
        <f aca="false">IF(G783&gt;=1,G783,0)</f>
        <v>1.99763370253896</v>
      </c>
      <c r="I783" s="5" t="s">
        <v>74</v>
      </c>
      <c r="J783" s="5" t="s">
        <v>1276</v>
      </c>
    </row>
    <row r="784" customFormat="false" ht="15" hidden="false" customHeight="false" outlineLevel="0" collapsed="false">
      <c r="A784" s="5" t="s">
        <v>216</v>
      </c>
      <c r="B784" s="5" t="s">
        <v>170</v>
      </c>
      <c r="C784" s="5" t="n">
        <v>39</v>
      </c>
      <c r="D784" s="5" t="s">
        <v>1277</v>
      </c>
      <c r="E784" s="5" t="n">
        <v>3</v>
      </c>
      <c r="F784" s="20" t="n">
        <v>7.1</v>
      </c>
      <c r="G784" s="20" t="n">
        <f aca="false">9-F784</f>
        <v>1.9</v>
      </c>
      <c r="H784" s="20" t="n">
        <f aca="false">IF(G784&gt;=1,G784,0)</f>
        <v>1.9</v>
      </c>
      <c r="I784" s="5" t="s">
        <v>774</v>
      </c>
      <c r="J784" s="5" t="s">
        <v>1278</v>
      </c>
    </row>
    <row r="785" customFormat="false" ht="15" hidden="false" customHeight="false" outlineLevel="0" collapsed="false">
      <c r="A785" s="5" t="s">
        <v>216</v>
      </c>
      <c r="B785" s="5" t="s">
        <v>170</v>
      </c>
      <c r="C785" s="5" t="n">
        <v>40</v>
      </c>
      <c r="D785" s="5" t="s">
        <v>1277</v>
      </c>
      <c r="E785" s="5" t="n">
        <v>3</v>
      </c>
      <c r="F785" s="20" t="n">
        <v>7.1</v>
      </c>
      <c r="G785" s="20" t="n">
        <f aca="false">9-F785</f>
        <v>1.9</v>
      </c>
      <c r="H785" s="20" t="n">
        <f aca="false">IF(G785&gt;=1,G785,0)</f>
        <v>1.9</v>
      </c>
      <c r="I785" s="5" t="s">
        <v>774</v>
      </c>
      <c r="J785" s="5" t="s">
        <v>1279</v>
      </c>
    </row>
    <row r="786" customFormat="false" ht="15" hidden="false" customHeight="false" outlineLevel="0" collapsed="false">
      <c r="A786" s="5" t="s">
        <v>216</v>
      </c>
      <c r="B786" s="5" t="s">
        <v>170</v>
      </c>
      <c r="C786" s="5" t="n">
        <v>41</v>
      </c>
      <c r="D786" s="5" t="s">
        <v>946</v>
      </c>
      <c r="E786" s="5" t="n">
        <v>4</v>
      </c>
      <c r="F786" s="20" t="n">
        <v>8.93333333333333</v>
      </c>
      <c r="G786" s="20" t="n">
        <f aca="false">9-F786</f>
        <v>0.0666666666666664</v>
      </c>
      <c r="H786" s="20" t="n">
        <f aca="false">IF(G786&gt;=1,G786,0)</f>
        <v>0</v>
      </c>
      <c r="I786" s="5" t="s">
        <v>774</v>
      </c>
      <c r="J786" s="5" t="s">
        <v>1280</v>
      </c>
    </row>
    <row r="787" customFormat="false" ht="15" hidden="false" customHeight="false" outlineLevel="0" collapsed="false">
      <c r="A787" s="5" t="s">
        <v>216</v>
      </c>
      <c r="B787" s="5" t="s">
        <v>170</v>
      </c>
      <c r="C787" s="5" t="n">
        <v>42</v>
      </c>
      <c r="D787" s="5" t="s">
        <v>1281</v>
      </c>
      <c r="E787" s="5" t="n">
        <v>2</v>
      </c>
      <c r="F787" s="20" t="n">
        <v>4.46666666666667</v>
      </c>
      <c r="G787" s="20" t="n">
        <f aca="false">9-F787</f>
        <v>4.53333333333333</v>
      </c>
      <c r="H787" s="20" t="n">
        <f aca="false">IF(G787&gt;=1,G787,0)</f>
        <v>4.53333333333333</v>
      </c>
      <c r="I787" s="5" t="s">
        <v>774</v>
      </c>
      <c r="J787" s="5" t="s">
        <v>1282</v>
      </c>
    </row>
    <row r="788" customFormat="false" ht="15" hidden="false" customHeight="false" outlineLevel="0" collapsed="false">
      <c r="A788" s="5" t="s">
        <v>216</v>
      </c>
      <c r="B788" s="5" t="s">
        <v>171</v>
      </c>
      <c r="C788" s="5" t="n">
        <v>1</v>
      </c>
      <c r="D788" s="5" t="s">
        <v>1283</v>
      </c>
      <c r="E788" s="5" t="n">
        <v>2</v>
      </c>
      <c r="F788" s="20" t="n">
        <v>8.68255948363014</v>
      </c>
      <c r="G788" s="20" t="n">
        <f aca="false">9-F788</f>
        <v>0.317440516369857</v>
      </c>
      <c r="H788" s="20" t="n">
        <f aca="false">IF(G788&gt;=1,G788,0)</f>
        <v>0</v>
      </c>
      <c r="I788" s="5" t="s">
        <v>75</v>
      </c>
      <c r="J788" s="5" t="s">
        <v>1284</v>
      </c>
    </row>
    <row r="789" customFormat="false" ht="15" hidden="false" customHeight="false" outlineLevel="0" collapsed="false">
      <c r="A789" s="5" t="s">
        <v>216</v>
      </c>
      <c r="B789" s="5" t="s">
        <v>171</v>
      </c>
      <c r="C789" s="5" t="n">
        <v>2</v>
      </c>
      <c r="D789" s="5" t="s">
        <v>1285</v>
      </c>
      <c r="E789" s="5" t="n">
        <v>2</v>
      </c>
      <c r="F789" s="20" t="n">
        <v>8.61480948363014</v>
      </c>
      <c r="G789" s="20" t="n">
        <f aca="false">9-F789</f>
        <v>0.38519051636986</v>
      </c>
      <c r="H789" s="20" t="n">
        <f aca="false">IF(G789&gt;=1,G789,0)</f>
        <v>0</v>
      </c>
      <c r="I789" s="5" t="s">
        <v>75</v>
      </c>
      <c r="J789" s="5" t="s">
        <v>1286</v>
      </c>
    </row>
    <row r="790" customFormat="false" ht="15" hidden="false" customHeight="false" outlineLevel="0" collapsed="false">
      <c r="A790" s="5" t="s">
        <v>216</v>
      </c>
      <c r="B790" s="5" t="s">
        <v>171</v>
      </c>
      <c r="C790" s="5" t="n">
        <v>3</v>
      </c>
      <c r="D790" s="5" t="s">
        <v>1287</v>
      </c>
      <c r="E790" s="5" t="n">
        <v>2</v>
      </c>
      <c r="F790" s="20" t="n">
        <v>8.47505948363015</v>
      </c>
      <c r="G790" s="20" t="n">
        <f aca="false">9-F790</f>
        <v>0.524940516369853</v>
      </c>
      <c r="H790" s="20" t="n">
        <f aca="false">IF(G790&gt;=1,G790,0)</f>
        <v>0</v>
      </c>
      <c r="I790" s="5" t="s">
        <v>75</v>
      </c>
      <c r="J790" s="5" t="s">
        <v>1288</v>
      </c>
    </row>
    <row r="791" customFormat="false" ht="15" hidden="false" customHeight="false" outlineLevel="0" collapsed="false">
      <c r="A791" s="5" t="s">
        <v>216</v>
      </c>
      <c r="B791" s="5" t="s">
        <v>171</v>
      </c>
      <c r="C791" s="5" t="n">
        <v>4</v>
      </c>
      <c r="D791" s="5" t="s">
        <v>1289</v>
      </c>
      <c r="E791" s="5" t="n">
        <v>2</v>
      </c>
      <c r="F791" s="20" t="n">
        <v>7.30287510929601</v>
      </c>
      <c r="G791" s="20" t="n">
        <f aca="false">9-F791</f>
        <v>1.69712489070399</v>
      </c>
      <c r="H791" s="20" t="n">
        <f aca="false">IF(G791&gt;=1,G791,0)</f>
        <v>1.69712489070399</v>
      </c>
      <c r="I791" s="5" t="s">
        <v>74</v>
      </c>
      <c r="J791" s="5" t="s">
        <v>1290</v>
      </c>
    </row>
    <row r="792" customFormat="false" ht="15" hidden="false" customHeight="false" outlineLevel="0" collapsed="false">
      <c r="A792" s="5" t="s">
        <v>216</v>
      </c>
      <c r="B792" s="5" t="s">
        <v>171</v>
      </c>
      <c r="C792" s="5" t="n">
        <v>5</v>
      </c>
      <c r="D792" s="5" t="s">
        <v>1289</v>
      </c>
      <c r="E792" s="5" t="n">
        <v>2</v>
      </c>
      <c r="F792" s="20" t="n">
        <v>7.30287510929601</v>
      </c>
      <c r="G792" s="20" t="n">
        <f aca="false">9-F792</f>
        <v>1.69712489070399</v>
      </c>
      <c r="H792" s="20" t="n">
        <f aca="false">IF(G792&gt;=1,G792,0)</f>
        <v>1.69712489070399</v>
      </c>
      <c r="I792" s="5" t="s">
        <v>74</v>
      </c>
      <c r="J792" s="5" t="s">
        <v>1291</v>
      </c>
    </row>
    <row r="793" customFormat="false" ht="15" hidden="false" customHeight="false" outlineLevel="0" collapsed="false">
      <c r="A793" s="5" t="s">
        <v>216</v>
      </c>
      <c r="B793" s="5" t="s">
        <v>171</v>
      </c>
      <c r="C793" s="5" t="n">
        <v>6</v>
      </c>
      <c r="D793" s="5" t="s">
        <v>1289</v>
      </c>
      <c r="E793" s="5" t="n">
        <v>2</v>
      </c>
      <c r="F793" s="20" t="n">
        <v>7.30287510929601</v>
      </c>
      <c r="G793" s="20" t="n">
        <f aca="false">9-F793</f>
        <v>1.69712489070399</v>
      </c>
      <c r="H793" s="20" t="n">
        <f aca="false">IF(G793&gt;=1,G793,0)</f>
        <v>1.69712489070399</v>
      </c>
      <c r="I793" s="5" t="s">
        <v>74</v>
      </c>
      <c r="J793" s="5" t="s">
        <v>1292</v>
      </c>
    </row>
    <row r="794" customFormat="false" ht="15" hidden="false" customHeight="false" outlineLevel="0" collapsed="false">
      <c r="A794" s="5" t="s">
        <v>216</v>
      </c>
      <c r="B794" s="5" t="s">
        <v>171</v>
      </c>
      <c r="C794" s="5" t="n">
        <v>7</v>
      </c>
      <c r="D794" s="5" t="s">
        <v>1289</v>
      </c>
      <c r="E794" s="5" t="n">
        <v>2</v>
      </c>
      <c r="F794" s="20" t="n">
        <v>7.302875109296</v>
      </c>
      <c r="G794" s="20" t="n">
        <f aca="false">9-F794</f>
        <v>1.697124890704</v>
      </c>
      <c r="H794" s="20" t="n">
        <f aca="false">IF(G794&gt;=1,G794,0)</f>
        <v>1.697124890704</v>
      </c>
      <c r="I794" s="5" t="s">
        <v>74</v>
      </c>
      <c r="J794" s="5" t="s">
        <v>1293</v>
      </c>
    </row>
    <row r="795" customFormat="false" ht="15" hidden="false" customHeight="false" outlineLevel="0" collapsed="false">
      <c r="A795" s="5" t="s">
        <v>216</v>
      </c>
      <c r="B795" s="5" t="s">
        <v>171</v>
      </c>
      <c r="C795" s="5" t="n">
        <v>8</v>
      </c>
      <c r="D795" s="5" t="s">
        <v>1289</v>
      </c>
      <c r="E795" s="5" t="n">
        <v>2</v>
      </c>
      <c r="F795" s="20" t="n">
        <v>7.302875109296</v>
      </c>
      <c r="G795" s="20" t="n">
        <f aca="false">9-F795</f>
        <v>1.697124890704</v>
      </c>
      <c r="H795" s="20" t="n">
        <f aca="false">IF(G795&gt;=1,G795,0)</f>
        <v>1.697124890704</v>
      </c>
      <c r="I795" s="5" t="s">
        <v>74</v>
      </c>
      <c r="J795" s="5" t="s">
        <v>1294</v>
      </c>
    </row>
    <row r="796" customFormat="false" ht="15" hidden="false" customHeight="false" outlineLevel="0" collapsed="false">
      <c r="A796" s="5" t="s">
        <v>216</v>
      </c>
      <c r="B796" s="5" t="s">
        <v>171</v>
      </c>
      <c r="C796" s="5" t="n">
        <v>9</v>
      </c>
      <c r="D796" s="5" t="s">
        <v>1289</v>
      </c>
      <c r="E796" s="5" t="n">
        <v>2</v>
      </c>
      <c r="F796" s="20" t="n">
        <v>7.302875109296</v>
      </c>
      <c r="G796" s="20" t="n">
        <f aca="false">9-F796</f>
        <v>1.697124890704</v>
      </c>
      <c r="H796" s="20" t="n">
        <f aca="false">IF(G796&gt;=1,G796,0)</f>
        <v>1.697124890704</v>
      </c>
      <c r="I796" s="5" t="s">
        <v>74</v>
      </c>
      <c r="J796" s="5" t="s">
        <v>1295</v>
      </c>
    </row>
    <row r="797" customFormat="false" ht="15" hidden="false" customHeight="false" outlineLevel="0" collapsed="false">
      <c r="A797" s="5" t="s">
        <v>216</v>
      </c>
      <c r="B797" s="5" t="s">
        <v>171</v>
      </c>
      <c r="C797" s="5" t="n">
        <v>10</v>
      </c>
      <c r="D797" s="5" t="s">
        <v>1289</v>
      </c>
      <c r="E797" s="5" t="n">
        <v>2</v>
      </c>
      <c r="F797" s="20" t="n">
        <v>7.302875109296</v>
      </c>
      <c r="G797" s="20" t="n">
        <f aca="false">9-F797</f>
        <v>1.697124890704</v>
      </c>
      <c r="H797" s="20" t="n">
        <f aca="false">IF(G797&gt;=1,G797,0)</f>
        <v>1.697124890704</v>
      </c>
      <c r="I797" s="5" t="s">
        <v>74</v>
      </c>
      <c r="J797" s="5" t="s">
        <v>1296</v>
      </c>
    </row>
    <row r="798" customFormat="false" ht="15" hidden="false" customHeight="false" outlineLevel="0" collapsed="false">
      <c r="A798" s="5" t="s">
        <v>216</v>
      </c>
      <c r="B798" s="5" t="s">
        <v>171</v>
      </c>
      <c r="C798" s="5" t="n">
        <v>11</v>
      </c>
      <c r="D798" s="5" t="s">
        <v>1289</v>
      </c>
      <c r="E798" s="5" t="n">
        <v>2</v>
      </c>
      <c r="F798" s="20" t="n">
        <v>7.302875109296</v>
      </c>
      <c r="G798" s="20" t="n">
        <f aca="false">9-F798</f>
        <v>1.697124890704</v>
      </c>
      <c r="H798" s="20" t="n">
        <f aca="false">IF(G798&gt;=1,G798,0)</f>
        <v>1.697124890704</v>
      </c>
      <c r="I798" s="5" t="s">
        <v>74</v>
      </c>
      <c r="J798" s="5" t="s">
        <v>1297</v>
      </c>
    </row>
    <row r="799" customFormat="false" ht="15" hidden="false" customHeight="false" outlineLevel="0" collapsed="false">
      <c r="A799" s="5" t="s">
        <v>216</v>
      </c>
      <c r="B799" s="5" t="s">
        <v>171</v>
      </c>
      <c r="C799" s="5" t="n">
        <v>12</v>
      </c>
      <c r="D799" s="5" t="s">
        <v>1289</v>
      </c>
      <c r="E799" s="5" t="n">
        <v>2</v>
      </c>
      <c r="F799" s="20" t="n">
        <v>7.302875109296</v>
      </c>
      <c r="G799" s="20" t="n">
        <f aca="false">9-F799</f>
        <v>1.697124890704</v>
      </c>
      <c r="H799" s="20" t="n">
        <f aca="false">IF(G799&gt;=1,G799,0)</f>
        <v>1.697124890704</v>
      </c>
      <c r="I799" s="5" t="s">
        <v>74</v>
      </c>
      <c r="J799" s="5" t="s">
        <v>1298</v>
      </c>
    </row>
    <row r="800" customFormat="false" ht="15" hidden="false" customHeight="false" outlineLevel="0" collapsed="false">
      <c r="A800" s="5" t="s">
        <v>216</v>
      </c>
      <c r="B800" s="5" t="s">
        <v>171</v>
      </c>
      <c r="C800" s="5" t="n">
        <v>13</v>
      </c>
      <c r="D800" s="5" t="s">
        <v>1289</v>
      </c>
      <c r="E800" s="5" t="n">
        <v>2</v>
      </c>
      <c r="F800" s="20" t="n">
        <v>7.302875109296</v>
      </c>
      <c r="G800" s="20" t="n">
        <f aca="false">9-F800</f>
        <v>1.697124890704</v>
      </c>
      <c r="H800" s="20" t="n">
        <f aca="false">IF(G800&gt;=1,G800,0)</f>
        <v>1.697124890704</v>
      </c>
      <c r="I800" s="5" t="s">
        <v>74</v>
      </c>
      <c r="J800" s="5" t="s">
        <v>1299</v>
      </c>
    </row>
    <row r="801" customFormat="false" ht="15" hidden="false" customHeight="false" outlineLevel="0" collapsed="false">
      <c r="A801" s="5" t="s">
        <v>216</v>
      </c>
      <c r="B801" s="5" t="s">
        <v>171</v>
      </c>
      <c r="C801" s="5" t="n">
        <v>14</v>
      </c>
      <c r="D801" s="5" t="s">
        <v>1289</v>
      </c>
      <c r="E801" s="5" t="n">
        <v>2</v>
      </c>
      <c r="F801" s="20" t="n">
        <v>7.302875109296</v>
      </c>
      <c r="G801" s="20" t="n">
        <f aca="false">9-F801</f>
        <v>1.697124890704</v>
      </c>
      <c r="H801" s="20" t="n">
        <f aca="false">IF(G801&gt;=1,G801,0)</f>
        <v>1.697124890704</v>
      </c>
      <c r="I801" s="5" t="s">
        <v>74</v>
      </c>
      <c r="J801" s="5" t="s">
        <v>1300</v>
      </c>
    </row>
    <row r="802" customFormat="false" ht="15" hidden="false" customHeight="false" outlineLevel="0" collapsed="false">
      <c r="A802" s="5" t="s">
        <v>216</v>
      </c>
      <c r="B802" s="5" t="s">
        <v>171</v>
      </c>
      <c r="C802" s="5" t="n">
        <v>15</v>
      </c>
      <c r="D802" s="5" t="s">
        <v>1289</v>
      </c>
      <c r="E802" s="5" t="n">
        <v>2</v>
      </c>
      <c r="F802" s="20" t="n">
        <v>7.302875109296</v>
      </c>
      <c r="G802" s="20" t="n">
        <f aca="false">9-F802</f>
        <v>1.697124890704</v>
      </c>
      <c r="H802" s="20" t="n">
        <f aca="false">IF(G802&gt;=1,G802,0)</f>
        <v>1.697124890704</v>
      </c>
      <c r="I802" s="5" t="s">
        <v>74</v>
      </c>
      <c r="J802" s="5" t="s">
        <v>1301</v>
      </c>
    </row>
    <row r="803" customFormat="false" ht="15" hidden="false" customHeight="false" outlineLevel="0" collapsed="false">
      <c r="A803" s="5" t="s">
        <v>216</v>
      </c>
      <c r="B803" s="5" t="s">
        <v>171</v>
      </c>
      <c r="C803" s="5" t="n">
        <v>16</v>
      </c>
      <c r="D803" s="5" t="s">
        <v>1289</v>
      </c>
      <c r="E803" s="5" t="n">
        <v>2</v>
      </c>
      <c r="F803" s="20" t="n">
        <v>7.302875109296</v>
      </c>
      <c r="G803" s="20" t="n">
        <f aca="false">9-F803</f>
        <v>1.697124890704</v>
      </c>
      <c r="H803" s="20" t="n">
        <f aca="false">IF(G803&gt;=1,G803,0)</f>
        <v>1.697124890704</v>
      </c>
      <c r="I803" s="5" t="s">
        <v>74</v>
      </c>
      <c r="J803" s="5" t="s">
        <v>1302</v>
      </c>
    </row>
    <row r="804" customFormat="false" ht="15" hidden="false" customHeight="false" outlineLevel="0" collapsed="false">
      <c r="A804" s="5" t="s">
        <v>216</v>
      </c>
      <c r="B804" s="5" t="s">
        <v>171</v>
      </c>
      <c r="C804" s="5" t="n">
        <v>17</v>
      </c>
      <c r="D804" s="5" t="s">
        <v>1289</v>
      </c>
      <c r="E804" s="5" t="n">
        <v>2</v>
      </c>
      <c r="F804" s="20" t="n">
        <v>7.302875109296</v>
      </c>
      <c r="G804" s="20" t="n">
        <f aca="false">9-F804</f>
        <v>1.697124890704</v>
      </c>
      <c r="H804" s="20" t="n">
        <f aca="false">IF(G804&gt;=1,G804,0)</f>
        <v>1.697124890704</v>
      </c>
      <c r="I804" s="5" t="s">
        <v>74</v>
      </c>
      <c r="J804" s="5" t="s">
        <v>1303</v>
      </c>
    </row>
    <row r="805" customFormat="false" ht="15" hidden="false" customHeight="false" outlineLevel="0" collapsed="false">
      <c r="A805" s="5" t="s">
        <v>216</v>
      </c>
      <c r="B805" s="5" t="s">
        <v>171</v>
      </c>
      <c r="C805" s="5" t="n">
        <v>18</v>
      </c>
      <c r="D805" s="5" t="s">
        <v>1289</v>
      </c>
      <c r="E805" s="5" t="n">
        <v>2</v>
      </c>
      <c r="F805" s="20" t="n">
        <v>7.302875109296</v>
      </c>
      <c r="G805" s="20" t="n">
        <f aca="false">9-F805</f>
        <v>1.697124890704</v>
      </c>
      <c r="H805" s="20" t="n">
        <f aca="false">IF(G805&gt;=1,G805,0)</f>
        <v>1.697124890704</v>
      </c>
      <c r="I805" s="5" t="s">
        <v>74</v>
      </c>
      <c r="J805" s="5" t="s">
        <v>1304</v>
      </c>
    </row>
    <row r="806" customFormat="false" ht="15" hidden="false" customHeight="false" outlineLevel="0" collapsed="false">
      <c r="A806" s="5" t="s">
        <v>216</v>
      </c>
      <c r="B806" s="5" t="s">
        <v>171</v>
      </c>
      <c r="C806" s="5" t="n">
        <v>19</v>
      </c>
      <c r="D806" s="5" t="s">
        <v>1289</v>
      </c>
      <c r="E806" s="5" t="n">
        <v>2</v>
      </c>
      <c r="F806" s="20" t="n">
        <v>7.302875109296</v>
      </c>
      <c r="G806" s="20" t="n">
        <f aca="false">9-F806</f>
        <v>1.697124890704</v>
      </c>
      <c r="H806" s="20" t="n">
        <f aca="false">IF(G806&gt;=1,G806,0)</f>
        <v>1.697124890704</v>
      </c>
      <c r="I806" s="5" t="s">
        <v>74</v>
      </c>
      <c r="J806" s="5" t="s">
        <v>1305</v>
      </c>
    </row>
    <row r="807" customFormat="false" ht="15" hidden="false" customHeight="false" outlineLevel="0" collapsed="false">
      <c r="A807" s="5" t="s">
        <v>216</v>
      </c>
      <c r="B807" s="5" t="s">
        <v>171</v>
      </c>
      <c r="C807" s="5" t="n">
        <v>20</v>
      </c>
      <c r="D807" s="5" t="s">
        <v>1289</v>
      </c>
      <c r="E807" s="5" t="n">
        <v>2</v>
      </c>
      <c r="F807" s="20" t="n">
        <v>7.302875109296</v>
      </c>
      <c r="G807" s="20" t="n">
        <f aca="false">9-F807</f>
        <v>1.697124890704</v>
      </c>
      <c r="H807" s="20" t="n">
        <f aca="false">IF(G807&gt;=1,G807,0)</f>
        <v>1.697124890704</v>
      </c>
      <c r="I807" s="5" t="s">
        <v>74</v>
      </c>
      <c r="J807" s="5" t="s">
        <v>1306</v>
      </c>
    </row>
    <row r="808" customFormat="false" ht="15" hidden="false" customHeight="false" outlineLevel="0" collapsed="false">
      <c r="A808" s="5" t="s">
        <v>216</v>
      </c>
      <c r="B808" s="5" t="s">
        <v>171</v>
      </c>
      <c r="C808" s="5" t="n">
        <v>21</v>
      </c>
      <c r="D808" s="5" t="s">
        <v>1289</v>
      </c>
      <c r="E808" s="5" t="n">
        <v>2</v>
      </c>
      <c r="F808" s="20" t="n">
        <v>7.302875109296</v>
      </c>
      <c r="G808" s="20" t="n">
        <f aca="false">9-F808</f>
        <v>1.697124890704</v>
      </c>
      <c r="H808" s="20" t="n">
        <f aca="false">IF(G808&gt;=1,G808,0)</f>
        <v>1.697124890704</v>
      </c>
      <c r="I808" s="5" t="s">
        <v>74</v>
      </c>
      <c r="J808" s="5" t="s">
        <v>1307</v>
      </c>
    </row>
    <row r="809" customFormat="false" ht="15" hidden="false" customHeight="false" outlineLevel="0" collapsed="false">
      <c r="A809" s="5" t="s">
        <v>216</v>
      </c>
      <c r="B809" s="5" t="s">
        <v>171</v>
      </c>
      <c r="C809" s="5" t="n">
        <v>22</v>
      </c>
      <c r="D809" s="5" t="s">
        <v>1289</v>
      </c>
      <c r="E809" s="5" t="n">
        <v>2</v>
      </c>
      <c r="F809" s="20" t="n">
        <v>7.302875109296</v>
      </c>
      <c r="G809" s="20" t="n">
        <f aca="false">9-F809</f>
        <v>1.697124890704</v>
      </c>
      <c r="H809" s="20" t="n">
        <f aca="false">IF(G809&gt;=1,G809,0)</f>
        <v>1.697124890704</v>
      </c>
      <c r="I809" s="5" t="s">
        <v>74</v>
      </c>
      <c r="J809" s="5" t="s">
        <v>1308</v>
      </c>
    </row>
    <row r="810" customFormat="false" ht="15" hidden="false" customHeight="false" outlineLevel="0" collapsed="false">
      <c r="A810" s="5" t="s">
        <v>216</v>
      </c>
      <c r="B810" s="5" t="s">
        <v>171</v>
      </c>
      <c r="C810" s="5" t="n">
        <v>23</v>
      </c>
      <c r="D810" s="5" t="s">
        <v>1289</v>
      </c>
      <c r="E810" s="5" t="n">
        <v>2</v>
      </c>
      <c r="F810" s="20" t="n">
        <v>7.302875109296</v>
      </c>
      <c r="G810" s="20" t="n">
        <f aca="false">9-F810</f>
        <v>1.697124890704</v>
      </c>
      <c r="H810" s="20" t="n">
        <f aca="false">IF(G810&gt;=1,G810,0)</f>
        <v>1.697124890704</v>
      </c>
      <c r="I810" s="5" t="s">
        <v>74</v>
      </c>
      <c r="J810" s="5" t="s">
        <v>1309</v>
      </c>
    </row>
    <row r="811" customFormat="false" ht="15" hidden="false" customHeight="false" outlineLevel="0" collapsed="false">
      <c r="A811" s="5" t="s">
        <v>216</v>
      </c>
      <c r="B811" s="5" t="s">
        <v>171</v>
      </c>
      <c r="C811" s="5" t="n">
        <v>24</v>
      </c>
      <c r="D811" s="5" t="s">
        <v>1289</v>
      </c>
      <c r="E811" s="5" t="n">
        <v>2</v>
      </c>
      <c r="F811" s="20" t="n">
        <v>7.302875109296</v>
      </c>
      <c r="G811" s="20" t="n">
        <f aca="false">9-F811</f>
        <v>1.697124890704</v>
      </c>
      <c r="H811" s="20" t="n">
        <f aca="false">IF(G811&gt;=1,G811,0)</f>
        <v>1.697124890704</v>
      </c>
      <c r="I811" s="5" t="s">
        <v>74</v>
      </c>
      <c r="J811" s="5" t="s">
        <v>1310</v>
      </c>
    </row>
    <row r="812" customFormat="false" ht="15" hidden="false" customHeight="false" outlineLevel="0" collapsed="false">
      <c r="A812" s="5" t="s">
        <v>216</v>
      </c>
      <c r="B812" s="5" t="s">
        <v>171</v>
      </c>
      <c r="C812" s="5" t="n">
        <v>25</v>
      </c>
      <c r="D812" s="5" t="s">
        <v>1289</v>
      </c>
      <c r="E812" s="5" t="n">
        <v>2</v>
      </c>
      <c r="F812" s="20" t="n">
        <v>7.302875109296</v>
      </c>
      <c r="G812" s="20" t="n">
        <f aca="false">9-F812</f>
        <v>1.697124890704</v>
      </c>
      <c r="H812" s="20" t="n">
        <f aca="false">IF(G812&gt;=1,G812,0)</f>
        <v>1.697124890704</v>
      </c>
      <c r="I812" s="5" t="s">
        <v>74</v>
      </c>
      <c r="J812" s="5" t="s">
        <v>1311</v>
      </c>
    </row>
    <row r="813" customFormat="false" ht="15" hidden="false" customHeight="false" outlineLevel="0" collapsed="false">
      <c r="A813" s="5" t="s">
        <v>216</v>
      </c>
      <c r="B813" s="5" t="s">
        <v>171</v>
      </c>
      <c r="C813" s="5" t="n">
        <v>26</v>
      </c>
      <c r="D813" s="5" t="s">
        <v>1289</v>
      </c>
      <c r="E813" s="5" t="n">
        <v>2</v>
      </c>
      <c r="F813" s="20" t="n">
        <v>7.302875109296</v>
      </c>
      <c r="G813" s="20" t="n">
        <f aca="false">9-F813</f>
        <v>1.697124890704</v>
      </c>
      <c r="H813" s="20" t="n">
        <f aca="false">IF(G813&gt;=1,G813,0)</f>
        <v>1.697124890704</v>
      </c>
      <c r="I813" s="5" t="s">
        <v>74</v>
      </c>
      <c r="J813" s="5" t="s">
        <v>1312</v>
      </c>
    </row>
    <row r="814" customFormat="false" ht="15" hidden="false" customHeight="false" outlineLevel="0" collapsed="false">
      <c r="A814" s="5" t="s">
        <v>216</v>
      </c>
      <c r="B814" s="5" t="s">
        <v>171</v>
      </c>
      <c r="C814" s="5" t="n">
        <v>27</v>
      </c>
      <c r="D814" s="5" t="s">
        <v>1289</v>
      </c>
      <c r="E814" s="5" t="n">
        <v>2</v>
      </c>
      <c r="F814" s="20" t="n">
        <v>7.302875109296</v>
      </c>
      <c r="G814" s="20" t="n">
        <f aca="false">9-F814</f>
        <v>1.697124890704</v>
      </c>
      <c r="H814" s="20" t="n">
        <f aca="false">IF(G814&gt;=1,G814,0)</f>
        <v>1.697124890704</v>
      </c>
      <c r="I814" s="5" t="s">
        <v>74</v>
      </c>
      <c r="J814" s="5" t="s">
        <v>1313</v>
      </c>
    </row>
    <row r="815" customFormat="false" ht="15" hidden="false" customHeight="false" outlineLevel="0" collapsed="false">
      <c r="A815" s="5" t="s">
        <v>216</v>
      </c>
      <c r="B815" s="5" t="s">
        <v>171</v>
      </c>
      <c r="C815" s="5" t="n">
        <v>28</v>
      </c>
      <c r="D815" s="5" t="s">
        <v>1289</v>
      </c>
      <c r="E815" s="5" t="n">
        <v>2</v>
      </c>
      <c r="F815" s="20" t="n">
        <v>7.302875109296</v>
      </c>
      <c r="G815" s="20" t="n">
        <f aca="false">9-F815</f>
        <v>1.697124890704</v>
      </c>
      <c r="H815" s="20" t="n">
        <f aca="false">IF(G815&gt;=1,G815,0)</f>
        <v>1.697124890704</v>
      </c>
      <c r="I815" s="5" t="s">
        <v>74</v>
      </c>
      <c r="J815" s="5" t="s">
        <v>1314</v>
      </c>
    </row>
    <row r="816" customFormat="false" ht="15" hidden="false" customHeight="false" outlineLevel="0" collapsed="false">
      <c r="A816" s="5" t="s">
        <v>216</v>
      </c>
      <c r="B816" s="5" t="s">
        <v>171</v>
      </c>
      <c r="C816" s="5" t="n">
        <v>29</v>
      </c>
      <c r="D816" s="5" t="s">
        <v>1289</v>
      </c>
      <c r="E816" s="5" t="n">
        <v>2</v>
      </c>
      <c r="F816" s="20" t="n">
        <v>7.302875109296</v>
      </c>
      <c r="G816" s="20" t="n">
        <f aca="false">9-F816</f>
        <v>1.697124890704</v>
      </c>
      <c r="H816" s="20" t="n">
        <f aca="false">IF(G816&gt;=1,G816,0)</f>
        <v>1.697124890704</v>
      </c>
      <c r="I816" s="5" t="s">
        <v>74</v>
      </c>
      <c r="J816" s="5" t="s">
        <v>1315</v>
      </c>
    </row>
    <row r="817" customFormat="false" ht="15" hidden="false" customHeight="false" outlineLevel="0" collapsed="false">
      <c r="A817" s="5" t="s">
        <v>216</v>
      </c>
      <c r="B817" s="5" t="s">
        <v>171</v>
      </c>
      <c r="C817" s="5" t="n">
        <v>30</v>
      </c>
      <c r="D817" s="5" t="s">
        <v>1289</v>
      </c>
      <c r="E817" s="5" t="n">
        <v>2</v>
      </c>
      <c r="F817" s="20" t="n">
        <v>7.302875109296</v>
      </c>
      <c r="G817" s="20" t="n">
        <f aca="false">9-F817</f>
        <v>1.697124890704</v>
      </c>
      <c r="H817" s="20" t="n">
        <f aca="false">IF(G817&gt;=1,G817,0)</f>
        <v>1.697124890704</v>
      </c>
      <c r="I817" s="5" t="s">
        <v>74</v>
      </c>
      <c r="J817" s="5" t="s">
        <v>1316</v>
      </c>
    </row>
    <row r="818" customFormat="false" ht="15" hidden="false" customHeight="false" outlineLevel="0" collapsed="false">
      <c r="A818" s="5" t="s">
        <v>216</v>
      </c>
      <c r="B818" s="5" t="s">
        <v>171</v>
      </c>
      <c r="C818" s="5" t="n">
        <v>31</v>
      </c>
      <c r="D818" s="5" t="s">
        <v>1289</v>
      </c>
      <c r="E818" s="5" t="n">
        <v>2</v>
      </c>
      <c r="F818" s="20" t="n">
        <v>7.302875109296</v>
      </c>
      <c r="G818" s="20" t="n">
        <f aca="false">9-F818</f>
        <v>1.697124890704</v>
      </c>
      <c r="H818" s="20" t="n">
        <f aca="false">IF(G818&gt;=1,G818,0)</f>
        <v>1.697124890704</v>
      </c>
      <c r="I818" s="5" t="s">
        <v>74</v>
      </c>
      <c r="J818" s="5" t="s">
        <v>1317</v>
      </c>
    </row>
    <row r="819" customFormat="false" ht="15" hidden="false" customHeight="false" outlineLevel="0" collapsed="false">
      <c r="A819" s="5" t="s">
        <v>216</v>
      </c>
      <c r="B819" s="5" t="s">
        <v>171</v>
      </c>
      <c r="C819" s="5" t="n">
        <v>32</v>
      </c>
      <c r="D819" s="5" t="s">
        <v>1289</v>
      </c>
      <c r="E819" s="5" t="n">
        <v>2</v>
      </c>
      <c r="F819" s="20" t="n">
        <v>7.302875109296</v>
      </c>
      <c r="G819" s="20" t="n">
        <f aca="false">9-F819</f>
        <v>1.697124890704</v>
      </c>
      <c r="H819" s="20" t="n">
        <f aca="false">IF(G819&gt;=1,G819,0)</f>
        <v>1.697124890704</v>
      </c>
      <c r="I819" s="5" t="s">
        <v>74</v>
      </c>
      <c r="J819" s="5" t="s">
        <v>1318</v>
      </c>
    </row>
    <row r="820" customFormat="false" ht="15" hidden="false" customHeight="false" outlineLevel="0" collapsed="false">
      <c r="A820" s="5" t="s">
        <v>216</v>
      </c>
      <c r="B820" s="5" t="s">
        <v>171</v>
      </c>
      <c r="C820" s="5" t="n">
        <v>33</v>
      </c>
      <c r="D820" s="5" t="s">
        <v>1289</v>
      </c>
      <c r="E820" s="5" t="n">
        <v>2</v>
      </c>
      <c r="F820" s="20" t="n">
        <v>7.302875109296</v>
      </c>
      <c r="G820" s="20" t="n">
        <f aca="false">9-F820</f>
        <v>1.697124890704</v>
      </c>
      <c r="H820" s="20" t="n">
        <f aca="false">IF(G820&gt;=1,G820,0)</f>
        <v>1.697124890704</v>
      </c>
      <c r="I820" s="5" t="s">
        <v>74</v>
      </c>
      <c r="J820" s="5" t="s">
        <v>1319</v>
      </c>
    </row>
    <row r="821" customFormat="false" ht="15" hidden="false" customHeight="false" outlineLevel="0" collapsed="false">
      <c r="A821" s="5" t="s">
        <v>216</v>
      </c>
      <c r="B821" s="5" t="s">
        <v>171</v>
      </c>
      <c r="C821" s="5" t="n">
        <v>34</v>
      </c>
      <c r="D821" s="5" t="s">
        <v>1289</v>
      </c>
      <c r="E821" s="5" t="n">
        <v>2</v>
      </c>
      <c r="F821" s="20" t="n">
        <v>7.302875109296</v>
      </c>
      <c r="G821" s="20" t="n">
        <f aca="false">9-F821</f>
        <v>1.697124890704</v>
      </c>
      <c r="H821" s="20" t="n">
        <f aca="false">IF(G821&gt;=1,G821,0)</f>
        <v>1.697124890704</v>
      </c>
      <c r="I821" s="5" t="s">
        <v>74</v>
      </c>
      <c r="J821" s="5" t="s">
        <v>1320</v>
      </c>
    </row>
    <row r="822" customFormat="false" ht="15" hidden="false" customHeight="false" outlineLevel="0" collapsed="false">
      <c r="A822" s="5" t="s">
        <v>216</v>
      </c>
      <c r="B822" s="5" t="s">
        <v>171</v>
      </c>
      <c r="C822" s="5" t="n">
        <v>35</v>
      </c>
      <c r="D822" s="5" t="s">
        <v>1289</v>
      </c>
      <c r="E822" s="5" t="n">
        <v>2</v>
      </c>
      <c r="F822" s="20" t="n">
        <v>7.302875109296</v>
      </c>
      <c r="G822" s="20" t="n">
        <f aca="false">9-F822</f>
        <v>1.697124890704</v>
      </c>
      <c r="H822" s="20" t="n">
        <f aca="false">IF(G822&gt;=1,G822,0)</f>
        <v>1.697124890704</v>
      </c>
      <c r="I822" s="5" t="s">
        <v>74</v>
      </c>
      <c r="J822" s="5" t="s">
        <v>1321</v>
      </c>
    </row>
    <row r="823" customFormat="false" ht="15" hidden="false" customHeight="false" outlineLevel="0" collapsed="false">
      <c r="A823" s="5" t="s">
        <v>216</v>
      </c>
      <c r="B823" s="5" t="s">
        <v>171</v>
      </c>
      <c r="C823" s="5" t="n">
        <v>36</v>
      </c>
      <c r="D823" s="5" t="s">
        <v>1289</v>
      </c>
      <c r="E823" s="5" t="n">
        <v>2</v>
      </c>
      <c r="F823" s="20" t="n">
        <v>7.302875109296</v>
      </c>
      <c r="G823" s="20" t="n">
        <f aca="false">9-F823</f>
        <v>1.697124890704</v>
      </c>
      <c r="H823" s="20" t="n">
        <f aca="false">IF(G823&gt;=1,G823,0)</f>
        <v>1.697124890704</v>
      </c>
      <c r="I823" s="5" t="s">
        <v>74</v>
      </c>
      <c r="J823" s="5" t="s">
        <v>1322</v>
      </c>
    </row>
    <row r="824" customFormat="false" ht="15" hidden="false" customHeight="false" outlineLevel="0" collapsed="false">
      <c r="A824" s="5" t="s">
        <v>216</v>
      </c>
      <c r="B824" s="5" t="s">
        <v>171</v>
      </c>
      <c r="C824" s="5" t="n">
        <v>37</v>
      </c>
      <c r="D824" s="5" t="s">
        <v>1289</v>
      </c>
      <c r="E824" s="5" t="n">
        <v>2</v>
      </c>
      <c r="F824" s="20" t="n">
        <v>7.302875109296</v>
      </c>
      <c r="G824" s="20" t="n">
        <f aca="false">9-F824</f>
        <v>1.697124890704</v>
      </c>
      <c r="H824" s="20" t="n">
        <f aca="false">IF(G824&gt;=1,G824,0)</f>
        <v>1.697124890704</v>
      </c>
      <c r="I824" s="5" t="s">
        <v>74</v>
      </c>
      <c r="J824" s="5" t="s">
        <v>1323</v>
      </c>
    </row>
    <row r="825" customFormat="false" ht="15" hidden="false" customHeight="false" outlineLevel="0" collapsed="false">
      <c r="A825" s="5" t="s">
        <v>216</v>
      </c>
      <c r="B825" s="5" t="s">
        <v>171</v>
      </c>
      <c r="C825" s="5" t="n">
        <v>38</v>
      </c>
      <c r="D825" s="5" t="s">
        <v>1289</v>
      </c>
      <c r="E825" s="5" t="n">
        <v>2</v>
      </c>
      <c r="F825" s="20" t="n">
        <v>7.302875109296</v>
      </c>
      <c r="G825" s="20" t="n">
        <f aca="false">9-F825</f>
        <v>1.697124890704</v>
      </c>
      <c r="H825" s="20" t="n">
        <f aca="false">IF(G825&gt;=1,G825,0)</f>
        <v>1.697124890704</v>
      </c>
      <c r="I825" s="5" t="s">
        <v>74</v>
      </c>
      <c r="J825" s="5" t="s">
        <v>1324</v>
      </c>
    </row>
    <row r="826" customFormat="false" ht="15" hidden="false" customHeight="false" outlineLevel="0" collapsed="false">
      <c r="A826" s="5" t="s">
        <v>216</v>
      </c>
      <c r="B826" s="5" t="s">
        <v>171</v>
      </c>
      <c r="C826" s="5" t="n">
        <v>39</v>
      </c>
      <c r="D826" s="5" t="s">
        <v>1289</v>
      </c>
      <c r="E826" s="5" t="n">
        <v>2</v>
      </c>
      <c r="F826" s="20" t="n">
        <v>7.302875109296</v>
      </c>
      <c r="G826" s="20" t="n">
        <f aca="false">9-F826</f>
        <v>1.697124890704</v>
      </c>
      <c r="H826" s="20" t="n">
        <f aca="false">IF(G826&gt;=1,G826,0)</f>
        <v>1.697124890704</v>
      </c>
      <c r="I826" s="5" t="s">
        <v>74</v>
      </c>
      <c r="J826" s="5" t="s">
        <v>1325</v>
      </c>
    </row>
    <row r="827" customFormat="false" ht="15" hidden="false" customHeight="false" outlineLevel="0" collapsed="false">
      <c r="A827" s="5" t="s">
        <v>216</v>
      </c>
      <c r="B827" s="5" t="s">
        <v>171</v>
      </c>
      <c r="C827" s="5" t="n">
        <v>40</v>
      </c>
      <c r="D827" s="5" t="s">
        <v>1289</v>
      </c>
      <c r="E827" s="5" t="n">
        <v>2</v>
      </c>
      <c r="F827" s="20" t="n">
        <v>7.302875109296</v>
      </c>
      <c r="G827" s="20" t="n">
        <f aca="false">9-F827</f>
        <v>1.697124890704</v>
      </c>
      <c r="H827" s="20" t="n">
        <f aca="false">IF(G827&gt;=1,G827,0)</f>
        <v>1.697124890704</v>
      </c>
      <c r="I827" s="5" t="s">
        <v>74</v>
      </c>
      <c r="J827" s="5" t="s">
        <v>1326</v>
      </c>
    </row>
    <row r="828" customFormat="false" ht="15" hidden="false" customHeight="false" outlineLevel="0" collapsed="false">
      <c r="A828" s="5" t="s">
        <v>216</v>
      </c>
      <c r="B828" s="5" t="s">
        <v>171</v>
      </c>
      <c r="C828" s="5" t="n">
        <v>41</v>
      </c>
      <c r="D828" s="5" t="s">
        <v>1289</v>
      </c>
      <c r="E828" s="5" t="n">
        <v>2</v>
      </c>
      <c r="F828" s="20" t="n">
        <v>7.302875109296</v>
      </c>
      <c r="G828" s="20" t="n">
        <f aca="false">9-F828</f>
        <v>1.697124890704</v>
      </c>
      <c r="H828" s="20" t="n">
        <f aca="false">IF(G828&gt;=1,G828,0)</f>
        <v>1.697124890704</v>
      </c>
      <c r="I828" s="5" t="s">
        <v>74</v>
      </c>
      <c r="J828" s="5" t="s">
        <v>1327</v>
      </c>
    </row>
    <row r="829" customFormat="false" ht="15" hidden="false" customHeight="false" outlineLevel="0" collapsed="false">
      <c r="A829" s="5" t="s">
        <v>216</v>
      </c>
      <c r="B829" s="5" t="s">
        <v>171</v>
      </c>
      <c r="C829" s="5" t="n">
        <v>42</v>
      </c>
      <c r="D829" s="5" t="s">
        <v>1289</v>
      </c>
      <c r="E829" s="5" t="n">
        <v>2</v>
      </c>
      <c r="F829" s="20" t="n">
        <v>7.302875109296</v>
      </c>
      <c r="G829" s="20" t="n">
        <f aca="false">9-F829</f>
        <v>1.697124890704</v>
      </c>
      <c r="H829" s="20" t="n">
        <f aca="false">IF(G829&gt;=1,G829,0)</f>
        <v>1.697124890704</v>
      </c>
      <c r="I829" s="5" t="s">
        <v>74</v>
      </c>
      <c r="J829" s="5" t="s">
        <v>1328</v>
      </c>
    </row>
    <row r="830" customFormat="false" ht="15" hidden="false" customHeight="false" outlineLevel="0" collapsed="false">
      <c r="A830" s="5" t="s">
        <v>216</v>
      </c>
      <c r="B830" s="5" t="s">
        <v>171</v>
      </c>
      <c r="C830" s="5" t="n">
        <v>43</v>
      </c>
      <c r="D830" s="5" t="s">
        <v>1289</v>
      </c>
      <c r="E830" s="5" t="n">
        <v>2</v>
      </c>
      <c r="F830" s="20" t="n">
        <v>7.302875109296</v>
      </c>
      <c r="G830" s="20" t="n">
        <f aca="false">9-F830</f>
        <v>1.697124890704</v>
      </c>
      <c r="H830" s="20" t="n">
        <f aca="false">IF(G830&gt;=1,G830,0)</f>
        <v>1.697124890704</v>
      </c>
      <c r="I830" s="5" t="s">
        <v>74</v>
      </c>
      <c r="J830" s="5" t="s">
        <v>1329</v>
      </c>
    </row>
    <row r="831" customFormat="false" ht="15" hidden="false" customHeight="false" outlineLevel="0" collapsed="false">
      <c r="A831" s="5" t="s">
        <v>216</v>
      </c>
      <c r="B831" s="5" t="s">
        <v>171</v>
      </c>
      <c r="C831" s="5" t="n">
        <v>44</v>
      </c>
      <c r="D831" s="5" t="s">
        <v>1289</v>
      </c>
      <c r="E831" s="5" t="n">
        <v>2</v>
      </c>
      <c r="F831" s="20" t="n">
        <v>7.302875109296</v>
      </c>
      <c r="G831" s="20" t="n">
        <f aca="false">9-F831</f>
        <v>1.697124890704</v>
      </c>
      <c r="H831" s="20" t="n">
        <f aca="false">IF(G831&gt;=1,G831,0)</f>
        <v>1.697124890704</v>
      </c>
      <c r="I831" s="5" t="s">
        <v>74</v>
      </c>
      <c r="J831" s="5" t="s">
        <v>1330</v>
      </c>
    </row>
    <row r="832" customFormat="false" ht="15" hidden="false" customHeight="false" outlineLevel="0" collapsed="false">
      <c r="A832" s="5" t="s">
        <v>216</v>
      </c>
      <c r="B832" s="5" t="s">
        <v>171</v>
      </c>
      <c r="C832" s="5" t="n">
        <v>45</v>
      </c>
      <c r="D832" s="5" t="s">
        <v>1289</v>
      </c>
      <c r="E832" s="5" t="n">
        <v>2</v>
      </c>
      <c r="F832" s="20" t="n">
        <v>7.302875109296</v>
      </c>
      <c r="G832" s="20" t="n">
        <f aca="false">9-F832</f>
        <v>1.697124890704</v>
      </c>
      <c r="H832" s="20" t="n">
        <f aca="false">IF(G832&gt;=1,G832,0)</f>
        <v>1.697124890704</v>
      </c>
      <c r="I832" s="5" t="s">
        <v>74</v>
      </c>
      <c r="J832" s="5" t="s">
        <v>1331</v>
      </c>
    </row>
    <row r="833" customFormat="false" ht="15" hidden="false" customHeight="false" outlineLevel="0" collapsed="false">
      <c r="A833" s="5" t="s">
        <v>216</v>
      </c>
      <c r="B833" s="5" t="s">
        <v>171</v>
      </c>
      <c r="C833" s="5" t="n">
        <v>46</v>
      </c>
      <c r="D833" s="5" t="s">
        <v>1289</v>
      </c>
      <c r="E833" s="5" t="n">
        <v>2</v>
      </c>
      <c r="F833" s="20" t="n">
        <v>7.302875109296</v>
      </c>
      <c r="G833" s="20" t="n">
        <f aca="false">9-F833</f>
        <v>1.697124890704</v>
      </c>
      <c r="H833" s="20" t="n">
        <f aca="false">IF(G833&gt;=1,G833,0)</f>
        <v>1.697124890704</v>
      </c>
      <c r="I833" s="5" t="s">
        <v>74</v>
      </c>
      <c r="J833" s="5" t="s">
        <v>1332</v>
      </c>
    </row>
    <row r="834" customFormat="false" ht="15" hidden="false" customHeight="false" outlineLevel="0" collapsed="false">
      <c r="A834" s="5" t="s">
        <v>216</v>
      </c>
      <c r="B834" s="5" t="s">
        <v>171</v>
      </c>
      <c r="C834" s="5" t="n">
        <v>47</v>
      </c>
      <c r="D834" s="5" t="s">
        <v>1289</v>
      </c>
      <c r="E834" s="5" t="n">
        <v>2</v>
      </c>
      <c r="F834" s="20" t="n">
        <v>7.302875109296</v>
      </c>
      <c r="G834" s="20" t="n">
        <f aca="false">9-F834</f>
        <v>1.697124890704</v>
      </c>
      <c r="H834" s="20" t="n">
        <f aca="false">IF(G834&gt;=1,G834,0)</f>
        <v>1.697124890704</v>
      </c>
      <c r="I834" s="5" t="s">
        <v>74</v>
      </c>
      <c r="J834" s="5" t="s">
        <v>1333</v>
      </c>
    </row>
    <row r="835" customFormat="false" ht="15" hidden="false" customHeight="false" outlineLevel="0" collapsed="false">
      <c r="A835" s="5" t="s">
        <v>216</v>
      </c>
      <c r="B835" s="5" t="s">
        <v>171</v>
      </c>
      <c r="C835" s="5" t="n">
        <v>48</v>
      </c>
      <c r="D835" s="5" t="s">
        <v>1289</v>
      </c>
      <c r="E835" s="5" t="n">
        <v>2</v>
      </c>
      <c r="F835" s="20" t="n">
        <v>7.302875109296</v>
      </c>
      <c r="G835" s="20" t="n">
        <f aca="false">9-F835</f>
        <v>1.697124890704</v>
      </c>
      <c r="H835" s="20" t="n">
        <f aca="false">IF(G835&gt;=1,G835,0)</f>
        <v>1.697124890704</v>
      </c>
      <c r="I835" s="5" t="s">
        <v>74</v>
      </c>
      <c r="J835" s="5" t="s">
        <v>1334</v>
      </c>
    </row>
    <row r="836" customFormat="false" ht="15" hidden="false" customHeight="false" outlineLevel="0" collapsed="false">
      <c r="A836" s="5" t="s">
        <v>216</v>
      </c>
      <c r="B836" s="5" t="s">
        <v>171</v>
      </c>
      <c r="C836" s="5" t="n">
        <v>49</v>
      </c>
      <c r="D836" s="5" t="s">
        <v>1289</v>
      </c>
      <c r="E836" s="5" t="n">
        <v>2</v>
      </c>
      <c r="F836" s="20" t="n">
        <v>7.302875109296</v>
      </c>
      <c r="G836" s="20" t="n">
        <f aca="false">9-F836</f>
        <v>1.697124890704</v>
      </c>
      <c r="H836" s="20" t="n">
        <f aca="false">IF(G836&gt;=1,G836,0)</f>
        <v>1.697124890704</v>
      </c>
      <c r="I836" s="5" t="s">
        <v>74</v>
      </c>
      <c r="J836" s="5" t="s">
        <v>1335</v>
      </c>
    </row>
    <row r="837" customFormat="false" ht="15" hidden="false" customHeight="false" outlineLevel="0" collapsed="false">
      <c r="A837" s="5" t="s">
        <v>216</v>
      </c>
      <c r="B837" s="5" t="s">
        <v>171</v>
      </c>
      <c r="C837" s="5" t="n">
        <v>50</v>
      </c>
      <c r="D837" s="5" t="s">
        <v>1289</v>
      </c>
      <c r="E837" s="5" t="n">
        <v>2</v>
      </c>
      <c r="F837" s="20" t="n">
        <v>7.302875109296</v>
      </c>
      <c r="G837" s="20" t="n">
        <f aca="false">9-F837</f>
        <v>1.697124890704</v>
      </c>
      <c r="H837" s="20" t="n">
        <f aca="false">IF(G837&gt;=1,G837,0)</f>
        <v>1.697124890704</v>
      </c>
      <c r="I837" s="5" t="s">
        <v>74</v>
      </c>
      <c r="J837" s="5" t="s">
        <v>1336</v>
      </c>
    </row>
    <row r="838" customFormat="false" ht="15" hidden="false" customHeight="false" outlineLevel="0" collapsed="false">
      <c r="A838" s="5" t="s">
        <v>216</v>
      </c>
      <c r="B838" s="5" t="s">
        <v>171</v>
      </c>
      <c r="C838" s="5" t="n">
        <v>51</v>
      </c>
      <c r="D838" s="5" t="s">
        <v>1289</v>
      </c>
      <c r="E838" s="5" t="n">
        <v>2</v>
      </c>
      <c r="F838" s="20" t="n">
        <v>7.302875109296</v>
      </c>
      <c r="G838" s="20" t="n">
        <f aca="false">9-F838</f>
        <v>1.697124890704</v>
      </c>
      <c r="H838" s="20" t="n">
        <f aca="false">IF(G838&gt;=1,G838,0)</f>
        <v>1.697124890704</v>
      </c>
      <c r="I838" s="5" t="s">
        <v>74</v>
      </c>
      <c r="J838" s="5" t="s">
        <v>1337</v>
      </c>
    </row>
    <row r="839" customFormat="false" ht="15" hidden="false" customHeight="false" outlineLevel="0" collapsed="false">
      <c r="A839" s="5" t="s">
        <v>216</v>
      </c>
      <c r="B839" s="5" t="s">
        <v>171</v>
      </c>
      <c r="C839" s="5" t="n">
        <v>52</v>
      </c>
      <c r="D839" s="5" t="s">
        <v>1289</v>
      </c>
      <c r="E839" s="5" t="n">
        <v>2</v>
      </c>
      <c r="F839" s="20" t="n">
        <v>7.302875109296</v>
      </c>
      <c r="G839" s="20" t="n">
        <f aca="false">9-F839</f>
        <v>1.697124890704</v>
      </c>
      <c r="H839" s="20" t="n">
        <f aca="false">IF(G839&gt;=1,G839,0)</f>
        <v>1.697124890704</v>
      </c>
      <c r="I839" s="5" t="s">
        <v>74</v>
      </c>
      <c r="J839" s="5" t="s">
        <v>1338</v>
      </c>
    </row>
    <row r="840" customFormat="false" ht="15" hidden="false" customHeight="false" outlineLevel="0" collapsed="false">
      <c r="A840" s="5" t="s">
        <v>216</v>
      </c>
      <c r="B840" s="5" t="s">
        <v>171</v>
      </c>
      <c r="C840" s="5" t="n">
        <v>53</v>
      </c>
      <c r="D840" s="5" t="s">
        <v>1289</v>
      </c>
      <c r="E840" s="5" t="n">
        <v>2</v>
      </c>
      <c r="F840" s="20" t="n">
        <v>7.302875109296</v>
      </c>
      <c r="G840" s="20" t="n">
        <f aca="false">9-F840</f>
        <v>1.697124890704</v>
      </c>
      <c r="H840" s="20" t="n">
        <f aca="false">IF(G840&gt;=1,G840,0)</f>
        <v>1.697124890704</v>
      </c>
      <c r="I840" s="5" t="s">
        <v>74</v>
      </c>
      <c r="J840" s="5" t="s">
        <v>1339</v>
      </c>
    </row>
    <row r="841" customFormat="false" ht="15" hidden="false" customHeight="false" outlineLevel="0" collapsed="false">
      <c r="A841" s="5" t="s">
        <v>216</v>
      </c>
      <c r="B841" s="5" t="s">
        <v>171</v>
      </c>
      <c r="C841" s="5" t="n">
        <v>54</v>
      </c>
      <c r="D841" s="5" t="s">
        <v>1289</v>
      </c>
      <c r="E841" s="5" t="n">
        <v>2</v>
      </c>
      <c r="F841" s="20" t="n">
        <v>7.302875109296</v>
      </c>
      <c r="G841" s="20" t="n">
        <f aca="false">9-F841</f>
        <v>1.697124890704</v>
      </c>
      <c r="H841" s="20" t="n">
        <f aca="false">IF(G841&gt;=1,G841,0)</f>
        <v>1.697124890704</v>
      </c>
      <c r="I841" s="5" t="s">
        <v>74</v>
      </c>
      <c r="J841" s="5" t="s">
        <v>1340</v>
      </c>
    </row>
    <row r="842" customFormat="false" ht="15" hidden="false" customHeight="false" outlineLevel="0" collapsed="false">
      <c r="A842" s="5" t="s">
        <v>216</v>
      </c>
      <c r="B842" s="5" t="s">
        <v>171</v>
      </c>
      <c r="C842" s="5" t="n">
        <v>55</v>
      </c>
      <c r="D842" s="5" t="s">
        <v>1289</v>
      </c>
      <c r="E842" s="5" t="n">
        <v>2</v>
      </c>
      <c r="F842" s="20" t="n">
        <v>7.302875109296</v>
      </c>
      <c r="G842" s="20" t="n">
        <f aca="false">9-F842</f>
        <v>1.697124890704</v>
      </c>
      <c r="H842" s="20" t="n">
        <f aca="false">IF(G842&gt;=1,G842,0)</f>
        <v>1.697124890704</v>
      </c>
      <c r="I842" s="5" t="s">
        <v>74</v>
      </c>
      <c r="J842" s="5" t="s">
        <v>1341</v>
      </c>
    </row>
    <row r="843" customFormat="false" ht="15" hidden="false" customHeight="false" outlineLevel="0" collapsed="false">
      <c r="A843" s="5" t="s">
        <v>216</v>
      </c>
      <c r="B843" s="5" t="s">
        <v>171</v>
      </c>
      <c r="C843" s="5" t="n">
        <v>56</v>
      </c>
      <c r="D843" s="5" t="s">
        <v>1289</v>
      </c>
      <c r="E843" s="5" t="n">
        <v>2</v>
      </c>
      <c r="F843" s="20" t="n">
        <v>7.302875109296</v>
      </c>
      <c r="G843" s="20" t="n">
        <f aca="false">9-F843</f>
        <v>1.697124890704</v>
      </c>
      <c r="H843" s="20" t="n">
        <f aca="false">IF(G843&gt;=1,G843,0)</f>
        <v>1.697124890704</v>
      </c>
      <c r="I843" s="5" t="s">
        <v>74</v>
      </c>
      <c r="J843" s="5" t="s">
        <v>1342</v>
      </c>
    </row>
    <row r="844" customFormat="false" ht="15" hidden="false" customHeight="false" outlineLevel="0" collapsed="false">
      <c r="A844" s="5" t="s">
        <v>216</v>
      </c>
      <c r="B844" s="5" t="s">
        <v>171</v>
      </c>
      <c r="C844" s="5" t="n">
        <v>57</v>
      </c>
      <c r="D844" s="5" t="s">
        <v>1289</v>
      </c>
      <c r="E844" s="5" t="n">
        <v>2</v>
      </c>
      <c r="F844" s="20" t="n">
        <v>7.302875109296</v>
      </c>
      <c r="G844" s="20" t="n">
        <f aca="false">9-F844</f>
        <v>1.697124890704</v>
      </c>
      <c r="H844" s="20" t="n">
        <f aca="false">IF(G844&gt;=1,G844,0)</f>
        <v>1.697124890704</v>
      </c>
      <c r="I844" s="5" t="s">
        <v>74</v>
      </c>
      <c r="J844" s="5" t="s">
        <v>1343</v>
      </c>
    </row>
    <row r="845" customFormat="false" ht="15" hidden="false" customHeight="false" outlineLevel="0" collapsed="false">
      <c r="A845" s="5" t="s">
        <v>216</v>
      </c>
      <c r="B845" s="5" t="s">
        <v>171</v>
      </c>
      <c r="C845" s="5" t="n">
        <v>58</v>
      </c>
      <c r="D845" s="5" t="s">
        <v>1289</v>
      </c>
      <c r="E845" s="5" t="n">
        <v>2</v>
      </c>
      <c r="F845" s="20" t="n">
        <v>7.302875109296</v>
      </c>
      <c r="G845" s="20" t="n">
        <f aca="false">9-F845</f>
        <v>1.697124890704</v>
      </c>
      <c r="H845" s="20" t="n">
        <f aca="false">IF(G845&gt;=1,G845,0)</f>
        <v>1.697124890704</v>
      </c>
      <c r="I845" s="5" t="s">
        <v>74</v>
      </c>
      <c r="J845" s="5" t="s">
        <v>1344</v>
      </c>
    </row>
    <row r="846" customFormat="false" ht="15" hidden="false" customHeight="false" outlineLevel="0" collapsed="false">
      <c r="A846" s="5" t="s">
        <v>216</v>
      </c>
      <c r="B846" s="5" t="s">
        <v>171</v>
      </c>
      <c r="C846" s="5" t="n">
        <v>59</v>
      </c>
      <c r="D846" s="5" t="s">
        <v>1289</v>
      </c>
      <c r="E846" s="5" t="n">
        <v>2</v>
      </c>
      <c r="F846" s="20" t="n">
        <v>7.302875109296</v>
      </c>
      <c r="G846" s="20" t="n">
        <f aca="false">9-F846</f>
        <v>1.697124890704</v>
      </c>
      <c r="H846" s="20" t="n">
        <f aca="false">IF(G846&gt;=1,G846,0)</f>
        <v>1.697124890704</v>
      </c>
      <c r="I846" s="5" t="s">
        <v>74</v>
      </c>
      <c r="J846" s="5" t="s">
        <v>1345</v>
      </c>
    </row>
    <row r="847" customFormat="false" ht="15" hidden="false" customHeight="false" outlineLevel="0" collapsed="false">
      <c r="A847" s="5" t="s">
        <v>216</v>
      </c>
      <c r="B847" s="5" t="s">
        <v>171</v>
      </c>
      <c r="C847" s="5" t="n">
        <v>60</v>
      </c>
      <c r="D847" s="5" t="s">
        <v>1289</v>
      </c>
      <c r="E847" s="5" t="n">
        <v>2</v>
      </c>
      <c r="F847" s="20" t="n">
        <v>7.302875109296</v>
      </c>
      <c r="G847" s="20" t="n">
        <f aca="false">9-F847</f>
        <v>1.697124890704</v>
      </c>
      <c r="H847" s="20" t="n">
        <f aca="false">IF(G847&gt;=1,G847,0)</f>
        <v>1.697124890704</v>
      </c>
      <c r="I847" s="5" t="s">
        <v>74</v>
      </c>
      <c r="J847" s="5" t="s">
        <v>1346</v>
      </c>
    </row>
    <row r="848" customFormat="false" ht="15" hidden="false" customHeight="false" outlineLevel="0" collapsed="false">
      <c r="A848" s="5" t="s">
        <v>216</v>
      </c>
      <c r="B848" s="5" t="s">
        <v>171</v>
      </c>
      <c r="C848" s="5" t="n">
        <v>61</v>
      </c>
      <c r="D848" s="5" t="s">
        <v>1289</v>
      </c>
      <c r="E848" s="5" t="n">
        <v>2</v>
      </c>
      <c r="F848" s="20" t="n">
        <v>7.302875109296</v>
      </c>
      <c r="G848" s="20" t="n">
        <f aca="false">9-F848</f>
        <v>1.697124890704</v>
      </c>
      <c r="H848" s="20" t="n">
        <f aca="false">IF(G848&gt;=1,G848,0)</f>
        <v>1.697124890704</v>
      </c>
      <c r="I848" s="5" t="s">
        <v>74</v>
      </c>
      <c r="J848" s="5" t="s">
        <v>1347</v>
      </c>
    </row>
    <row r="849" customFormat="false" ht="15" hidden="false" customHeight="false" outlineLevel="0" collapsed="false">
      <c r="A849" s="5" t="s">
        <v>216</v>
      </c>
      <c r="B849" s="5" t="s">
        <v>171</v>
      </c>
      <c r="C849" s="5" t="n">
        <v>62</v>
      </c>
      <c r="D849" s="5" t="s">
        <v>1289</v>
      </c>
      <c r="E849" s="5" t="n">
        <v>2</v>
      </c>
      <c r="F849" s="20" t="n">
        <v>7.302875109296</v>
      </c>
      <c r="G849" s="20" t="n">
        <f aca="false">9-F849</f>
        <v>1.697124890704</v>
      </c>
      <c r="H849" s="20" t="n">
        <f aca="false">IF(G849&gt;=1,G849,0)</f>
        <v>1.697124890704</v>
      </c>
      <c r="I849" s="5" t="s">
        <v>74</v>
      </c>
      <c r="J849" s="5" t="s">
        <v>1348</v>
      </c>
    </row>
    <row r="850" customFormat="false" ht="15" hidden="false" customHeight="false" outlineLevel="0" collapsed="false">
      <c r="A850" s="5" t="s">
        <v>216</v>
      </c>
      <c r="B850" s="5" t="s">
        <v>171</v>
      </c>
      <c r="C850" s="5" t="n">
        <v>63</v>
      </c>
      <c r="D850" s="5" t="s">
        <v>1289</v>
      </c>
      <c r="E850" s="5" t="n">
        <v>2</v>
      </c>
      <c r="F850" s="20" t="n">
        <v>7.302875109296</v>
      </c>
      <c r="G850" s="20" t="n">
        <f aca="false">9-F850</f>
        <v>1.697124890704</v>
      </c>
      <c r="H850" s="20" t="n">
        <f aca="false">IF(G850&gt;=1,G850,0)</f>
        <v>1.697124890704</v>
      </c>
      <c r="I850" s="5" t="s">
        <v>74</v>
      </c>
      <c r="J850" s="5" t="s">
        <v>1349</v>
      </c>
    </row>
    <row r="851" customFormat="false" ht="15" hidden="false" customHeight="false" outlineLevel="0" collapsed="false">
      <c r="A851" s="5" t="s">
        <v>216</v>
      </c>
      <c r="B851" s="5" t="s">
        <v>171</v>
      </c>
      <c r="C851" s="5" t="n">
        <v>64</v>
      </c>
      <c r="D851" s="5" t="s">
        <v>1289</v>
      </c>
      <c r="E851" s="5" t="n">
        <v>2</v>
      </c>
      <c r="F851" s="20" t="n">
        <v>7.302875109296</v>
      </c>
      <c r="G851" s="20" t="n">
        <f aca="false">9-F851</f>
        <v>1.697124890704</v>
      </c>
      <c r="H851" s="20" t="n">
        <f aca="false">IF(G851&gt;=1,G851,0)</f>
        <v>1.697124890704</v>
      </c>
      <c r="I851" s="5" t="s">
        <v>74</v>
      </c>
      <c r="J851" s="5" t="s">
        <v>1350</v>
      </c>
    </row>
    <row r="852" customFormat="false" ht="15" hidden="false" customHeight="false" outlineLevel="0" collapsed="false">
      <c r="A852" s="5" t="s">
        <v>216</v>
      </c>
      <c r="B852" s="5" t="s">
        <v>171</v>
      </c>
      <c r="C852" s="5" t="n">
        <v>65</v>
      </c>
      <c r="D852" s="5" t="s">
        <v>1289</v>
      </c>
      <c r="E852" s="5" t="n">
        <v>2</v>
      </c>
      <c r="F852" s="20" t="n">
        <v>7.302875109296</v>
      </c>
      <c r="G852" s="20" t="n">
        <f aca="false">9-F852</f>
        <v>1.697124890704</v>
      </c>
      <c r="H852" s="20" t="n">
        <f aca="false">IF(G852&gt;=1,G852,0)</f>
        <v>1.697124890704</v>
      </c>
      <c r="I852" s="5" t="s">
        <v>74</v>
      </c>
      <c r="J852" s="5" t="s">
        <v>1351</v>
      </c>
    </row>
    <row r="853" customFormat="false" ht="15" hidden="false" customHeight="false" outlineLevel="0" collapsed="false">
      <c r="A853" s="5" t="s">
        <v>216</v>
      </c>
      <c r="B853" s="5" t="s">
        <v>171</v>
      </c>
      <c r="C853" s="5" t="n">
        <v>66</v>
      </c>
      <c r="D853" s="5" t="s">
        <v>1289</v>
      </c>
      <c r="E853" s="5" t="n">
        <v>2</v>
      </c>
      <c r="F853" s="20" t="n">
        <v>7.302875109296</v>
      </c>
      <c r="G853" s="20" t="n">
        <f aca="false">9-F853</f>
        <v>1.697124890704</v>
      </c>
      <c r="H853" s="20" t="n">
        <f aca="false">IF(G853&gt;=1,G853,0)</f>
        <v>1.697124890704</v>
      </c>
      <c r="I853" s="5" t="s">
        <v>74</v>
      </c>
      <c r="J853" s="5" t="s">
        <v>1352</v>
      </c>
    </row>
    <row r="854" customFormat="false" ht="15" hidden="false" customHeight="false" outlineLevel="0" collapsed="false">
      <c r="A854" s="5" t="s">
        <v>216</v>
      </c>
      <c r="B854" s="5" t="s">
        <v>171</v>
      </c>
      <c r="C854" s="5" t="n">
        <v>67</v>
      </c>
      <c r="D854" s="5" t="s">
        <v>1289</v>
      </c>
      <c r="E854" s="5" t="n">
        <v>2</v>
      </c>
      <c r="F854" s="20" t="n">
        <v>7.302875109296</v>
      </c>
      <c r="G854" s="20" t="n">
        <f aca="false">9-F854</f>
        <v>1.697124890704</v>
      </c>
      <c r="H854" s="20" t="n">
        <f aca="false">IF(G854&gt;=1,G854,0)</f>
        <v>1.697124890704</v>
      </c>
      <c r="I854" s="5" t="s">
        <v>74</v>
      </c>
      <c r="J854" s="5" t="s">
        <v>1353</v>
      </c>
    </row>
    <row r="855" customFormat="false" ht="15" hidden="false" customHeight="false" outlineLevel="0" collapsed="false">
      <c r="A855" s="5" t="s">
        <v>216</v>
      </c>
      <c r="B855" s="5" t="s">
        <v>171</v>
      </c>
      <c r="C855" s="5" t="n">
        <v>68</v>
      </c>
      <c r="D855" s="5" t="s">
        <v>1289</v>
      </c>
      <c r="E855" s="5" t="n">
        <v>2</v>
      </c>
      <c r="F855" s="20" t="n">
        <v>7.302875109296</v>
      </c>
      <c r="G855" s="20" t="n">
        <f aca="false">9-F855</f>
        <v>1.697124890704</v>
      </c>
      <c r="H855" s="20" t="n">
        <f aca="false">IF(G855&gt;=1,G855,0)</f>
        <v>1.697124890704</v>
      </c>
      <c r="I855" s="5" t="s">
        <v>74</v>
      </c>
      <c r="J855" s="5" t="s">
        <v>1354</v>
      </c>
    </row>
    <row r="856" customFormat="false" ht="15" hidden="false" customHeight="false" outlineLevel="0" collapsed="false">
      <c r="A856" s="5" t="s">
        <v>216</v>
      </c>
      <c r="B856" s="5" t="s">
        <v>171</v>
      </c>
      <c r="C856" s="5" t="n">
        <v>69</v>
      </c>
      <c r="D856" s="5" t="s">
        <v>1289</v>
      </c>
      <c r="E856" s="5" t="n">
        <v>2</v>
      </c>
      <c r="F856" s="20" t="n">
        <v>7.302875109296</v>
      </c>
      <c r="G856" s="20" t="n">
        <f aca="false">9-F856</f>
        <v>1.697124890704</v>
      </c>
      <c r="H856" s="20" t="n">
        <f aca="false">IF(G856&gt;=1,G856,0)</f>
        <v>1.697124890704</v>
      </c>
      <c r="I856" s="5" t="s">
        <v>74</v>
      </c>
      <c r="J856" s="5" t="s">
        <v>1355</v>
      </c>
    </row>
    <row r="857" customFormat="false" ht="15" hidden="false" customHeight="false" outlineLevel="0" collapsed="false">
      <c r="A857" s="5" t="s">
        <v>216</v>
      </c>
      <c r="B857" s="5" t="s">
        <v>171</v>
      </c>
      <c r="C857" s="5" t="n">
        <v>70</v>
      </c>
      <c r="D857" s="5" t="s">
        <v>1289</v>
      </c>
      <c r="E857" s="5" t="n">
        <v>2</v>
      </c>
      <c r="F857" s="20" t="n">
        <v>7.302875109296</v>
      </c>
      <c r="G857" s="20" t="n">
        <f aca="false">9-F857</f>
        <v>1.697124890704</v>
      </c>
      <c r="H857" s="20" t="n">
        <f aca="false">IF(G857&gt;=1,G857,0)</f>
        <v>1.697124890704</v>
      </c>
      <c r="I857" s="5" t="s">
        <v>74</v>
      </c>
      <c r="J857" s="5" t="s">
        <v>1356</v>
      </c>
    </row>
    <row r="858" customFormat="false" ht="15" hidden="false" customHeight="false" outlineLevel="0" collapsed="false">
      <c r="A858" s="5" t="s">
        <v>216</v>
      </c>
      <c r="B858" s="5" t="s">
        <v>171</v>
      </c>
      <c r="C858" s="5" t="n">
        <v>71</v>
      </c>
      <c r="D858" s="5" t="s">
        <v>1289</v>
      </c>
      <c r="E858" s="5" t="n">
        <v>2</v>
      </c>
      <c r="F858" s="20" t="n">
        <v>7.302875109296</v>
      </c>
      <c r="G858" s="20" t="n">
        <f aca="false">9-F858</f>
        <v>1.697124890704</v>
      </c>
      <c r="H858" s="20" t="n">
        <f aca="false">IF(G858&gt;=1,G858,0)</f>
        <v>1.697124890704</v>
      </c>
      <c r="I858" s="5" t="s">
        <v>74</v>
      </c>
      <c r="J858" s="5" t="s">
        <v>1357</v>
      </c>
    </row>
    <row r="859" customFormat="false" ht="15" hidden="false" customHeight="false" outlineLevel="0" collapsed="false">
      <c r="A859" s="5" t="s">
        <v>216</v>
      </c>
      <c r="B859" s="5" t="s">
        <v>172</v>
      </c>
      <c r="C859" s="5" t="n">
        <v>1</v>
      </c>
      <c r="D859" s="5" t="s">
        <v>505</v>
      </c>
      <c r="E859" s="5" t="n">
        <v>1</v>
      </c>
      <c r="F859" s="20" t="n">
        <v>9</v>
      </c>
      <c r="G859" s="20" t="n">
        <f aca="false">9-F859</f>
        <v>0</v>
      </c>
      <c r="H859" s="20" t="n">
        <f aca="false">IF(G859&gt;=1,G859,0)</f>
        <v>0</v>
      </c>
      <c r="I859" s="5" t="s">
        <v>75</v>
      </c>
      <c r="J859" s="5" t="s">
        <v>1358</v>
      </c>
    </row>
    <row r="860" customFormat="false" ht="15" hidden="false" customHeight="false" outlineLevel="0" collapsed="false">
      <c r="A860" s="5" t="s">
        <v>216</v>
      </c>
      <c r="B860" s="5" t="s">
        <v>172</v>
      </c>
      <c r="C860" s="5" t="n">
        <v>2</v>
      </c>
      <c r="D860" s="5" t="s">
        <v>505</v>
      </c>
      <c r="E860" s="5" t="n">
        <v>1</v>
      </c>
      <c r="F860" s="20" t="n">
        <v>9</v>
      </c>
      <c r="G860" s="20" t="n">
        <f aca="false">9-F860</f>
        <v>0</v>
      </c>
      <c r="H860" s="20" t="n">
        <f aca="false">IF(G860&gt;=1,G860,0)</f>
        <v>0</v>
      </c>
      <c r="I860" s="5" t="s">
        <v>75</v>
      </c>
      <c r="J860" s="5" t="s">
        <v>1359</v>
      </c>
    </row>
    <row r="861" customFormat="false" ht="15" hidden="false" customHeight="false" outlineLevel="0" collapsed="false">
      <c r="A861" s="5" t="s">
        <v>216</v>
      </c>
      <c r="B861" s="5" t="s">
        <v>172</v>
      </c>
      <c r="C861" s="5" t="n">
        <v>3</v>
      </c>
      <c r="D861" s="5" t="s">
        <v>505</v>
      </c>
      <c r="E861" s="5" t="n">
        <v>1</v>
      </c>
      <c r="F861" s="20" t="n">
        <v>9</v>
      </c>
      <c r="G861" s="20" t="n">
        <f aca="false">9-F861</f>
        <v>0</v>
      </c>
      <c r="H861" s="20" t="n">
        <f aca="false">IF(G861&gt;=1,G861,0)</f>
        <v>0</v>
      </c>
      <c r="I861" s="5" t="s">
        <v>75</v>
      </c>
      <c r="J861" s="5" t="s">
        <v>1360</v>
      </c>
    </row>
    <row r="862" customFormat="false" ht="15" hidden="false" customHeight="false" outlineLevel="0" collapsed="false">
      <c r="A862" s="5" t="s">
        <v>216</v>
      </c>
      <c r="B862" s="5" t="s">
        <v>172</v>
      </c>
      <c r="C862" s="5" t="n">
        <v>4</v>
      </c>
      <c r="D862" s="5" t="s">
        <v>505</v>
      </c>
      <c r="E862" s="5" t="n">
        <v>1</v>
      </c>
      <c r="F862" s="20" t="n">
        <v>9</v>
      </c>
      <c r="G862" s="20" t="n">
        <f aca="false">9-F862</f>
        <v>0</v>
      </c>
      <c r="H862" s="20" t="n">
        <f aca="false">IF(G862&gt;=1,G862,0)</f>
        <v>0</v>
      </c>
      <c r="I862" s="5" t="s">
        <v>75</v>
      </c>
      <c r="J862" s="5" t="s">
        <v>1361</v>
      </c>
    </row>
    <row r="863" customFormat="false" ht="15" hidden="false" customHeight="false" outlineLevel="0" collapsed="false">
      <c r="A863" s="5" t="s">
        <v>216</v>
      </c>
      <c r="B863" s="5" t="s">
        <v>172</v>
      </c>
      <c r="C863" s="5" t="n">
        <v>5</v>
      </c>
      <c r="D863" s="5" t="s">
        <v>505</v>
      </c>
      <c r="E863" s="5" t="n">
        <v>1</v>
      </c>
      <c r="F863" s="20" t="n">
        <v>9</v>
      </c>
      <c r="G863" s="20" t="n">
        <f aca="false">9-F863</f>
        <v>0</v>
      </c>
      <c r="H863" s="20" t="n">
        <f aca="false">IF(G863&gt;=1,G863,0)</f>
        <v>0</v>
      </c>
      <c r="I863" s="5" t="s">
        <v>75</v>
      </c>
      <c r="J863" s="5" t="s">
        <v>1362</v>
      </c>
    </row>
    <row r="864" customFormat="false" ht="15" hidden="false" customHeight="false" outlineLevel="0" collapsed="false">
      <c r="A864" s="5" t="s">
        <v>216</v>
      </c>
      <c r="B864" s="5" t="s">
        <v>172</v>
      </c>
      <c r="C864" s="5" t="n">
        <v>6</v>
      </c>
      <c r="D864" s="5" t="s">
        <v>505</v>
      </c>
      <c r="E864" s="5" t="n">
        <v>1</v>
      </c>
      <c r="F864" s="20" t="n">
        <v>9</v>
      </c>
      <c r="G864" s="20" t="n">
        <f aca="false">9-F864</f>
        <v>0</v>
      </c>
      <c r="H864" s="20" t="n">
        <f aca="false">IF(G864&gt;=1,G864,0)</f>
        <v>0</v>
      </c>
      <c r="I864" s="5" t="s">
        <v>75</v>
      </c>
      <c r="J864" s="5" t="s">
        <v>1363</v>
      </c>
    </row>
    <row r="865" customFormat="false" ht="15" hidden="false" customHeight="false" outlineLevel="0" collapsed="false">
      <c r="A865" s="5" t="s">
        <v>216</v>
      </c>
      <c r="B865" s="5" t="s">
        <v>172</v>
      </c>
      <c r="C865" s="5" t="n">
        <v>7</v>
      </c>
      <c r="D865" s="5" t="s">
        <v>505</v>
      </c>
      <c r="E865" s="5" t="n">
        <v>1</v>
      </c>
      <c r="F865" s="20" t="n">
        <v>9</v>
      </c>
      <c r="G865" s="20" t="n">
        <f aca="false">9-F865</f>
        <v>0</v>
      </c>
      <c r="H865" s="20" t="n">
        <f aca="false">IF(G865&gt;=1,G865,0)</f>
        <v>0</v>
      </c>
      <c r="I865" s="5" t="s">
        <v>75</v>
      </c>
      <c r="J865" s="5" t="s">
        <v>1364</v>
      </c>
    </row>
    <row r="866" customFormat="false" ht="15" hidden="false" customHeight="false" outlineLevel="0" collapsed="false">
      <c r="A866" s="5" t="s">
        <v>216</v>
      </c>
      <c r="B866" s="5" t="s">
        <v>172</v>
      </c>
      <c r="C866" s="5" t="n">
        <v>8</v>
      </c>
      <c r="D866" s="5" t="s">
        <v>505</v>
      </c>
      <c r="E866" s="5" t="n">
        <v>1</v>
      </c>
      <c r="F866" s="20" t="n">
        <v>9</v>
      </c>
      <c r="G866" s="20" t="n">
        <f aca="false">9-F866</f>
        <v>0</v>
      </c>
      <c r="H866" s="20" t="n">
        <f aca="false">IF(G866&gt;=1,G866,0)</f>
        <v>0</v>
      </c>
      <c r="I866" s="5" t="s">
        <v>75</v>
      </c>
      <c r="J866" s="5" t="s">
        <v>1365</v>
      </c>
    </row>
    <row r="867" customFormat="false" ht="15" hidden="false" customHeight="false" outlineLevel="0" collapsed="false">
      <c r="A867" s="5" t="s">
        <v>216</v>
      </c>
      <c r="B867" s="5" t="s">
        <v>172</v>
      </c>
      <c r="C867" s="5" t="n">
        <v>9</v>
      </c>
      <c r="D867" s="5" t="s">
        <v>505</v>
      </c>
      <c r="E867" s="5" t="n">
        <v>1</v>
      </c>
      <c r="F867" s="20" t="n">
        <v>9</v>
      </c>
      <c r="G867" s="20" t="n">
        <f aca="false">9-F867</f>
        <v>0</v>
      </c>
      <c r="H867" s="20" t="n">
        <f aca="false">IF(G867&gt;=1,G867,0)</f>
        <v>0</v>
      </c>
      <c r="I867" s="5" t="s">
        <v>75</v>
      </c>
      <c r="J867" s="5" t="s">
        <v>1366</v>
      </c>
    </row>
    <row r="868" customFormat="false" ht="15" hidden="false" customHeight="false" outlineLevel="0" collapsed="false">
      <c r="A868" s="5" t="s">
        <v>216</v>
      </c>
      <c r="B868" s="5" t="s">
        <v>172</v>
      </c>
      <c r="C868" s="5" t="n">
        <v>10</v>
      </c>
      <c r="D868" s="5" t="s">
        <v>505</v>
      </c>
      <c r="E868" s="5" t="n">
        <v>1</v>
      </c>
      <c r="F868" s="20" t="n">
        <v>9</v>
      </c>
      <c r="G868" s="20" t="n">
        <f aca="false">9-F868</f>
        <v>0</v>
      </c>
      <c r="H868" s="20" t="n">
        <f aca="false">IF(G868&gt;=1,G868,0)</f>
        <v>0</v>
      </c>
      <c r="I868" s="5" t="s">
        <v>75</v>
      </c>
      <c r="J868" s="5" t="s">
        <v>1367</v>
      </c>
    </row>
    <row r="869" customFormat="false" ht="15" hidden="false" customHeight="false" outlineLevel="0" collapsed="false">
      <c r="A869" s="5" t="s">
        <v>216</v>
      </c>
      <c r="B869" s="5" t="s">
        <v>172</v>
      </c>
      <c r="C869" s="5" t="n">
        <v>11</v>
      </c>
      <c r="D869" s="5" t="s">
        <v>505</v>
      </c>
      <c r="E869" s="5" t="n">
        <v>1</v>
      </c>
      <c r="F869" s="20" t="n">
        <v>9</v>
      </c>
      <c r="G869" s="20" t="n">
        <f aca="false">9-F869</f>
        <v>0</v>
      </c>
      <c r="H869" s="20" t="n">
        <f aca="false">IF(G869&gt;=1,G869,0)</f>
        <v>0</v>
      </c>
      <c r="I869" s="5" t="s">
        <v>75</v>
      </c>
      <c r="J869" s="5" t="s">
        <v>1368</v>
      </c>
    </row>
    <row r="870" customFormat="false" ht="15" hidden="false" customHeight="false" outlineLevel="0" collapsed="false">
      <c r="A870" s="5" t="s">
        <v>216</v>
      </c>
      <c r="B870" s="5" t="s">
        <v>172</v>
      </c>
      <c r="C870" s="5" t="n">
        <v>12</v>
      </c>
      <c r="D870" s="5" t="s">
        <v>505</v>
      </c>
      <c r="E870" s="5" t="n">
        <v>1</v>
      </c>
      <c r="F870" s="20" t="n">
        <v>9</v>
      </c>
      <c r="G870" s="20" t="n">
        <f aca="false">9-F870</f>
        <v>0</v>
      </c>
      <c r="H870" s="20" t="n">
        <f aca="false">IF(G870&gt;=1,G870,0)</f>
        <v>0</v>
      </c>
      <c r="I870" s="5" t="s">
        <v>75</v>
      </c>
      <c r="J870" s="5" t="s">
        <v>1369</v>
      </c>
    </row>
    <row r="871" customFormat="false" ht="15" hidden="false" customHeight="false" outlineLevel="0" collapsed="false">
      <c r="A871" s="5" t="s">
        <v>216</v>
      </c>
      <c r="B871" s="5" t="s">
        <v>172</v>
      </c>
      <c r="C871" s="5" t="n">
        <v>13</v>
      </c>
      <c r="D871" s="5" t="s">
        <v>1370</v>
      </c>
      <c r="E871" s="5" t="n">
        <v>1</v>
      </c>
      <c r="F871" s="20" t="n">
        <v>8.96897480565453</v>
      </c>
      <c r="G871" s="20" t="n">
        <f aca="false">9-F871</f>
        <v>0.0310251943454691</v>
      </c>
      <c r="H871" s="20" t="n">
        <f aca="false">IF(G871&gt;=1,G871,0)</f>
        <v>0</v>
      </c>
      <c r="I871" s="5" t="s">
        <v>75</v>
      </c>
      <c r="J871" s="5" t="s">
        <v>1371</v>
      </c>
    </row>
    <row r="872" customFormat="false" ht="15" hidden="false" customHeight="false" outlineLevel="0" collapsed="false">
      <c r="A872" s="5" t="s">
        <v>216</v>
      </c>
      <c r="B872" s="5" t="s">
        <v>172</v>
      </c>
      <c r="C872" s="5" t="n">
        <v>14</v>
      </c>
      <c r="D872" s="5" t="s">
        <v>1372</v>
      </c>
      <c r="E872" s="5" t="n">
        <v>1</v>
      </c>
      <c r="F872" s="20" t="n">
        <v>8.95697480565453</v>
      </c>
      <c r="G872" s="20" t="n">
        <f aca="false">9-F872</f>
        <v>0.043025194345466</v>
      </c>
      <c r="H872" s="20" t="n">
        <f aca="false">IF(G872&gt;=1,G872,0)</f>
        <v>0</v>
      </c>
      <c r="I872" s="5" t="s">
        <v>75</v>
      </c>
      <c r="J872" s="5" t="s">
        <v>1373</v>
      </c>
    </row>
    <row r="873" customFormat="false" ht="15" hidden="false" customHeight="false" outlineLevel="0" collapsed="false">
      <c r="A873" s="5" t="s">
        <v>216</v>
      </c>
      <c r="B873" s="5" t="s">
        <v>172</v>
      </c>
      <c r="C873" s="5" t="n">
        <v>15</v>
      </c>
      <c r="D873" s="5" t="s">
        <v>1374</v>
      </c>
      <c r="E873" s="5" t="n">
        <v>1</v>
      </c>
      <c r="F873" s="20" t="n">
        <v>8.95297480565453</v>
      </c>
      <c r="G873" s="20" t="n">
        <f aca="false">9-F873</f>
        <v>0.0470251943454674</v>
      </c>
      <c r="H873" s="20" t="n">
        <f aca="false">IF(G873&gt;=1,G873,0)</f>
        <v>0</v>
      </c>
      <c r="I873" s="5" t="s">
        <v>75</v>
      </c>
      <c r="J873" s="5" t="s">
        <v>1375</v>
      </c>
    </row>
    <row r="874" customFormat="false" ht="15" hidden="false" customHeight="false" outlineLevel="0" collapsed="false">
      <c r="A874" s="5" t="s">
        <v>216</v>
      </c>
      <c r="B874" s="5" t="s">
        <v>172</v>
      </c>
      <c r="C874" s="5" t="n">
        <v>16</v>
      </c>
      <c r="D874" s="5" t="s">
        <v>1376</v>
      </c>
      <c r="E874" s="5" t="n">
        <v>1</v>
      </c>
      <c r="F874" s="20" t="n">
        <v>8.92454196056548</v>
      </c>
      <c r="G874" s="20" t="n">
        <f aca="false">9-F874</f>
        <v>0.0754580394345226</v>
      </c>
      <c r="H874" s="20" t="n">
        <f aca="false">IF(G874&gt;=1,G874,0)</f>
        <v>0</v>
      </c>
      <c r="I874" s="5" t="s">
        <v>75</v>
      </c>
      <c r="J874" s="5" t="s">
        <v>1377</v>
      </c>
    </row>
    <row r="875" customFormat="false" ht="15" hidden="false" customHeight="false" outlineLevel="0" collapsed="false">
      <c r="A875" s="5" t="s">
        <v>216</v>
      </c>
      <c r="B875" s="5" t="s">
        <v>172</v>
      </c>
      <c r="C875" s="5" t="n">
        <v>17</v>
      </c>
      <c r="D875" s="5" t="s">
        <v>1376</v>
      </c>
      <c r="E875" s="5" t="n">
        <v>1</v>
      </c>
      <c r="F875" s="20" t="n">
        <v>8.92454196056547</v>
      </c>
      <c r="G875" s="20" t="n">
        <f aca="false">9-F875</f>
        <v>0.0754580394345261</v>
      </c>
      <c r="H875" s="20" t="n">
        <f aca="false">IF(G875&gt;=1,G875,0)</f>
        <v>0</v>
      </c>
      <c r="I875" s="5" t="s">
        <v>75</v>
      </c>
      <c r="J875" s="5" t="s">
        <v>1378</v>
      </c>
    </row>
    <row r="876" customFormat="false" ht="15" hidden="false" customHeight="false" outlineLevel="0" collapsed="false">
      <c r="A876" s="5" t="s">
        <v>216</v>
      </c>
      <c r="B876" s="5" t="s">
        <v>172</v>
      </c>
      <c r="C876" s="5" t="n">
        <v>18</v>
      </c>
      <c r="D876" s="5" t="s">
        <v>1376</v>
      </c>
      <c r="E876" s="5" t="n">
        <v>1</v>
      </c>
      <c r="F876" s="20" t="n">
        <v>8.92454196056547</v>
      </c>
      <c r="G876" s="20" t="n">
        <f aca="false">9-F876</f>
        <v>0.0754580394345314</v>
      </c>
      <c r="H876" s="20" t="n">
        <f aca="false">IF(G876&gt;=1,G876,0)</f>
        <v>0</v>
      </c>
      <c r="I876" s="5" t="s">
        <v>75</v>
      </c>
      <c r="J876" s="5" t="s">
        <v>1379</v>
      </c>
    </row>
    <row r="877" customFormat="false" ht="15" hidden="false" customHeight="false" outlineLevel="0" collapsed="false">
      <c r="A877" s="5" t="s">
        <v>216</v>
      </c>
      <c r="B877" s="5" t="s">
        <v>172</v>
      </c>
      <c r="C877" s="5" t="n">
        <v>19</v>
      </c>
      <c r="D877" s="5" t="s">
        <v>1376</v>
      </c>
      <c r="E877" s="5" t="n">
        <v>1</v>
      </c>
      <c r="F877" s="20" t="n">
        <v>8.92454196056547</v>
      </c>
      <c r="G877" s="20" t="n">
        <f aca="false">9-F877</f>
        <v>0.0754580394345332</v>
      </c>
      <c r="H877" s="20" t="n">
        <f aca="false">IF(G877&gt;=1,G877,0)</f>
        <v>0</v>
      </c>
      <c r="I877" s="5" t="s">
        <v>75</v>
      </c>
      <c r="J877" s="5" t="s">
        <v>1380</v>
      </c>
    </row>
    <row r="878" customFormat="false" ht="15" hidden="false" customHeight="false" outlineLevel="0" collapsed="false">
      <c r="A878" s="5" t="s">
        <v>216</v>
      </c>
      <c r="B878" s="5" t="s">
        <v>172</v>
      </c>
      <c r="C878" s="5" t="n">
        <v>20</v>
      </c>
      <c r="D878" s="5" t="s">
        <v>1381</v>
      </c>
      <c r="E878" s="5" t="n">
        <v>1</v>
      </c>
      <c r="F878" s="20" t="n">
        <v>8.77454196056538</v>
      </c>
      <c r="G878" s="20" t="n">
        <f aca="false">9-F878</f>
        <v>0.225458039434622</v>
      </c>
      <c r="H878" s="20" t="n">
        <f aca="false">IF(G878&gt;=1,G878,0)</f>
        <v>0</v>
      </c>
      <c r="I878" s="5" t="s">
        <v>75</v>
      </c>
      <c r="J878" s="5" t="s">
        <v>1382</v>
      </c>
    </row>
    <row r="879" customFormat="false" ht="15" hidden="false" customHeight="false" outlineLevel="0" collapsed="false">
      <c r="A879" s="5" t="s">
        <v>216</v>
      </c>
      <c r="B879" s="5" t="s">
        <v>172</v>
      </c>
      <c r="C879" s="5" t="n">
        <v>21</v>
      </c>
      <c r="D879" s="5" t="s">
        <v>1381</v>
      </c>
      <c r="E879" s="5" t="n">
        <v>1</v>
      </c>
      <c r="F879" s="20" t="n">
        <v>8.77454196056538</v>
      </c>
      <c r="G879" s="20" t="n">
        <f aca="false">9-F879</f>
        <v>0.225458039434622</v>
      </c>
      <c r="H879" s="20" t="n">
        <f aca="false">IF(G879&gt;=1,G879,0)</f>
        <v>0</v>
      </c>
      <c r="I879" s="5" t="s">
        <v>75</v>
      </c>
      <c r="J879" s="5" t="s">
        <v>1383</v>
      </c>
    </row>
    <row r="880" customFormat="false" ht="15" hidden="false" customHeight="false" outlineLevel="0" collapsed="false">
      <c r="A880" s="5" t="s">
        <v>216</v>
      </c>
      <c r="B880" s="5" t="s">
        <v>172</v>
      </c>
      <c r="C880" s="5" t="n">
        <v>22</v>
      </c>
      <c r="D880" s="5" t="s">
        <v>1384</v>
      </c>
      <c r="E880" s="5" t="n">
        <v>1</v>
      </c>
      <c r="F880" s="20" t="n">
        <v>8.38954196056548</v>
      </c>
      <c r="G880" s="20" t="n">
        <f aca="false">9-F880</f>
        <v>0.610458039434523</v>
      </c>
      <c r="H880" s="20" t="n">
        <f aca="false">IF(G880&gt;=1,G880,0)</f>
        <v>0</v>
      </c>
      <c r="I880" s="5" t="s">
        <v>75</v>
      </c>
      <c r="J880" s="5" t="s">
        <v>1385</v>
      </c>
    </row>
    <row r="881" customFormat="false" ht="15" hidden="false" customHeight="false" outlineLevel="0" collapsed="false">
      <c r="A881" s="5" t="s">
        <v>216</v>
      </c>
      <c r="B881" s="5" t="s">
        <v>172</v>
      </c>
      <c r="C881" s="5" t="n">
        <v>23</v>
      </c>
      <c r="D881" s="5" t="s">
        <v>1384</v>
      </c>
      <c r="E881" s="5" t="n">
        <v>1</v>
      </c>
      <c r="F881" s="20" t="n">
        <v>8.38954196056548</v>
      </c>
      <c r="G881" s="20" t="n">
        <f aca="false">9-F881</f>
        <v>0.610458039434525</v>
      </c>
      <c r="H881" s="20" t="n">
        <f aca="false">IF(G881&gt;=1,G881,0)</f>
        <v>0</v>
      </c>
      <c r="I881" s="5" t="s">
        <v>75</v>
      </c>
      <c r="J881" s="5" t="s">
        <v>1386</v>
      </c>
    </row>
    <row r="882" customFormat="false" ht="15" hidden="false" customHeight="false" outlineLevel="0" collapsed="false">
      <c r="A882" s="5" t="s">
        <v>216</v>
      </c>
      <c r="B882" s="5" t="s">
        <v>172</v>
      </c>
      <c r="C882" s="5" t="n">
        <v>24</v>
      </c>
      <c r="D882" s="5" t="s">
        <v>1384</v>
      </c>
      <c r="E882" s="5" t="n">
        <v>1</v>
      </c>
      <c r="F882" s="20" t="n">
        <v>8.38954196056548</v>
      </c>
      <c r="G882" s="20" t="n">
        <f aca="false">9-F882</f>
        <v>0.610458039434525</v>
      </c>
      <c r="H882" s="20" t="n">
        <f aca="false">IF(G882&gt;=1,G882,0)</f>
        <v>0</v>
      </c>
      <c r="I882" s="5" t="s">
        <v>75</v>
      </c>
      <c r="J882" s="5" t="s">
        <v>1387</v>
      </c>
    </row>
    <row r="883" customFormat="false" ht="15" hidden="false" customHeight="false" outlineLevel="0" collapsed="false">
      <c r="A883" s="5" t="s">
        <v>216</v>
      </c>
      <c r="B883" s="5" t="s">
        <v>172</v>
      </c>
      <c r="C883" s="5" t="n">
        <v>25</v>
      </c>
      <c r="D883" s="5" t="s">
        <v>1384</v>
      </c>
      <c r="E883" s="5" t="n">
        <v>1</v>
      </c>
      <c r="F883" s="20" t="n">
        <v>8.38954196056548</v>
      </c>
      <c r="G883" s="20" t="n">
        <f aca="false">9-F883</f>
        <v>0.610458039434525</v>
      </c>
      <c r="H883" s="20" t="n">
        <f aca="false">IF(G883&gt;=1,G883,0)</f>
        <v>0</v>
      </c>
      <c r="I883" s="5" t="s">
        <v>75</v>
      </c>
      <c r="J883" s="5" t="s">
        <v>1388</v>
      </c>
    </row>
    <row r="884" customFormat="false" ht="15" hidden="false" customHeight="false" outlineLevel="0" collapsed="false">
      <c r="A884" s="5" t="s">
        <v>216</v>
      </c>
      <c r="B884" s="5" t="s">
        <v>172</v>
      </c>
      <c r="C884" s="5" t="n">
        <v>26</v>
      </c>
      <c r="D884" s="5" t="s">
        <v>1389</v>
      </c>
      <c r="E884" s="5" t="n">
        <v>1</v>
      </c>
      <c r="F884" s="20" t="n">
        <v>7.99587480565453</v>
      </c>
      <c r="G884" s="20" t="n">
        <f aca="false">9-F884</f>
        <v>1.00412519434547</v>
      </c>
      <c r="H884" s="20" t="n">
        <f aca="false">IF(G884&gt;=1,G884,0)</f>
        <v>1.00412519434547</v>
      </c>
      <c r="I884" s="5" t="s">
        <v>75</v>
      </c>
      <c r="J884" s="5" t="s">
        <v>1390</v>
      </c>
    </row>
    <row r="885" customFormat="false" ht="15" hidden="false" customHeight="false" outlineLevel="0" collapsed="false">
      <c r="A885" s="5" t="s">
        <v>216</v>
      </c>
      <c r="B885" s="5" t="s">
        <v>172</v>
      </c>
      <c r="C885" s="5" t="n">
        <v>27</v>
      </c>
      <c r="D885" s="5" t="s">
        <v>1389</v>
      </c>
      <c r="E885" s="5" t="n">
        <v>1</v>
      </c>
      <c r="F885" s="20" t="n">
        <v>7.99587480565453</v>
      </c>
      <c r="G885" s="20" t="n">
        <f aca="false">9-F885</f>
        <v>1.00412519434547</v>
      </c>
      <c r="H885" s="20" t="n">
        <f aca="false">IF(G885&gt;=1,G885,0)</f>
        <v>1.00412519434547</v>
      </c>
      <c r="I885" s="5" t="s">
        <v>75</v>
      </c>
      <c r="J885" s="5" t="s">
        <v>1391</v>
      </c>
    </row>
    <row r="886" customFormat="false" ht="15" hidden="false" customHeight="false" outlineLevel="0" collapsed="false">
      <c r="A886" s="5" t="s">
        <v>216</v>
      </c>
      <c r="B886" s="5" t="s">
        <v>172</v>
      </c>
      <c r="C886" s="5" t="n">
        <v>28</v>
      </c>
      <c r="D886" s="5" t="s">
        <v>1392</v>
      </c>
      <c r="E886" s="5" t="n">
        <v>1</v>
      </c>
      <c r="F886" s="20" t="n">
        <v>7.98902480565453</v>
      </c>
      <c r="G886" s="20" t="n">
        <f aca="false">9-F886</f>
        <v>1.01097519434547</v>
      </c>
      <c r="H886" s="20" t="n">
        <f aca="false">IF(G886&gt;=1,G886,0)</f>
        <v>1.01097519434547</v>
      </c>
      <c r="I886" s="5" t="s">
        <v>75</v>
      </c>
      <c r="J886" s="5" t="s">
        <v>1393</v>
      </c>
    </row>
    <row r="887" customFormat="false" ht="15" hidden="false" customHeight="false" outlineLevel="0" collapsed="false">
      <c r="A887" s="5" t="s">
        <v>216</v>
      </c>
      <c r="B887" s="5" t="s">
        <v>172</v>
      </c>
      <c r="C887" s="5" t="n">
        <v>29</v>
      </c>
      <c r="D887" s="5" t="s">
        <v>1394</v>
      </c>
      <c r="E887" s="5" t="n">
        <v>1</v>
      </c>
      <c r="F887" s="20" t="n">
        <v>7.96787480565453</v>
      </c>
      <c r="G887" s="20" t="n">
        <f aca="false">9-F887</f>
        <v>1.03212519434547</v>
      </c>
      <c r="H887" s="20" t="n">
        <f aca="false">IF(G887&gt;=1,G887,0)</f>
        <v>1.03212519434547</v>
      </c>
      <c r="I887" s="5" t="s">
        <v>75</v>
      </c>
      <c r="J887" s="5" t="s">
        <v>1395</v>
      </c>
    </row>
    <row r="888" customFormat="false" ht="15" hidden="false" customHeight="false" outlineLevel="0" collapsed="false">
      <c r="A888" s="5" t="s">
        <v>216</v>
      </c>
      <c r="B888" s="5" t="s">
        <v>172</v>
      </c>
      <c r="C888" s="5" t="n">
        <v>30</v>
      </c>
      <c r="D888" s="5" t="s">
        <v>1396</v>
      </c>
      <c r="E888" s="5" t="n">
        <v>1</v>
      </c>
      <c r="F888" s="20" t="n">
        <v>7.83187480565453</v>
      </c>
      <c r="G888" s="20" t="n">
        <f aca="false">9-F888</f>
        <v>1.16812519434547</v>
      </c>
      <c r="H888" s="20" t="n">
        <f aca="false">IF(G888&gt;=1,G888,0)</f>
        <v>1.16812519434547</v>
      </c>
      <c r="I888" s="5" t="s">
        <v>75</v>
      </c>
      <c r="J888" s="5" t="s">
        <v>1397</v>
      </c>
    </row>
    <row r="889" customFormat="false" ht="15" hidden="false" customHeight="false" outlineLevel="0" collapsed="false">
      <c r="A889" s="5" t="s">
        <v>216</v>
      </c>
      <c r="B889" s="5" t="s">
        <v>172</v>
      </c>
      <c r="C889" s="5" t="n">
        <v>31</v>
      </c>
      <c r="D889" s="5" t="s">
        <v>1396</v>
      </c>
      <c r="E889" s="5" t="n">
        <v>1</v>
      </c>
      <c r="F889" s="20" t="n">
        <v>7.83187480565453</v>
      </c>
      <c r="G889" s="20" t="n">
        <f aca="false">9-F889</f>
        <v>1.16812519434547</v>
      </c>
      <c r="H889" s="20" t="n">
        <f aca="false">IF(G889&gt;=1,G889,0)</f>
        <v>1.16812519434547</v>
      </c>
      <c r="I889" s="5" t="s">
        <v>75</v>
      </c>
      <c r="J889" s="5" t="s">
        <v>1398</v>
      </c>
    </row>
    <row r="890" customFormat="false" ht="15" hidden="false" customHeight="false" outlineLevel="0" collapsed="false">
      <c r="A890" s="5" t="s">
        <v>216</v>
      </c>
      <c r="B890" s="5" t="s">
        <v>172</v>
      </c>
      <c r="C890" s="5" t="n">
        <v>32</v>
      </c>
      <c r="D890" s="5" t="s">
        <v>1399</v>
      </c>
      <c r="E890" s="5" t="n">
        <v>1</v>
      </c>
      <c r="F890" s="20" t="n">
        <v>7.78897480565453</v>
      </c>
      <c r="G890" s="20" t="n">
        <f aca="false">9-F890</f>
        <v>1.21102519434547</v>
      </c>
      <c r="H890" s="20" t="n">
        <f aca="false">IF(G890&gt;=1,G890,0)</f>
        <v>1.21102519434547</v>
      </c>
      <c r="I890" s="5" t="s">
        <v>75</v>
      </c>
      <c r="J890" s="5" t="s">
        <v>1400</v>
      </c>
    </row>
    <row r="891" customFormat="false" ht="15" hidden="false" customHeight="false" outlineLevel="0" collapsed="false">
      <c r="A891" s="5" t="s">
        <v>216</v>
      </c>
      <c r="B891" s="5" t="s">
        <v>172</v>
      </c>
      <c r="C891" s="5" t="n">
        <v>33</v>
      </c>
      <c r="D891" s="5" t="s">
        <v>1399</v>
      </c>
      <c r="E891" s="5" t="n">
        <v>1</v>
      </c>
      <c r="F891" s="20" t="n">
        <v>7.78897480565453</v>
      </c>
      <c r="G891" s="20" t="n">
        <f aca="false">9-F891</f>
        <v>1.21102519434547</v>
      </c>
      <c r="H891" s="20" t="n">
        <f aca="false">IF(G891&gt;=1,G891,0)</f>
        <v>1.21102519434547</v>
      </c>
      <c r="I891" s="5" t="s">
        <v>75</v>
      </c>
      <c r="J891" s="5" t="s">
        <v>1401</v>
      </c>
    </row>
    <row r="892" customFormat="false" ht="15" hidden="false" customHeight="false" outlineLevel="0" collapsed="false">
      <c r="A892" s="5" t="s">
        <v>216</v>
      </c>
      <c r="B892" s="5" t="s">
        <v>172</v>
      </c>
      <c r="C892" s="5" t="n">
        <v>34</v>
      </c>
      <c r="D892" s="5" t="s">
        <v>1402</v>
      </c>
      <c r="E892" s="5" t="n">
        <v>2</v>
      </c>
      <c r="F892" s="20" t="n">
        <v>8.98569961130906</v>
      </c>
      <c r="G892" s="20" t="n">
        <f aca="false">9-F892</f>
        <v>0.0143003886909394</v>
      </c>
      <c r="H892" s="20" t="n">
        <f aca="false">IF(G892&gt;=1,G892,0)</f>
        <v>0</v>
      </c>
      <c r="I892" s="5" t="s">
        <v>75</v>
      </c>
      <c r="J892" s="5" t="s">
        <v>1403</v>
      </c>
    </row>
    <row r="893" customFormat="false" ht="15" hidden="false" customHeight="false" outlineLevel="0" collapsed="false">
      <c r="A893" s="5" t="s">
        <v>216</v>
      </c>
      <c r="B893" s="5" t="s">
        <v>172</v>
      </c>
      <c r="C893" s="5" t="n">
        <v>35</v>
      </c>
      <c r="D893" s="5" t="s">
        <v>1404</v>
      </c>
      <c r="E893" s="5" t="n">
        <v>2</v>
      </c>
      <c r="F893" s="20" t="n">
        <v>8.98064961130906</v>
      </c>
      <c r="G893" s="20" t="n">
        <f aca="false">9-F893</f>
        <v>0.0193503886909365</v>
      </c>
      <c r="H893" s="20" t="n">
        <f aca="false">IF(G893&gt;=1,G893,0)</f>
        <v>0</v>
      </c>
      <c r="I893" s="5" t="s">
        <v>75</v>
      </c>
      <c r="J893" s="5" t="s">
        <v>1405</v>
      </c>
    </row>
    <row r="894" customFormat="false" ht="15" hidden="false" customHeight="false" outlineLevel="0" collapsed="false">
      <c r="A894" s="5" t="s">
        <v>216</v>
      </c>
      <c r="B894" s="5" t="s">
        <v>172</v>
      </c>
      <c r="C894" s="5" t="n">
        <v>36</v>
      </c>
      <c r="D894" s="5" t="s">
        <v>1406</v>
      </c>
      <c r="E894" s="5" t="n">
        <v>2</v>
      </c>
      <c r="F894" s="20" t="n">
        <v>8.97513284508906</v>
      </c>
      <c r="G894" s="20" t="n">
        <f aca="false">9-F894</f>
        <v>0.0248671549109414</v>
      </c>
      <c r="H894" s="20" t="n">
        <f aca="false">IF(G894&gt;=1,G894,0)</f>
        <v>0</v>
      </c>
      <c r="I894" s="5" t="s">
        <v>75</v>
      </c>
      <c r="J894" s="5" t="s">
        <v>1407</v>
      </c>
    </row>
    <row r="895" customFormat="false" ht="15" hidden="false" customHeight="false" outlineLevel="0" collapsed="false">
      <c r="A895" s="5" t="s">
        <v>216</v>
      </c>
      <c r="B895" s="5" t="s">
        <v>172</v>
      </c>
      <c r="C895" s="5" t="n">
        <v>37</v>
      </c>
      <c r="D895" s="5" t="s">
        <v>1406</v>
      </c>
      <c r="E895" s="5" t="n">
        <v>2</v>
      </c>
      <c r="F895" s="20" t="n">
        <v>8.97513284508906</v>
      </c>
      <c r="G895" s="20" t="n">
        <f aca="false">9-F895</f>
        <v>0.0248671549109432</v>
      </c>
      <c r="H895" s="20" t="n">
        <f aca="false">IF(G895&gt;=1,G895,0)</f>
        <v>0</v>
      </c>
      <c r="I895" s="5" t="s">
        <v>75</v>
      </c>
      <c r="J895" s="5" t="s">
        <v>1408</v>
      </c>
    </row>
    <row r="896" customFormat="false" ht="15" hidden="false" customHeight="false" outlineLevel="0" collapsed="false">
      <c r="A896" s="5" t="s">
        <v>216</v>
      </c>
      <c r="B896" s="5" t="s">
        <v>172</v>
      </c>
      <c r="C896" s="5" t="n">
        <v>38</v>
      </c>
      <c r="D896" s="5" t="s">
        <v>1406</v>
      </c>
      <c r="E896" s="5" t="n">
        <v>2</v>
      </c>
      <c r="F896" s="20" t="n">
        <v>8.97513284508905</v>
      </c>
      <c r="G896" s="20" t="n">
        <f aca="false">9-F896</f>
        <v>0.0248671549109467</v>
      </c>
      <c r="H896" s="20" t="n">
        <f aca="false">IF(G896&gt;=1,G896,0)</f>
        <v>0</v>
      </c>
      <c r="I896" s="5" t="s">
        <v>75</v>
      </c>
      <c r="J896" s="5" t="s">
        <v>1409</v>
      </c>
    </row>
    <row r="897" customFormat="false" ht="15" hidden="false" customHeight="false" outlineLevel="0" collapsed="false">
      <c r="A897" s="5" t="s">
        <v>216</v>
      </c>
      <c r="B897" s="5" t="s">
        <v>172</v>
      </c>
      <c r="C897" s="5" t="n">
        <v>39</v>
      </c>
      <c r="D897" s="5" t="s">
        <v>1406</v>
      </c>
      <c r="E897" s="5" t="n">
        <v>2</v>
      </c>
      <c r="F897" s="20" t="n">
        <v>8.97513284508905</v>
      </c>
      <c r="G897" s="20" t="n">
        <f aca="false">9-F897</f>
        <v>0.0248671549109467</v>
      </c>
      <c r="H897" s="20" t="n">
        <f aca="false">IF(G897&gt;=1,G897,0)</f>
        <v>0</v>
      </c>
      <c r="I897" s="5" t="s">
        <v>75</v>
      </c>
      <c r="J897" s="5" t="s">
        <v>1410</v>
      </c>
    </row>
    <row r="898" customFormat="false" ht="15" hidden="false" customHeight="false" outlineLevel="0" collapsed="false">
      <c r="A898" s="5" t="s">
        <v>216</v>
      </c>
      <c r="B898" s="5" t="s">
        <v>172</v>
      </c>
      <c r="C898" s="5" t="n">
        <v>40</v>
      </c>
      <c r="D898" s="5" t="s">
        <v>1411</v>
      </c>
      <c r="E898" s="5" t="n">
        <v>2</v>
      </c>
      <c r="F898" s="20" t="n">
        <v>8.9895656901781</v>
      </c>
      <c r="G898" s="20" t="n">
        <f aca="false">9-F898</f>
        <v>0.010434309821898</v>
      </c>
      <c r="H898" s="20" t="n">
        <f aca="false">IF(G898&gt;=1,G898,0)</f>
        <v>0</v>
      </c>
      <c r="I898" s="5" t="s">
        <v>75</v>
      </c>
      <c r="J898" s="5" t="s">
        <v>1412</v>
      </c>
    </row>
    <row r="899" customFormat="false" ht="15" hidden="false" customHeight="false" outlineLevel="0" collapsed="false">
      <c r="A899" s="5" t="s">
        <v>216</v>
      </c>
      <c r="B899" s="5" t="s">
        <v>172</v>
      </c>
      <c r="C899" s="5" t="n">
        <v>41</v>
      </c>
      <c r="D899" s="5" t="s">
        <v>1413</v>
      </c>
      <c r="E899" s="5" t="n">
        <v>2</v>
      </c>
      <c r="F899" s="20" t="n">
        <v>8.97856569017812</v>
      </c>
      <c r="G899" s="20" t="n">
        <f aca="false">9-F899</f>
        <v>0.0214343098218777</v>
      </c>
      <c r="H899" s="20" t="n">
        <f aca="false">IF(G899&gt;=1,G899,0)</f>
        <v>0</v>
      </c>
      <c r="I899" s="5" t="s">
        <v>75</v>
      </c>
      <c r="J899" s="5" t="s">
        <v>1414</v>
      </c>
    </row>
    <row r="900" customFormat="false" ht="15" hidden="false" customHeight="false" outlineLevel="0" collapsed="false">
      <c r="A900" s="5" t="s">
        <v>216</v>
      </c>
      <c r="B900" s="5" t="s">
        <v>172</v>
      </c>
      <c r="C900" s="5" t="n">
        <v>42</v>
      </c>
      <c r="D900" s="5" t="s">
        <v>1415</v>
      </c>
      <c r="E900" s="5" t="n">
        <v>2</v>
      </c>
      <c r="F900" s="20" t="n">
        <v>8.9975656901781</v>
      </c>
      <c r="G900" s="20" t="n">
        <f aca="false">9-F900</f>
        <v>0.00243430982190063</v>
      </c>
      <c r="H900" s="20" t="n">
        <f aca="false">IF(G900&gt;=1,G900,0)</f>
        <v>0</v>
      </c>
      <c r="I900" s="5" t="s">
        <v>75</v>
      </c>
      <c r="J900" s="5" t="s">
        <v>1416</v>
      </c>
    </row>
    <row r="901" customFormat="false" ht="15" hidden="false" customHeight="false" outlineLevel="0" collapsed="false">
      <c r="A901" s="5" t="s">
        <v>216</v>
      </c>
      <c r="B901" s="5" t="s">
        <v>172</v>
      </c>
      <c r="C901" s="5" t="n">
        <v>43</v>
      </c>
      <c r="D901" s="5" t="s">
        <v>1417</v>
      </c>
      <c r="E901" s="5" t="n">
        <v>2</v>
      </c>
      <c r="F901" s="20" t="n">
        <v>8.96656569017812</v>
      </c>
      <c r="G901" s="20" t="n">
        <f aca="false">9-F901</f>
        <v>0.0334343098218852</v>
      </c>
      <c r="H901" s="20" t="n">
        <f aca="false">IF(G901&gt;=1,G901,0)</f>
        <v>0</v>
      </c>
      <c r="I901" s="5" t="s">
        <v>75</v>
      </c>
      <c r="J901" s="5" t="s">
        <v>1418</v>
      </c>
    </row>
    <row r="902" customFormat="false" ht="15" hidden="false" customHeight="false" outlineLevel="0" collapsed="false">
      <c r="A902" s="5" t="s">
        <v>216</v>
      </c>
      <c r="B902" s="5" t="s">
        <v>172</v>
      </c>
      <c r="C902" s="5" t="n">
        <v>44</v>
      </c>
      <c r="D902" s="5" t="s">
        <v>1419</v>
      </c>
      <c r="E902" s="5" t="n">
        <v>2</v>
      </c>
      <c r="F902" s="20" t="n">
        <v>8.98025765074361</v>
      </c>
      <c r="G902" s="20" t="n">
        <f aca="false">9-F902</f>
        <v>0.0197423492563953</v>
      </c>
      <c r="H902" s="20" t="n">
        <f aca="false">IF(G902&gt;=1,G902,0)</f>
        <v>0</v>
      </c>
      <c r="I902" s="5" t="s">
        <v>75</v>
      </c>
      <c r="J902" s="5" t="s">
        <v>1420</v>
      </c>
    </row>
    <row r="903" customFormat="false" ht="15" hidden="false" customHeight="false" outlineLevel="0" collapsed="false">
      <c r="A903" s="5" t="s">
        <v>216</v>
      </c>
      <c r="B903" s="5" t="s">
        <v>172</v>
      </c>
      <c r="C903" s="5" t="n">
        <v>45</v>
      </c>
      <c r="D903" s="5" t="s">
        <v>1419</v>
      </c>
      <c r="E903" s="5" t="n">
        <v>2</v>
      </c>
      <c r="F903" s="20" t="n">
        <v>8.98025765074353</v>
      </c>
      <c r="G903" s="20" t="n">
        <f aca="false">9-F903</f>
        <v>0.0197423492564663</v>
      </c>
      <c r="H903" s="20" t="n">
        <f aca="false">IF(G903&gt;=1,G903,0)</f>
        <v>0</v>
      </c>
      <c r="I903" s="5" t="s">
        <v>75</v>
      </c>
      <c r="J903" s="5" t="s">
        <v>1421</v>
      </c>
    </row>
    <row r="904" customFormat="false" ht="15" hidden="false" customHeight="false" outlineLevel="0" collapsed="false">
      <c r="A904" s="5" t="s">
        <v>216</v>
      </c>
      <c r="B904" s="5" t="s">
        <v>172</v>
      </c>
      <c r="C904" s="5" t="n">
        <v>46</v>
      </c>
      <c r="D904" s="5" t="s">
        <v>1422</v>
      </c>
      <c r="E904" s="5" t="n">
        <v>2</v>
      </c>
      <c r="F904" s="20" t="n">
        <v>8.96025765074364</v>
      </c>
      <c r="G904" s="20" t="n">
        <f aca="false">9-F904</f>
        <v>0.0397423492563576</v>
      </c>
      <c r="H904" s="20" t="n">
        <f aca="false">IF(G904&gt;=1,G904,0)</f>
        <v>0</v>
      </c>
      <c r="I904" s="5" t="s">
        <v>75</v>
      </c>
      <c r="J904" s="5" t="s">
        <v>1423</v>
      </c>
    </row>
    <row r="905" customFormat="false" ht="15" hidden="false" customHeight="false" outlineLevel="0" collapsed="false">
      <c r="A905" s="5" t="s">
        <v>216</v>
      </c>
      <c r="B905" s="5" t="s">
        <v>172</v>
      </c>
      <c r="C905" s="5" t="n">
        <v>47</v>
      </c>
      <c r="D905" s="5" t="s">
        <v>1424</v>
      </c>
      <c r="E905" s="5" t="n">
        <v>2</v>
      </c>
      <c r="F905" s="20" t="n">
        <v>8.93625765074364</v>
      </c>
      <c r="G905" s="20" t="n">
        <f aca="false">9-F905</f>
        <v>0.0637423492563602</v>
      </c>
      <c r="H905" s="20" t="n">
        <f aca="false">IF(G905&gt;=1,G905,0)</f>
        <v>0</v>
      </c>
      <c r="I905" s="5" t="s">
        <v>75</v>
      </c>
      <c r="J905" s="5" t="s">
        <v>1425</v>
      </c>
    </row>
    <row r="906" customFormat="false" ht="15" hidden="false" customHeight="false" outlineLevel="0" collapsed="false">
      <c r="A906" s="5" t="s">
        <v>216</v>
      </c>
      <c r="B906" s="5" t="s">
        <v>172</v>
      </c>
      <c r="C906" s="5" t="n">
        <v>48</v>
      </c>
      <c r="D906" s="5" t="s">
        <v>1424</v>
      </c>
      <c r="E906" s="5" t="n">
        <v>2</v>
      </c>
      <c r="F906" s="20" t="n">
        <v>8.9362576507436</v>
      </c>
      <c r="G906" s="20" t="n">
        <f aca="false">9-F906</f>
        <v>0.0637423492563993</v>
      </c>
      <c r="H906" s="20" t="n">
        <f aca="false">IF(G906&gt;=1,G906,0)</f>
        <v>0</v>
      </c>
      <c r="I906" s="5" t="s">
        <v>75</v>
      </c>
      <c r="J906" s="5" t="s">
        <v>1426</v>
      </c>
    </row>
    <row r="907" customFormat="false" ht="15" hidden="false" customHeight="false" outlineLevel="0" collapsed="false">
      <c r="A907" s="5" t="s">
        <v>216</v>
      </c>
      <c r="B907" s="5" t="s">
        <v>172</v>
      </c>
      <c r="C907" s="5" t="n">
        <v>49</v>
      </c>
      <c r="D907" s="5" t="s">
        <v>1427</v>
      </c>
      <c r="E907" s="5" t="n">
        <v>2</v>
      </c>
      <c r="F907" s="20" t="n">
        <v>8.85225765074365</v>
      </c>
      <c r="G907" s="20" t="n">
        <f aca="false">9-F907</f>
        <v>0.147742349256355</v>
      </c>
      <c r="H907" s="20" t="n">
        <f aca="false">IF(G907&gt;=1,G907,0)</f>
        <v>0</v>
      </c>
      <c r="I907" s="5" t="s">
        <v>75</v>
      </c>
      <c r="J907" s="5" t="s">
        <v>1428</v>
      </c>
    </row>
    <row r="908" customFormat="false" ht="15" hidden="false" customHeight="false" outlineLevel="0" collapsed="false">
      <c r="A908" s="5" t="s">
        <v>216</v>
      </c>
      <c r="B908" s="5" t="s">
        <v>172</v>
      </c>
      <c r="C908" s="5" t="n">
        <v>50</v>
      </c>
      <c r="D908" s="5" t="s">
        <v>1429</v>
      </c>
      <c r="E908" s="5" t="n">
        <v>2</v>
      </c>
      <c r="F908" s="20" t="n">
        <v>8.74625765074353</v>
      </c>
      <c r="G908" s="20" t="n">
        <f aca="false">9-F908</f>
        <v>0.253742349256472</v>
      </c>
      <c r="H908" s="20" t="n">
        <f aca="false">IF(G908&gt;=1,G908,0)</f>
        <v>0</v>
      </c>
      <c r="I908" s="5" t="s">
        <v>75</v>
      </c>
      <c r="J908" s="5" t="s">
        <v>1430</v>
      </c>
    </row>
    <row r="909" customFormat="false" ht="15" hidden="false" customHeight="false" outlineLevel="0" collapsed="false">
      <c r="A909" s="5" t="s">
        <v>216</v>
      </c>
      <c r="B909" s="5" t="s">
        <v>172</v>
      </c>
      <c r="C909" s="5" t="n">
        <v>51</v>
      </c>
      <c r="D909" s="5" t="s">
        <v>1429</v>
      </c>
      <c r="E909" s="5" t="n">
        <v>2</v>
      </c>
      <c r="F909" s="20" t="n">
        <v>8.74625765074353</v>
      </c>
      <c r="G909" s="20" t="n">
        <f aca="false">9-F909</f>
        <v>0.253742349256475</v>
      </c>
      <c r="H909" s="20" t="n">
        <f aca="false">IF(G909&gt;=1,G909,0)</f>
        <v>0</v>
      </c>
      <c r="I909" s="5" t="s">
        <v>75</v>
      </c>
      <c r="J909" s="5" t="s">
        <v>1431</v>
      </c>
    </row>
    <row r="910" customFormat="false" ht="15" hidden="false" customHeight="false" outlineLevel="0" collapsed="false">
      <c r="A910" s="5" t="s">
        <v>216</v>
      </c>
      <c r="B910" s="5" t="s">
        <v>172</v>
      </c>
      <c r="C910" s="5" t="n">
        <v>52</v>
      </c>
      <c r="D910" s="5" t="s">
        <v>1432</v>
      </c>
      <c r="E910" s="5" t="n">
        <v>2</v>
      </c>
      <c r="F910" s="20" t="n">
        <v>8.57513284508906</v>
      </c>
      <c r="G910" s="20" t="n">
        <f aca="false">9-F910</f>
        <v>0.424867154910942</v>
      </c>
      <c r="H910" s="20" t="n">
        <f aca="false">IF(G910&gt;=1,G910,0)</f>
        <v>0</v>
      </c>
      <c r="I910" s="5" t="s">
        <v>75</v>
      </c>
      <c r="J910" s="5" t="s">
        <v>1433</v>
      </c>
    </row>
    <row r="911" customFormat="false" ht="15" hidden="false" customHeight="false" outlineLevel="0" collapsed="false">
      <c r="A911" s="5" t="s">
        <v>216</v>
      </c>
      <c r="B911" s="5" t="s">
        <v>172</v>
      </c>
      <c r="C911" s="5" t="n">
        <v>53</v>
      </c>
      <c r="D911" s="5" t="s">
        <v>1432</v>
      </c>
      <c r="E911" s="5" t="n">
        <v>2</v>
      </c>
      <c r="F911" s="20" t="n">
        <v>8.57513284508906</v>
      </c>
      <c r="G911" s="20" t="n">
        <f aca="false">9-F911</f>
        <v>0.424867154910945</v>
      </c>
      <c r="H911" s="20" t="n">
        <f aca="false">IF(G911&gt;=1,G911,0)</f>
        <v>0</v>
      </c>
      <c r="I911" s="5" t="s">
        <v>75</v>
      </c>
      <c r="J911" s="5" t="s">
        <v>1434</v>
      </c>
    </row>
    <row r="912" customFormat="false" ht="15" hidden="false" customHeight="false" outlineLevel="0" collapsed="false">
      <c r="A912" s="5" t="s">
        <v>216</v>
      </c>
      <c r="B912" s="5" t="s">
        <v>172</v>
      </c>
      <c r="C912" s="5" t="n">
        <v>54</v>
      </c>
      <c r="D912" s="5" t="s">
        <v>1432</v>
      </c>
      <c r="E912" s="5" t="n">
        <v>2</v>
      </c>
      <c r="F912" s="20" t="n">
        <v>8.57513284508905</v>
      </c>
      <c r="G912" s="20" t="n">
        <f aca="false">9-F912</f>
        <v>0.424867154910949</v>
      </c>
      <c r="H912" s="20" t="n">
        <f aca="false">IF(G912&gt;=1,G912,0)</f>
        <v>0</v>
      </c>
      <c r="I912" s="5" t="s">
        <v>75</v>
      </c>
      <c r="J912" s="5" t="s">
        <v>1435</v>
      </c>
    </row>
    <row r="913" customFormat="false" ht="15" hidden="false" customHeight="false" outlineLevel="0" collapsed="false">
      <c r="A913" s="5" t="s">
        <v>216</v>
      </c>
      <c r="B913" s="5" t="s">
        <v>172</v>
      </c>
      <c r="C913" s="5" t="n">
        <v>55</v>
      </c>
      <c r="D913" s="5" t="s">
        <v>1432</v>
      </c>
      <c r="E913" s="5" t="n">
        <v>2</v>
      </c>
      <c r="F913" s="20" t="n">
        <v>8.57513284508905</v>
      </c>
      <c r="G913" s="20" t="n">
        <f aca="false">9-F913</f>
        <v>0.424867154910949</v>
      </c>
      <c r="H913" s="20" t="n">
        <f aca="false">IF(G913&gt;=1,G913,0)</f>
        <v>0</v>
      </c>
      <c r="I913" s="5" t="s">
        <v>75</v>
      </c>
      <c r="J913" s="5" t="s">
        <v>1436</v>
      </c>
    </row>
    <row r="914" customFormat="false" ht="15" hidden="false" customHeight="false" outlineLevel="0" collapsed="false">
      <c r="A914" s="5" t="s">
        <v>216</v>
      </c>
      <c r="B914" s="5" t="s">
        <v>172</v>
      </c>
      <c r="C914" s="5" t="n">
        <v>56</v>
      </c>
      <c r="D914" s="5" t="s">
        <v>1437</v>
      </c>
      <c r="E914" s="5" t="n">
        <v>2</v>
      </c>
      <c r="F914" s="20" t="n">
        <v>8.46213284508905</v>
      </c>
      <c r="G914" s="20" t="n">
        <f aca="false">9-F914</f>
        <v>0.537867154910947</v>
      </c>
      <c r="H914" s="20" t="n">
        <f aca="false">IF(G914&gt;=1,G914,0)</f>
        <v>0</v>
      </c>
      <c r="I914" s="5" t="s">
        <v>75</v>
      </c>
      <c r="J914" s="5" t="s">
        <v>1438</v>
      </c>
    </row>
    <row r="915" customFormat="false" ht="15" hidden="false" customHeight="false" outlineLevel="0" collapsed="false">
      <c r="A915" s="5" t="s">
        <v>216</v>
      </c>
      <c r="B915" s="5" t="s">
        <v>172</v>
      </c>
      <c r="C915" s="5" t="n">
        <v>57</v>
      </c>
      <c r="D915" s="5" t="s">
        <v>1437</v>
      </c>
      <c r="E915" s="5" t="n">
        <v>2</v>
      </c>
      <c r="F915" s="20" t="n">
        <v>8.46213284508905</v>
      </c>
      <c r="G915" s="20" t="n">
        <f aca="false">9-F915</f>
        <v>0.537867154910952</v>
      </c>
      <c r="H915" s="20" t="n">
        <f aca="false">IF(G915&gt;=1,G915,0)</f>
        <v>0</v>
      </c>
      <c r="I915" s="5" t="s">
        <v>75</v>
      </c>
      <c r="J915" s="5" t="s">
        <v>1439</v>
      </c>
    </row>
    <row r="916" customFormat="false" ht="15" hidden="false" customHeight="false" outlineLevel="0" collapsed="false">
      <c r="A916" s="5" t="s">
        <v>216</v>
      </c>
      <c r="B916" s="5" t="s">
        <v>172</v>
      </c>
      <c r="C916" s="5" t="n">
        <v>58</v>
      </c>
      <c r="D916" s="5" t="s">
        <v>1440</v>
      </c>
      <c r="E916" s="5" t="n">
        <v>2</v>
      </c>
      <c r="F916" s="20" t="n">
        <v>8.44613284508905</v>
      </c>
      <c r="G916" s="20" t="n">
        <f aca="false">9-F916</f>
        <v>0.553867154910952</v>
      </c>
      <c r="H916" s="20" t="n">
        <f aca="false">IF(G916&gt;=1,G916,0)</f>
        <v>0</v>
      </c>
      <c r="I916" s="5" t="s">
        <v>75</v>
      </c>
      <c r="J916" s="5" t="s">
        <v>1441</v>
      </c>
    </row>
    <row r="917" customFormat="false" ht="15" hidden="false" customHeight="false" outlineLevel="0" collapsed="false">
      <c r="A917" s="5" t="s">
        <v>216</v>
      </c>
      <c r="B917" s="5" t="s">
        <v>172</v>
      </c>
      <c r="C917" s="5" t="n">
        <v>59</v>
      </c>
      <c r="D917" s="5" t="s">
        <v>1442</v>
      </c>
      <c r="E917" s="5" t="n">
        <v>2</v>
      </c>
      <c r="F917" s="20" t="n">
        <v>8.43013284508905</v>
      </c>
      <c r="G917" s="20" t="n">
        <f aca="false">9-F917</f>
        <v>0.569867154910954</v>
      </c>
      <c r="H917" s="20" t="n">
        <f aca="false">IF(G917&gt;=1,G917,0)</f>
        <v>0</v>
      </c>
      <c r="I917" s="5" t="s">
        <v>75</v>
      </c>
      <c r="J917" s="5" t="s">
        <v>1443</v>
      </c>
    </row>
    <row r="918" customFormat="false" ht="15" hidden="false" customHeight="false" outlineLevel="0" collapsed="false">
      <c r="A918" s="5" t="s">
        <v>216</v>
      </c>
      <c r="B918" s="5" t="s">
        <v>172</v>
      </c>
      <c r="C918" s="5" t="n">
        <v>60</v>
      </c>
      <c r="D918" s="5" t="s">
        <v>1444</v>
      </c>
      <c r="E918" s="5" t="n">
        <v>2</v>
      </c>
      <c r="F918" s="20" t="n">
        <v>8.1845656901781</v>
      </c>
      <c r="G918" s="20" t="n">
        <f aca="false">9-F918</f>
        <v>0.815434309821898</v>
      </c>
      <c r="H918" s="20" t="n">
        <f aca="false">IF(G918&gt;=1,G918,0)</f>
        <v>0</v>
      </c>
      <c r="I918" s="5" t="s">
        <v>75</v>
      </c>
      <c r="J918" s="5" t="s">
        <v>1445</v>
      </c>
    </row>
    <row r="919" customFormat="false" ht="15" hidden="false" customHeight="false" outlineLevel="0" collapsed="false">
      <c r="A919" s="5" t="s">
        <v>216</v>
      </c>
      <c r="B919" s="5" t="s">
        <v>172</v>
      </c>
      <c r="C919" s="5" t="n">
        <v>61</v>
      </c>
      <c r="D919" s="5" t="s">
        <v>1446</v>
      </c>
      <c r="E919" s="5" t="n">
        <v>2</v>
      </c>
      <c r="F919" s="20" t="n">
        <v>8.08713284508902</v>
      </c>
      <c r="G919" s="20" t="n">
        <f aca="false">9-F919</f>
        <v>0.912867154910977</v>
      </c>
      <c r="H919" s="20" t="n">
        <f aca="false">IF(G919&gt;=1,G919,0)</f>
        <v>0</v>
      </c>
      <c r="I919" s="5" t="s">
        <v>75</v>
      </c>
      <c r="J919" s="5" t="s">
        <v>1447</v>
      </c>
    </row>
    <row r="920" customFormat="false" ht="15" hidden="false" customHeight="false" outlineLevel="0" collapsed="false">
      <c r="A920" s="5" t="s">
        <v>216</v>
      </c>
      <c r="B920" s="5" t="s">
        <v>172</v>
      </c>
      <c r="C920" s="5" t="n">
        <v>62</v>
      </c>
      <c r="D920" s="5" t="s">
        <v>1448</v>
      </c>
      <c r="E920" s="5" t="n">
        <v>2</v>
      </c>
      <c r="F920" s="20" t="n">
        <v>8.06713284508903</v>
      </c>
      <c r="G920" s="20" t="n">
        <f aca="false">9-F920</f>
        <v>0.932867154910968</v>
      </c>
      <c r="H920" s="20" t="n">
        <f aca="false">IF(G920&gt;=1,G920,0)</f>
        <v>0</v>
      </c>
      <c r="I920" s="5" t="s">
        <v>75</v>
      </c>
      <c r="J920" s="5" t="s">
        <v>1449</v>
      </c>
    </row>
    <row r="921" customFormat="false" ht="15" hidden="false" customHeight="false" outlineLevel="0" collapsed="false">
      <c r="A921" s="5" t="s">
        <v>216</v>
      </c>
      <c r="B921" s="5" t="s">
        <v>172</v>
      </c>
      <c r="C921" s="5" t="n">
        <v>63</v>
      </c>
      <c r="D921" s="5" t="s">
        <v>1448</v>
      </c>
      <c r="E921" s="5" t="n">
        <v>2</v>
      </c>
      <c r="F921" s="20" t="n">
        <v>8.06713284508898</v>
      </c>
      <c r="G921" s="20" t="n">
        <f aca="false">9-F921</f>
        <v>0.932867154911021</v>
      </c>
      <c r="H921" s="20" t="n">
        <f aca="false">IF(G921&gt;=1,G921,0)</f>
        <v>0</v>
      </c>
      <c r="I921" s="5" t="s">
        <v>75</v>
      </c>
      <c r="J921" s="5" t="s">
        <v>1450</v>
      </c>
    </row>
    <row r="922" customFormat="false" ht="15" hidden="false" customHeight="false" outlineLevel="0" collapsed="false">
      <c r="A922" s="5" t="s">
        <v>216</v>
      </c>
      <c r="B922" s="5" t="s">
        <v>172</v>
      </c>
      <c r="C922" s="5" t="n">
        <v>64</v>
      </c>
      <c r="D922" s="5" t="s">
        <v>1451</v>
      </c>
      <c r="E922" s="5" t="n">
        <v>2</v>
      </c>
      <c r="F922" s="20" t="n">
        <v>8.04313284508903</v>
      </c>
      <c r="G922" s="20" t="n">
        <f aca="false">9-F922</f>
        <v>0.956867154910972</v>
      </c>
      <c r="H922" s="20" t="n">
        <f aca="false">IF(G922&gt;=1,G922,0)</f>
        <v>0</v>
      </c>
      <c r="I922" s="5" t="s">
        <v>75</v>
      </c>
      <c r="J922" s="5" t="s">
        <v>1452</v>
      </c>
    </row>
    <row r="923" customFormat="false" ht="15" hidden="false" customHeight="false" outlineLevel="0" collapsed="false">
      <c r="A923" s="5" t="s">
        <v>216</v>
      </c>
      <c r="B923" s="5" t="s">
        <v>172</v>
      </c>
      <c r="C923" s="5" t="n">
        <v>65</v>
      </c>
      <c r="D923" s="5" t="s">
        <v>1453</v>
      </c>
      <c r="E923" s="5" t="n">
        <v>3</v>
      </c>
      <c r="F923" s="20" t="n">
        <v>8.99010765074359</v>
      </c>
      <c r="G923" s="20" t="n">
        <f aca="false">9-F923</f>
        <v>0.00989234925641291</v>
      </c>
      <c r="H923" s="20" t="n">
        <f aca="false">IF(G923&gt;=1,G923,0)</f>
        <v>0</v>
      </c>
      <c r="I923" s="5" t="s">
        <v>75</v>
      </c>
      <c r="J923" s="5" t="s">
        <v>1454</v>
      </c>
    </row>
    <row r="924" customFormat="false" ht="15" hidden="false" customHeight="false" outlineLevel="0" collapsed="false">
      <c r="A924" s="5" t="s">
        <v>216</v>
      </c>
      <c r="B924" s="5" t="s">
        <v>172</v>
      </c>
      <c r="C924" s="5" t="n">
        <v>66</v>
      </c>
      <c r="D924" s="5" t="s">
        <v>1455</v>
      </c>
      <c r="E924" s="5" t="n">
        <v>3</v>
      </c>
      <c r="F924" s="20" t="n">
        <v>8.91610765074355</v>
      </c>
      <c r="G924" s="20" t="n">
        <f aca="false">9-F924</f>
        <v>0.0838923492564465</v>
      </c>
      <c r="H924" s="20" t="n">
        <f aca="false">IF(G924&gt;=1,G924,0)</f>
        <v>0</v>
      </c>
      <c r="I924" s="5" t="s">
        <v>75</v>
      </c>
      <c r="J924" s="5" t="s">
        <v>1456</v>
      </c>
    </row>
    <row r="925" customFormat="false" ht="15" hidden="false" customHeight="false" outlineLevel="0" collapsed="false">
      <c r="A925" s="5" t="s">
        <v>216</v>
      </c>
      <c r="B925" s="5" t="s">
        <v>172</v>
      </c>
      <c r="C925" s="5" t="n">
        <v>67</v>
      </c>
      <c r="D925" s="5" t="s">
        <v>1457</v>
      </c>
      <c r="E925" s="5" t="n">
        <v>3</v>
      </c>
      <c r="F925" s="20" t="n">
        <v>8.93910765074344</v>
      </c>
      <c r="G925" s="20" t="n">
        <f aca="false">9-F925</f>
        <v>0.0608923492565605</v>
      </c>
      <c r="H925" s="20" t="n">
        <f aca="false">IF(G925&gt;=1,G925,0)</f>
        <v>0</v>
      </c>
      <c r="I925" s="5" t="s">
        <v>75</v>
      </c>
      <c r="J925" s="5" t="s">
        <v>1458</v>
      </c>
    </row>
    <row r="926" customFormat="false" ht="15" hidden="false" customHeight="false" outlineLevel="0" collapsed="false">
      <c r="A926" s="5" t="s">
        <v>216</v>
      </c>
      <c r="B926" s="5" t="s">
        <v>172</v>
      </c>
      <c r="C926" s="5" t="n">
        <v>68</v>
      </c>
      <c r="D926" s="5" t="s">
        <v>1459</v>
      </c>
      <c r="E926" s="5" t="n">
        <v>3</v>
      </c>
      <c r="F926" s="20" t="n">
        <v>8.86336676621983</v>
      </c>
      <c r="G926" s="20" t="n">
        <f aca="false">9-F926</f>
        <v>0.136633233780167</v>
      </c>
      <c r="H926" s="20" t="n">
        <f aca="false">IF(G926&gt;=1,G926,0)</f>
        <v>0</v>
      </c>
      <c r="I926" s="5" t="s">
        <v>75</v>
      </c>
      <c r="J926" s="5" t="s">
        <v>1460</v>
      </c>
    </row>
    <row r="927" customFormat="false" ht="15" hidden="false" customHeight="false" outlineLevel="0" collapsed="false">
      <c r="A927" s="5" t="s">
        <v>216</v>
      </c>
      <c r="B927" s="5" t="s">
        <v>172</v>
      </c>
      <c r="C927" s="5" t="n">
        <v>69</v>
      </c>
      <c r="D927" s="5" t="s">
        <v>1461</v>
      </c>
      <c r="E927" s="5" t="n">
        <v>3</v>
      </c>
      <c r="F927" s="20" t="n">
        <v>8.79136676621981</v>
      </c>
      <c r="G927" s="20" t="n">
        <f aca="false">9-F927</f>
        <v>0.208633233780192</v>
      </c>
      <c r="H927" s="20" t="n">
        <f aca="false">IF(G927&gt;=1,G927,0)</f>
        <v>0</v>
      </c>
      <c r="I927" s="5" t="s">
        <v>75</v>
      </c>
      <c r="J927" s="5" t="s">
        <v>1462</v>
      </c>
    </row>
    <row r="928" customFormat="false" ht="15" hidden="false" customHeight="false" outlineLevel="0" collapsed="false">
      <c r="A928" s="5" t="s">
        <v>216</v>
      </c>
      <c r="B928" s="5" t="s">
        <v>172</v>
      </c>
      <c r="C928" s="5" t="n">
        <v>70</v>
      </c>
      <c r="D928" s="5" t="s">
        <v>1463</v>
      </c>
      <c r="E928" s="5" t="n">
        <v>3</v>
      </c>
      <c r="F928" s="20" t="n">
        <v>8.63836676622</v>
      </c>
      <c r="G928" s="20" t="n">
        <f aca="false">9-F928</f>
        <v>0.361633233779997</v>
      </c>
      <c r="H928" s="20" t="n">
        <f aca="false">IF(G928&gt;=1,G928,0)</f>
        <v>0</v>
      </c>
      <c r="I928" s="5" t="s">
        <v>75</v>
      </c>
      <c r="J928" s="5" t="s">
        <v>1464</v>
      </c>
    </row>
    <row r="929" customFormat="false" ht="15" hidden="false" customHeight="false" outlineLevel="0" collapsed="false">
      <c r="A929" s="5" t="s">
        <v>216</v>
      </c>
      <c r="B929" s="5" t="s">
        <v>172</v>
      </c>
      <c r="C929" s="5" t="n">
        <v>71</v>
      </c>
      <c r="D929" s="5" t="s">
        <v>1465</v>
      </c>
      <c r="E929" s="5" t="n">
        <v>3</v>
      </c>
      <c r="F929" s="20" t="n">
        <v>8.19049157187453</v>
      </c>
      <c r="G929" s="20" t="n">
        <f aca="false">9-F929</f>
        <v>0.809508428125474</v>
      </c>
      <c r="H929" s="20" t="n">
        <f aca="false">IF(G929&gt;=1,G929,0)</f>
        <v>0</v>
      </c>
      <c r="I929" s="5" t="s">
        <v>75</v>
      </c>
      <c r="J929" s="5" t="s">
        <v>1466</v>
      </c>
    </row>
    <row r="930" customFormat="false" ht="15" hidden="false" customHeight="false" outlineLevel="0" collapsed="false">
      <c r="A930" s="5" t="s">
        <v>216</v>
      </c>
      <c r="B930" s="5" t="s">
        <v>172</v>
      </c>
      <c r="C930" s="5" t="n">
        <v>72</v>
      </c>
      <c r="D930" s="5" t="s">
        <v>1467</v>
      </c>
      <c r="E930" s="5" t="n">
        <v>3</v>
      </c>
      <c r="F930" s="20" t="n">
        <v>8.05249157187452</v>
      </c>
      <c r="G930" s="20" t="n">
        <f aca="false">9-F930</f>
        <v>0.947508428125479</v>
      </c>
      <c r="H930" s="20" t="n">
        <f aca="false">IF(G930&gt;=1,G930,0)</f>
        <v>0</v>
      </c>
      <c r="I930" s="5" t="s">
        <v>75</v>
      </c>
      <c r="J930" s="5" t="s">
        <v>1468</v>
      </c>
    </row>
    <row r="931" customFormat="false" ht="15" hidden="false" customHeight="false" outlineLevel="0" collapsed="false">
      <c r="A931" s="5" t="s">
        <v>216</v>
      </c>
      <c r="B931" s="5" t="s">
        <v>172</v>
      </c>
      <c r="C931" s="5" t="n">
        <v>73</v>
      </c>
      <c r="D931" s="5" t="s">
        <v>1469</v>
      </c>
      <c r="E931" s="5" t="n">
        <v>1</v>
      </c>
      <c r="F931" s="20" t="n">
        <v>5.42454196056547</v>
      </c>
      <c r="G931" s="20" t="n">
        <f aca="false">9-F931</f>
        <v>3.57545803943453</v>
      </c>
      <c r="H931" s="20" t="n">
        <f aca="false">IF(G931&gt;=1,G931,0)</f>
        <v>3.57545803943453</v>
      </c>
      <c r="I931" s="5" t="s">
        <v>75</v>
      </c>
      <c r="J931" s="5" t="s">
        <v>1470</v>
      </c>
    </row>
    <row r="932" customFormat="false" ht="15" hidden="false" customHeight="false" outlineLevel="0" collapsed="false">
      <c r="A932" s="5" t="s">
        <v>216</v>
      </c>
      <c r="B932" s="5" t="s">
        <v>172</v>
      </c>
      <c r="C932" s="5" t="n">
        <v>74</v>
      </c>
      <c r="D932" s="5" t="s">
        <v>1471</v>
      </c>
      <c r="E932" s="5" t="n">
        <v>1</v>
      </c>
      <c r="F932" s="20" t="n">
        <v>5.36897480565454</v>
      </c>
      <c r="G932" s="20" t="n">
        <f aca="false">9-F932</f>
        <v>3.63102519434547</v>
      </c>
      <c r="H932" s="20" t="n">
        <f aca="false">IF(G932&gt;=1,G932,0)</f>
        <v>3.63102519434547</v>
      </c>
      <c r="I932" s="5" t="s">
        <v>75</v>
      </c>
      <c r="J932" s="5" t="s">
        <v>1472</v>
      </c>
    </row>
    <row r="933" customFormat="false" ht="15" hidden="false" customHeight="false" outlineLevel="0" collapsed="false">
      <c r="A933" s="5" t="s">
        <v>216</v>
      </c>
      <c r="B933" s="5" t="s">
        <v>172</v>
      </c>
      <c r="C933" s="5" t="n">
        <v>75</v>
      </c>
      <c r="D933" s="5" t="s">
        <v>1473</v>
      </c>
      <c r="E933" s="5" t="n">
        <v>1</v>
      </c>
      <c r="F933" s="20" t="n">
        <v>5.35297480565453</v>
      </c>
      <c r="G933" s="20" t="n">
        <f aca="false">9-F933</f>
        <v>3.64702519434547</v>
      </c>
      <c r="H933" s="20" t="n">
        <f aca="false">IF(G933&gt;=1,G933,0)</f>
        <v>3.64702519434547</v>
      </c>
      <c r="I933" s="5" t="s">
        <v>75</v>
      </c>
      <c r="J933" s="5" t="s">
        <v>1474</v>
      </c>
    </row>
    <row r="934" customFormat="false" ht="15" hidden="false" customHeight="false" outlineLevel="0" collapsed="false">
      <c r="A934" s="5" t="s">
        <v>216</v>
      </c>
      <c r="B934" s="5" t="s">
        <v>172</v>
      </c>
      <c r="C934" s="5" t="n">
        <v>76</v>
      </c>
      <c r="D934" s="5" t="s">
        <v>1475</v>
      </c>
      <c r="E934" s="5" t="n">
        <v>1</v>
      </c>
      <c r="F934" s="20" t="n">
        <v>5.32285000000001</v>
      </c>
      <c r="G934" s="20" t="n">
        <f aca="false">9-F934</f>
        <v>3.67714999999999</v>
      </c>
      <c r="H934" s="20" t="n">
        <f aca="false">IF(G934&gt;=1,G934,0)</f>
        <v>3.67714999999999</v>
      </c>
      <c r="I934" s="5" t="s">
        <v>75</v>
      </c>
      <c r="J934" s="5" t="s">
        <v>1476</v>
      </c>
    </row>
    <row r="935" customFormat="false" ht="15" hidden="false" customHeight="false" outlineLevel="0" collapsed="false">
      <c r="A935" s="5" t="s">
        <v>216</v>
      </c>
      <c r="B935" s="5" t="s">
        <v>172</v>
      </c>
      <c r="C935" s="5" t="n">
        <v>77</v>
      </c>
      <c r="D935" s="5" t="s">
        <v>1475</v>
      </c>
      <c r="E935" s="5" t="n">
        <v>1</v>
      </c>
      <c r="F935" s="20" t="n">
        <v>5.32285000000001</v>
      </c>
      <c r="G935" s="20" t="n">
        <f aca="false">9-F935</f>
        <v>3.67714999999999</v>
      </c>
      <c r="H935" s="20" t="n">
        <f aca="false">IF(G935&gt;=1,G935,0)</f>
        <v>3.67714999999999</v>
      </c>
      <c r="I935" s="5" t="s">
        <v>75</v>
      </c>
      <c r="J935" s="5" t="s">
        <v>1477</v>
      </c>
    </row>
    <row r="936" customFormat="false" ht="15" hidden="false" customHeight="false" outlineLevel="0" collapsed="false">
      <c r="A936" s="5" t="s">
        <v>216</v>
      </c>
      <c r="B936" s="5" t="s">
        <v>172</v>
      </c>
      <c r="C936" s="5" t="n">
        <v>78</v>
      </c>
      <c r="D936" s="5" t="s">
        <v>1475</v>
      </c>
      <c r="E936" s="5" t="n">
        <v>1</v>
      </c>
      <c r="F936" s="20" t="n">
        <v>5.32285</v>
      </c>
      <c r="G936" s="20" t="n">
        <f aca="false">9-F936</f>
        <v>3.67715</v>
      </c>
      <c r="H936" s="20" t="n">
        <f aca="false">IF(G936&gt;=1,G936,0)</f>
        <v>3.67715</v>
      </c>
      <c r="I936" s="5" t="s">
        <v>75</v>
      </c>
      <c r="J936" s="5" t="s">
        <v>1478</v>
      </c>
    </row>
    <row r="937" customFormat="false" ht="15" hidden="false" customHeight="false" outlineLevel="0" collapsed="false">
      <c r="A937" s="5" t="s">
        <v>216</v>
      </c>
      <c r="B937" s="5" t="s">
        <v>172</v>
      </c>
      <c r="C937" s="5" t="n">
        <v>79</v>
      </c>
      <c r="D937" s="5" t="s">
        <v>1475</v>
      </c>
      <c r="E937" s="5" t="n">
        <v>1</v>
      </c>
      <c r="F937" s="20" t="n">
        <v>5.32285</v>
      </c>
      <c r="G937" s="20" t="n">
        <f aca="false">9-F937</f>
        <v>3.67715</v>
      </c>
      <c r="H937" s="20" t="n">
        <f aca="false">IF(G937&gt;=1,G937,0)</f>
        <v>3.67715</v>
      </c>
      <c r="I937" s="5" t="s">
        <v>75</v>
      </c>
      <c r="J937" s="5" t="s">
        <v>1479</v>
      </c>
    </row>
    <row r="938" customFormat="false" ht="15" hidden="false" customHeight="false" outlineLevel="0" collapsed="false">
      <c r="A938" s="5" t="s">
        <v>216</v>
      </c>
      <c r="B938" s="5" t="s">
        <v>172</v>
      </c>
      <c r="C938" s="5" t="n">
        <v>80</v>
      </c>
      <c r="D938" s="5" t="s">
        <v>1480</v>
      </c>
      <c r="E938" s="5" t="n">
        <v>1</v>
      </c>
      <c r="F938" s="20" t="n">
        <v>5.21897480565453</v>
      </c>
      <c r="G938" s="20" t="n">
        <f aca="false">9-F938</f>
        <v>3.78102519434547</v>
      </c>
      <c r="H938" s="20" t="n">
        <f aca="false">IF(G938&gt;=1,G938,0)</f>
        <v>3.78102519434547</v>
      </c>
      <c r="I938" s="5" t="s">
        <v>75</v>
      </c>
      <c r="J938" s="5" t="s">
        <v>1481</v>
      </c>
    </row>
    <row r="939" customFormat="false" ht="15" hidden="false" customHeight="false" outlineLevel="0" collapsed="false">
      <c r="A939" s="5" t="s">
        <v>216</v>
      </c>
      <c r="B939" s="5" t="s">
        <v>172</v>
      </c>
      <c r="C939" s="5" t="n">
        <v>81</v>
      </c>
      <c r="D939" s="5" t="s">
        <v>1482</v>
      </c>
      <c r="E939" s="5" t="n">
        <v>1</v>
      </c>
      <c r="F939" s="20" t="n">
        <v>5.20297480565453</v>
      </c>
      <c r="G939" s="20" t="n">
        <f aca="false">9-F939</f>
        <v>3.79702519434547</v>
      </c>
      <c r="H939" s="20" t="n">
        <f aca="false">IF(G939&gt;=1,G939,0)</f>
        <v>3.79702519434547</v>
      </c>
      <c r="I939" s="5" t="s">
        <v>75</v>
      </c>
      <c r="J939" s="5" t="s">
        <v>1483</v>
      </c>
    </row>
    <row r="940" customFormat="false" ht="15" hidden="false" customHeight="false" outlineLevel="0" collapsed="false">
      <c r="A940" s="5" t="s">
        <v>216</v>
      </c>
      <c r="B940" s="5" t="s">
        <v>172</v>
      </c>
      <c r="C940" s="5" t="n">
        <v>82</v>
      </c>
      <c r="D940" s="5" t="s">
        <v>1484</v>
      </c>
      <c r="E940" s="5" t="n">
        <v>1</v>
      </c>
      <c r="F940" s="20" t="n">
        <v>5.17285000000004</v>
      </c>
      <c r="G940" s="20" t="n">
        <f aca="false">9-F940</f>
        <v>3.82714999999997</v>
      </c>
      <c r="H940" s="20" t="n">
        <f aca="false">IF(G940&gt;=1,G940,0)</f>
        <v>3.82714999999997</v>
      </c>
      <c r="I940" s="5" t="s">
        <v>75</v>
      </c>
      <c r="J940" s="5" t="s">
        <v>1485</v>
      </c>
    </row>
    <row r="941" customFormat="false" ht="15" hidden="false" customHeight="false" outlineLevel="0" collapsed="false">
      <c r="A941" s="5" t="s">
        <v>216</v>
      </c>
      <c r="B941" s="5" t="s">
        <v>172</v>
      </c>
      <c r="C941" s="5" t="n">
        <v>83</v>
      </c>
      <c r="D941" s="5" t="s">
        <v>1484</v>
      </c>
      <c r="E941" s="5" t="n">
        <v>1</v>
      </c>
      <c r="F941" s="20" t="n">
        <v>5.17285000000004</v>
      </c>
      <c r="G941" s="20" t="n">
        <f aca="false">9-F941</f>
        <v>3.82714999999997</v>
      </c>
      <c r="H941" s="20" t="n">
        <f aca="false">IF(G941&gt;=1,G941,0)</f>
        <v>3.82714999999997</v>
      </c>
      <c r="I941" s="5" t="s">
        <v>75</v>
      </c>
      <c r="J941" s="5" t="s">
        <v>1486</v>
      </c>
    </row>
    <row r="942" customFormat="false" ht="15" hidden="false" customHeight="false" outlineLevel="0" collapsed="false">
      <c r="A942" s="5" t="s">
        <v>216</v>
      </c>
      <c r="B942" s="5" t="s">
        <v>172</v>
      </c>
      <c r="C942" s="5" t="n">
        <v>84</v>
      </c>
      <c r="D942" s="5" t="s">
        <v>1487</v>
      </c>
      <c r="E942" s="5" t="n">
        <v>2</v>
      </c>
      <c r="F942" s="20" t="n">
        <v>8.98541676622001</v>
      </c>
      <c r="G942" s="20" t="n">
        <f aca="false">9-F942</f>
        <v>0.0145832337799874</v>
      </c>
      <c r="H942" s="20" t="n">
        <f aca="false">IF(G942&gt;=1,G942,0)</f>
        <v>0</v>
      </c>
      <c r="I942" s="5" t="s">
        <v>75</v>
      </c>
      <c r="J942" s="5" t="s">
        <v>1488</v>
      </c>
    </row>
    <row r="943" customFormat="false" ht="15" hidden="false" customHeight="false" outlineLevel="0" collapsed="false">
      <c r="A943" s="5" t="s">
        <v>216</v>
      </c>
      <c r="B943" s="5" t="s">
        <v>172</v>
      </c>
      <c r="C943" s="5" t="n">
        <v>85</v>
      </c>
      <c r="D943" s="5" t="s">
        <v>1487</v>
      </c>
      <c r="E943" s="5" t="n">
        <v>2</v>
      </c>
      <c r="F943" s="20" t="n">
        <v>8.98541676622001</v>
      </c>
      <c r="G943" s="20" t="n">
        <f aca="false">9-F943</f>
        <v>0.0145832337799874</v>
      </c>
      <c r="H943" s="20" t="n">
        <f aca="false">IF(G943&gt;=1,G943,0)</f>
        <v>0</v>
      </c>
      <c r="I943" s="5" t="s">
        <v>75</v>
      </c>
      <c r="J943" s="5" t="s">
        <v>1489</v>
      </c>
    </row>
    <row r="944" customFormat="false" ht="15" hidden="false" customHeight="false" outlineLevel="0" collapsed="false">
      <c r="A944" s="5" t="s">
        <v>216</v>
      </c>
      <c r="B944" s="5" t="s">
        <v>172</v>
      </c>
      <c r="C944" s="5" t="n">
        <v>86</v>
      </c>
      <c r="D944" s="5" t="s">
        <v>1490</v>
      </c>
      <c r="E944" s="5" t="n">
        <v>1</v>
      </c>
      <c r="F944" s="20" t="n">
        <v>4.88954196056548</v>
      </c>
      <c r="G944" s="20" t="n">
        <f aca="false">9-F944</f>
        <v>4.11045803943452</v>
      </c>
      <c r="H944" s="20" t="n">
        <f aca="false">IF(G944&gt;=1,G944,0)</f>
        <v>4.11045803943452</v>
      </c>
      <c r="I944" s="5" t="s">
        <v>75</v>
      </c>
      <c r="J944" s="5" t="s">
        <v>1491</v>
      </c>
    </row>
    <row r="945" customFormat="false" ht="15" hidden="false" customHeight="false" outlineLevel="0" collapsed="false">
      <c r="A945" s="5" t="s">
        <v>216</v>
      </c>
      <c r="B945" s="5" t="s">
        <v>172</v>
      </c>
      <c r="C945" s="5" t="n">
        <v>87</v>
      </c>
      <c r="D945" s="5" t="s">
        <v>1490</v>
      </c>
      <c r="E945" s="5" t="n">
        <v>1</v>
      </c>
      <c r="F945" s="20" t="n">
        <v>4.88954196056548</v>
      </c>
      <c r="G945" s="20" t="n">
        <f aca="false">9-F945</f>
        <v>4.11045803943452</v>
      </c>
      <c r="H945" s="20" t="n">
        <f aca="false">IF(G945&gt;=1,G945,0)</f>
        <v>4.11045803943452</v>
      </c>
      <c r="I945" s="5" t="s">
        <v>75</v>
      </c>
      <c r="J945" s="5" t="s">
        <v>1492</v>
      </c>
    </row>
    <row r="946" customFormat="false" ht="15" hidden="false" customHeight="false" outlineLevel="0" collapsed="false">
      <c r="A946" s="5" t="s">
        <v>216</v>
      </c>
      <c r="B946" s="5" t="s">
        <v>172</v>
      </c>
      <c r="C946" s="5" t="n">
        <v>88</v>
      </c>
      <c r="D946" s="5" t="s">
        <v>1493</v>
      </c>
      <c r="E946" s="5" t="n">
        <v>2</v>
      </c>
      <c r="F946" s="20" t="n">
        <v>8.62174961130907</v>
      </c>
      <c r="G946" s="20" t="n">
        <f aca="false">9-F946</f>
        <v>0.378250388690933</v>
      </c>
      <c r="H946" s="20" t="n">
        <f aca="false">IF(G946&gt;=1,G946,0)</f>
        <v>0</v>
      </c>
      <c r="I946" s="5" t="s">
        <v>75</v>
      </c>
      <c r="J946" s="5" t="s">
        <v>1494</v>
      </c>
    </row>
    <row r="947" customFormat="false" ht="15" hidden="false" customHeight="false" outlineLevel="0" collapsed="false">
      <c r="A947" s="5" t="s">
        <v>216</v>
      </c>
      <c r="B947" s="5" t="s">
        <v>172</v>
      </c>
      <c r="C947" s="5" t="n">
        <v>89</v>
      </c>
      <c r="D947" s="5" t="s">
        <v>1495</v>
      </c>
      <c r="E947" s="5" t="n">
        <v>2</v>
      </c>
      <c r="F947" s="20" t="n">
        <v>8.45759961130906</v>
      </c>
      <c r="G947" s="20" t="n">
        <f aca="false">9-F947</f>
        <v>0.54240038869094</v>
      </c>
      <c r="H947" s="20" t="n">
        <f aca="false">IF(G947&gt;=1,G947,0)</f>
        <v>0</v>
      </c>
      <c r="I947" s="5" t="s">
        <v>75</v>
      </c>
      <c r="J947" s="5" t="s">
        <v>1496</v>
      </c>
    </row>
    <row r="948" customFormat="false" ht="15" hidden="false" customHeight="false" outlineLevel="0" collapsed="false">
      <c r="A948" s="5" t="s">
        <v>216</v>
      </c>
      <c r="B948" s="5" t="s">
        <v>172</v>
      </c>
      <c r="C948" s="5" t="n">
        <v>90</v>
      </c>
      <c r="D948" s="5" t="s">
        <v>1497</v>
      </c>
      <c r="E948" s="5" t="n">
        <v>2</v>
      </c>
      <c r="F948" s="20" t="n">
        <v>8.36639961130907</v>
      </c>
      <c r="G948" s="20" t="n">
        <f aca="false">9-F948</f>
        <v>0.633600388690935</v>
      </c>
      <c r="H948" s="20" t="n">
        <f aca="false">IF(G948&gt;=1,G948,0)</f>
        <v>0</v>
      </c>
      <c r="I948" s="5" t="s">
        <v>75</v>
      </c>
      <c r="J948" s="5" t="s">
        <v>1498</v>
      </c>
    </row>
    <row r="949" customFormat="false" ht="15" hidden="false" customHeight="false" outlineLevel="0" collapsed="false">
      <c r="A949" s="5" t="s">
        <v>227</v>
      </c>
      <c r="B949" s="5" t="s">
        <v>168</v>
      </c>
      <c r="C949" s="5" t="n">
        <v>1</v>
      </c>
      <c r="D949" s="5" t="s">
        <v>773</v>
      </c>
      <c r="E949" s="5" t="n">
        <v>2</v>
      </c>
      <c r="F949" s="20" t="n">
        <v>8.45646835012722</v>
      </c>
      <c r="G949" s="20" t="n">
        <f aca="false">9-F949</f>
        <v>0.543531649872783</v>
      </c>
      <c r="H949" s="20" t="n">
        <f aca="false">IF(G949&gt;=1,G949,0)</f>
        <v>0</v>
      </c>
      <c r="I949" s="5" t="s">
        <v>774</v>
      </c>
      <c r="J949" s="5" t="s">
        <v>1499</v>
      </c>
    </row>
    <row r="950" customFormat="false" ht="15" hidden="false" customHeight="false" outlineLevel="0" collapsed="false">
      <c r="A950" s="5" t="s">
        <v>227</v>
      </c>
      <c r="B950" s="5" t="s">
        <v>168</v>
      </c>
      <c r="C950" s="5" t="n">
        <v>2</v>
      </c>
      <c r="D950" s="5" t="s">
        <v>773</v>
      </c>
      <c r="E950" s="5" t="n">
        <v>2</v>
      </c>
      <c r="F950" s="20" t="n">
        <v>8.45646835012722</v>
      </c>
      <c r="G950" s="20" t="n">
        <f aca="false">9-F950</f>
        <v>0.543531649872783</v>
      </c>
      <c r="H950" s="20" t="n">
        <f aca="false">IF(G950&gt;=1,G950,0)</f>
        <v>0</v>
      </c>
      <c r="I950" s="5" t="s">
        <v>774</v>
      </c>
      <c r="J950" s="5" t="s">
        <v>1500</v>
      </c>
    </row>
    <row r="951" customFormat="false" ht="15" hidden="false" customHeight="false" outlineLevel="0" collapsed="false">
      <c r="A951" s="5" t="s">
        <v>227</v>
      </c>
      <c r="B951" s="5" t="s">
        <v>168</v>
      </c>
      <c r="C951" s="5" t="n">
        <v>3</v>
      </c>
      <c r="D951" s="5" t="s">
        <v>773</v>
      </c>
      <c r="E951" s="5" t="n">
        <v>2</v>
      </c>
      <c r="F951" s="20" t="n">
        <v>8.45646835012722</v>
      </c>
      <c r="G951" s="20" t="n">
        <f aca="false">9-F951</f>
        <v>0.543531649872783</v>
      </c>
      <c r="H951" s="20" t="n">
        <f aca="false">IF(G951&gt;=1,G951,0)</f>
        <v>0</v>
      </c>
      <c r="I951" s="5" t="s">
        <v>774</v>
      </c>
      <c r="J951" s="5" t="s">
        <v>1501</v>
      </c>
    </row>
    <row r="952" customFormat="false" ht="15" hidden="false" customHeight="false" outlineLevel="0" collapsed="false">
      <c r="A952" s="5" t="s">
        <v>227</v>
      </c>
      <c r="B952" s="5" t="s">
        <v>168</v>
      </c>
      <c r="C952" s="5" t="n">
        <v>4</v>
      </c>
      <c r="D952" s="5" t="s">
        <v>773</v>
      </c>
      <c r="E952" s="5" t="n">
        <v>2</v>
      </c>
      <c r="F952" s="20" t="n">
        <v>8.45646835012722</v>
      </c>
      <c r="G952" s="20" t="n">
        <f aca="false">9-F952</f>
        <v>0.543531649872783</v>
      </c>
      <c r="H952" s="20" t="n">
        <f aca="false">IF(G952&gt;=1,G952,0)</f>
        <v>0</v>
      </c>
      <c r="I952" s="5" t="s">
        <v>774</v>
      </c>
      <c r="J952" s="5" t="s">
        <v>1502</v>
      </c>
    </row>
    <row r="953" customFormat="false" ht="15" hidden="false" customHeight="false" outlineLevel="0" collapsed="false">
      <c r="A953" s="5" t="s">
        <v>227</v>
      </c>
      <c r="B953" s="5" t="s">
        <v>168</v>
      </c>
      <c r="C953" s="5" t="n">
        <v>5</v>
      </c>
      <c r="D953" s="5" t="s">
        <v>773</v>
      </c>
      <c r="E953" s="5" t="n">
        <v>2</v>
      </c>
      <c r="F953" s="20" t="n">
        <v>8.45646835012722</v>
      </c>
      <c r="G953" s="20" t="n">
        <f aca="false">9-F953</f>
        <v>0.543531649872783</v>
      </c>
      <c r="H953" s="20" t="n">
        <f aca="false">IF(G953&gt;=1,G953,0)</f>
        <v>0</v>
      </c>
      <c r="I953" s="5" t="s">
        <v>774</v>
      </c>
      <c r="J953" s="5" t="s">
        <v>1503</v>
      </c>
    </row>
    <row r="954" customFormat="false" ht="15" hidden="false" customHeight="false" outlineLevel="0" collapsed="false">
      <c r="A954" s="5" t="s">
        <v>227</v>
      </c>
      <c r="B954" s="5" t="s">
        <v>168</v>
      </c>
      <c r="C954" s="5" t="n">
        <v>6</v>
      </c>
      <c r="D954" s="5" t="s">
        <v>773</v>
      </c>
      <c r="E954" s="5" t="n">
        <v>2</v>
      </c>
      <c r="F954" s="20" t="n">
        <v>8.45646835012722</v>
      </c>
      <c r="G954" s="20" t="n">
        <f aca="false">9-F954</f>
        <v>0.543531649872783</v>
      </c>
      <c r="H954" s="20" t="n">
        <f aca="false">IF(G954&gt;=1,G954,0)</f>
        <v>0</v>
      </c>
      <c r="I954" s="5" t="s">
        <v>774</v>
      </c>
      <c r="J954" s="5" t="s">
        <v>1504</v>
      </c>
    </row>
    <row r="955" customFormat="false" ht="15" hidden="false" customHeight="false" outlineLevel="0" collapsed="false">
      <c r="A955" s="5" t="s">
        <v>227</v>
      </c>
      <c r="B955" s="5" t="s">
        <v>168</v>
      </c>
      <c r="C955" s="5" t="n">
        <v>7</v>
      </c>
      <c r="D955" s="5" t="s">
        <v>773</v>
      </c>
      <c r="E955" s="5" t="n">
        <v>2</v>
      </c>
      <c r="F955" s="20" t="n">
        <v>8.45646835012722</v>
      </c>
      <c r="G955" s="20" t="n">
        <f aca="false">9-F955</f>
        <v>0.543531649872783</v>
      </c>
      <c r="H955" s="20" t="n">
        <f aca="false">IF(G955&gt;=1,G955,0)</f>
        <v>0</v>
      </c>
      <c r="I955" s="5" t="s">
        <v>774</v>
      </c>
      <c r="J955" s="5" t="s">
        <v>1505</v>
      </c>
    </row>
    <row r="956" customFormat="false" ht="15" hidden="false" customHeight="false" outlineLevel="0" collapsed="false">
      <c r="A956" s="5" t="s">
        <v>227</v>
      </c>
      <c r="B956" s="5" t="s">
        <v>168</v>
      </c>
      <c r="C956" s="5" t="n">
        <v>8</v>
      </c>
      <c r="D956" s="5" t="s">
        <v>773</v>
      </c>
      <c r="E956" s="5" t="n">
        <v>2</v>
      </c>
      <c r="F956" s="20" t="n">
        <v>8.45646835012722</v>
      </c>
      <c r="G956" s="20" t="n">
        <f aca="false">9-F956</f>
        <v>0.543531649872783</v>
      </c>
      <c r="H956" s="20" t="n">
        <f aca="false">IF(G956&gt;=1,G956,0)</f>
        <v>0</v>
      </c>
      <c r="I956" s="5" t="s">
        <v>774</v>
      </c>
      <c r="J956" s="5" t="s">
        <v>1506</v>
      </c>
    </row>
    <row r="957" customFormat="false" ht="15" hidden="false" customHeight="false" outlineLevel="0" collapsed="false">
      <c r="A957" s="5" t="s">
        <v>227</v>
      </c>
      <c r="B957" s="5" t="s">
        <v>168</v>
      </c>
      <c r="C957" s="5" t="n">
        <v>9</v>
      </c>
      <c r="D957" s="5" t="s">
        <v>773</v>
      </c>
      <c r="E957" s="5" t="n">
        <v>2</v>
      </c>
      <c r="F957" s="20" t="n">
        <v>8.45646835012722</v>
      </c>
      <c r="G957" s="20" t="n">
        <f aca="false">9-F957</f>
        <v>0.543531649872783</v>
      </c>
      <c r="H957" s="20" t="n">
        <f aca="false">IF(G957&gt;=1,G957,0)</f>
        <v>0</v>
      </c>
      <c r="I957" s="5" t="s">
        <v>774</v>
      </c>
      <c r="J957" s="5" t="s">
        <v>1507</v>
      </c>
    </row>
    <row r="958" customFormat="false" ht="15" hidden="false" customHeight="false" outlineLevel="0" collapsed="false">
      <c r="A958" s="5" t="s">
        <v>227</v>
      </c>
      <c r="B958" s="5" t="s">
        <v>168</v>
      </c>
      <c r="C958" s="5" t="n">
        <v>10</v>
      </c>
      <c r="D958" s="5" t="s">
        <v>773</v>
      </c>
      <c r="E958" s="5" t="n">
        <v>2</v>
      </c>
      <c r="F958" s="20" t="n">
        <v>8.45646835012722</v>
      </c>
      <c r="G958" s="20" t="n">
        <f aca="false">9-F958</f>
        <v>0.543531649872783</v>
      </c>
      <c r="H958" s="20" t="n">
        <f aca="false">IF(G958&gt;=1,G958,0)</f>
        <v>0</v>
      </c>
      <c r="I958" s="5" t="s">
        <v>774</v>
      </c>
      <c r="J958" s="5" t="s">
        <v>1508</v>
      </c>
    </row>
    <row r="959" customFormat="false" ht="15" hidden="false" customHeight="false" outlineLevel="0" collapsed="false">
      <c r="A959" s="5" t="s">
        <v>227</v>
      </c>
      <c r="B959" s="5" t="s">
        <v>168</v>
      </c>
      <c r="C959" s="5" t="n">
        <v>11</v>
      </c>
      <c r="D959" s="5" t="s">
        <v>773</v>
      </c>
      <c r="E959" s="5" t="n">
        <v>2</v>
      </c>
      <c r="F959" s="20" t="n">
        <v>8.45646835012722</v>
      </c>
      <c r="G959" s="20" t="n">
        <f aca="false">9-F959</f>
        <v>0.543531649872783</v>
      </c>
      <c r="H959" s="20" t="n">
        <f aca="false">IF(G959&gt;=1,G959,0)</f>
        <v>0</v>
      </c>
      <c r="I959" s="5" t="s">
        <v>774</v>
      </c>
      <c r="J959" s="5" t="s">
        <v>1509</v>
      </c>
    </row>
    <row r="960" customFormat="false" ht="15" hidden="false" customHeight="false" outlineLevel="0" collapsed="false">
      <c r="A960" s="5" t="s">
        <v>227</v>
      </c>
      <c r="B960" s="5" t="s">
        <v>168</v>
      </c>
      <c r="C960" s="5" t="n">
        <v>12</v>
      </c>
      <c r="D960" s="5" t="s">
        <v>773</v>
      </c>
      <c r="E960" s="5" t="n">
        <v>2</v>
      </c>
      <c r="F960" s="20" t="n">
        <v>8.45646835012722</v>
      </c>
      <c r="G960" s="20" t="n">
        <f aca="false">9-F960</f>
        <v>0.543531649872783</v>
      </c>
      <c r="H960" s="20" t="n">
        <f aca="false">IF(G960&gt;=1,G960,0)</f>
        <v>0</v>
      </c>
      <c r="I960" s="5" t="s">
        <v>774</v>
      </c>
      <c r="J960" s="5" t="s">
        <v>1510</v>
      </c>
    </row>
    <row r="961" customFormat="false" ht="15" hidden="false" customHeight="false" outlineLevel="0" collapsed="false">
      <c r="A961" s="5" t="s">
        <v>227</v>
      </c>
      <c r="B961" s="5" t="s">
        <v>168</v>
      </c>
      <c r="C961" s="5" t="n">
        <v>13</v>
      </c>
      <c r="D961" s="5" t="s">
        <v>773</v>
      </c>
      <c r="E961" s="5" t="n">
        <v>2</v>
      </c>
      <c r="F961" s="20" t="n">
        <v>8.45646835012722</v>
      </c>
      <c r="G961" s="20" t="n">
        <f aca="false">9-F961</f>
        <v>0.543531649872785</v>
      </c>
      <c r="H961" s="20" t="n">
        <f aca="false">IF(G961&gt;=1,G961,0)</f>
        <v>0</v>
      </c>
      <c r="I961" s="5" t="s">
        <v>774</v>
      </c>
      <c r="J961" s="5" t="s">
        <v>1511</v>
      </c>
    </row>
    <row r="962" customFormat="false" ht="15" hidden="false" customHeight="false" outlineLevel="0" collapsed="false">
      <c r="A962" s="5" t="s">
        <v>227</v>
      </c>
      <c r="B962" s="5" t="s">
        <v>168</v>
      </c>
      <c r="C962" s="5" t="n">
        <v>14</v>
      </c>
      <c r="D962" s="5" t="s">
        <v>773</v>
      </c>
      <c r="E962" s="5" t="n">
        <v>2</v>
      </c>
      <c r="F962" s="20" t="n">
        <v>8.45646835012722</v>
      </c>
      <c r="G962" s="20" t="n">
        <f aca="false">9-F962</f>
        <v>0.543531649872785</v>
      </c>
      <c r="H962" s="20" t="n">
        <f aca="false">IF(G962&gt;=1,G962,0)</f>
        <v>0</v>
      </c>
      <c r="I962" s="5" t="s">
        <v>774</v>
      </c>
      <c r="J962" s="5" t="s">
        <v>1512</v>
      </c>
    </row>
    <row r="963" customFormat="false" ht="15" hidden="false" customHeight="false" outlineLevel="0" collapsed="false">
      <c r="A963" s="5" t="s">
        <v>227</v>
      </c>
      <c r="B963" s="5" t="s">
        <v>168</v>
      </c>
      <c r="C963" s="5" t="n">
        <v>15</v>
      </c>
      <c r="D963" s="5" t="s">
        <v>773</v>
      </c>
      <c r="E963" s="5" t="n">
        <v>2</v>
      </c>
      <c r="F963" s="20" t="n">
        <v>8.45646835012722</v>
      </c>
      <c r="G963" s="20" t="n">
        <f aca="false">9-F963</f>
        <v>0.543531649872785</v>
      </c>
      <c r="H963" s="20" t="n">
        <f aca="false">IF(G963&gt;=1,G963,0)</f>
        <v>0</v>
      </c>
      <c r="I963" s="5" t="s">
        <v>774</v>
      </c>
      <c r="J963" s="5" t="s">
        <v>1513</v>
      </c>
    </row>
    <row r="964" customFormat="false" ht="15" hidden="false" customHeight="false" outlineLevel="0" collapsed="false">
      <c r="A964" s="5" t="s">
        <v>227</v>
      </c>
      <c r="B964" s="5" t="s">
        <v>168</v>
      </c>
      <c r="C964" s="5" t="n">
        <v>16</v>
      </c>
      <c r="D964" s="5" t="s">
        <v>773</v>
      </c>
      <c r="E964" s="5" t="n">
        <v>2</v>
      </c>
      <c r="F964" s="20" t="n">
        <v>8.45646835012722</v>
      </c>
      <c r="G964" s="20" t="n">
        <f aca="false">9-F964</f>
        <v>0.543531649872785</v>
      </c>
      <c r="H964" s="20" t="n">
        <f aca="false">IF(G964&gt;=1,G964,0)</f>
        <v>0</v>
      </c>
      <c r="I964" s="5" t="s">
        <v>774</v>
      </c>
      <c r="J964" s="5" t="s">
        <v>1514</v>
      </c>
    </row>
    <row r="965" customFormat="false" ht="15" hidden="false" customHeight="false" outlineLevel="0" collapsed="false">
      <c r="A965" s="5" t="s">
        <v>227</v>
      </c>
      <c r="B965" s="5" t="s">
        <v>168</v>
      </c>
      <c r="C965" s="5" t="n">
        <v>17</v>
      </c>
      <c r="D965" s="5" t="s">
        <v>773</v>
      </c>
      <c r="E965" s="5" t="n">
        <v>2</v>
      </c>
      <c r="F965" s="20" t="n">
        <v>8.45646835012721</v>
      </c>
      <c r="G965" s="20" t="n">
        <f aca="false">9-F965</f>
        <v>0.543531649872787</v>
      </c>
      <c r="H965" s="20" t="n">
        <f aca="false">IF(G965&gt;=1,G965,0)</f>
        <v>0</v>
      </c>
      <c r="I965" s="5" t="s">
        <v>774</v>
      </c>
      <c r="J965" s="5" t="s">
        <v>1515</v>
      </c>
    </row>
    <row r="966" customFormat="false" ht="15" hidden="false" customHeight="false" outlineLevel="0" collapsed="false">
      <c r="A966" s="5" t="s">
        <v>227</v>
      </c>
      <c r="B966" s="5" t="s">
        <v>168</v>
      </c>
      <c r="C966" s="5" t="n">
        <v>18</v>
      </c>
      <c r="D966" s="5" t="s">
        <v>792</v>
      </c>
      <c r="E966" s="5" t="n">
        <v>3</v>
      </c>
      <c r="F966" s="20" t="n">
        <v>8.78793670025443</v>
      </c>
      <c r="G966" s="20" t="n">
        <f aca="false">9-F966</f>
        <v>0.212063299745569</v>
      </c>
      <c r="H966" s="20" t="n">
        <f aca="false">IF(G966&gt;=1,G966,0)</f>
        <v>0</v>
      </c>
      <c r="I966" s="5" t="s">
        <v>774</v>
      </c>
      <c r="J966" s="5" t="s">
        <v>1516</v>
      </c>
    </row>
    <row r="967" customFormat="false" ht="15" hidden="false" customHeight="false" outlineLevel="0" collapsed="false">
      <c r="A967" s="5" t="s">
        <v>227</v>
      </c>
      <c r="B967" s="5" t="s">
        <v>168</v>
      </c>
      <c r="C967" s="5" t="n">
        <v>19</v>
      </c>
      <c r="D967" s="5" t="s">
        <v>794</v>
      </c>
      <c r="E967" s="5" t="n">
        <v>3</v>
      </c>
      <c r="F967" s="20" t="n">
        <v>8.78793670025443</v>
      </c>
      <c r="G967" s="20" t="n">
        <f aca="false">9-F967</f>
        <v>0.212063299745575</v>
      </c>
      <c r="H967" s="20" t="n">
        <f aca="false">IF(G967&gt;=1,G967,0)</f>
        <v>0</v>
      </c>
      <c r="I967" s="5" t="s">
        <v>774</v>
      </c>
      <c r="J967" s="5" t="s">
        <v>1517</v>
      </c>
    </row>
    <row r="968" customFormat="false" ht="15" hidden="false" customHeight="false" outlineLevel="0" collapsed="false">
      <c r="A968" s="5" t="s">
        <v>227</v>
      </c>
      <c r="B968" s="5" t="s">
        <v>168</v>
      </c>
      <c r="C968" s="5" t="n">
        <v>20</v>
      </c>
      <c r="D968" s="5" t="s">
        <v>794</v>
      </c>
      <c r="E968" s="5" t="n">
        <v>3</v>
      </c>
      <c r="F968" s="20" t="n">
        <v>8.78793670025442</v>
      </c>
      <c r="G968" s="20" t="n">
        <f aca="false">9-F968</f>
        <v>0.212063299745576</v>
      </c>
      <c r="H968" s="20" t="n">
        <f aca="false">IF(G968&gt;=1,G968,0)</f>
        <v>0</v>
      </c>
      <c r="I968" s="5" t="s">
        <v>774</v>
      </c>
      <c r="J968" s="5" t="s">
        <v>1518</v>
      </c>
    </row>
    <row r="969" customFormat="false" ht="15" hidden="false" customHeight="false" outlineLevel="0" collapsed="false">
      <c r="A969" s="5" t="s">
        <v>227</v>
      </c>
      <c r="B969" s="5" t="s">
        <v>168</v>
      </c>
      <c r="C969" s="5" t="n">
        <v>21</v>
      </c>
      <c r="D969" s="5" t="s">
        <v>794</v>
      </c>
      <c r="E969" s="5" t="n">
        <v>3</v>
      </c>
      <c r="F969" s="20" t="n">
        <v>8.78793670025442</v>
      </c>
      <c r="G969" s="20" t="n">
        <f aca="false">9-F969</f>
        <v>0.212063299745576</v>
      </c>
      <c r="H969" s="20" t="n">
        <f aca="false">IF(G969&gt;=1,G969,0)</f>
        <v>0</v>
      </c>
      <c r="I969" s="5" t="s">
        <v>774</v>
      </c>
      <c r="J969" s="5" t="s">
        <v>1519</v>
      </c>
    </row>
    <row r="970" customFormat="false" ht="15" hidden="false" customHeight="false" outlineLevel="0" collapsed="false">
      <c r="A970" s="5" t="s">
        <v>227</v>
      </c>
      <c r="B970" s="5" t="s">
        <v>168</v>
      </c>
      <c r="C970" s="5" t="n">
        <v>22</v>
      </c>
      <c r="D970" s="5" t="s">
        <v>794</v>
      </c>
      <c r="E970" s="5" t="n">
        <v>3</v>
      </c>
      <c r="F970" s="20" t="n">
        <v>8.78793670025442</v>
      </c>
      <c r="G970" s="20" t="n">
        <f aca="false">9-F970</f>
        <v>0.212063299745576</v>
      </c>
      <c r="H970" s="20" t="n">
        <f aca="false">IF(G970&gt;=1,G970,0)</f>
        <v>0</v>
      </c>
      <c r="I970" s="5" t="s">
        <v>774</v>
      </c>
      <c r="J970" s="5" t="s">
        <v>1520</v>
      </c>
    </row>
    <row r="971" customFormat="false" ht="15" hidden="false" customHeight="false" outlineLevel="0" collapsed="false">
      <c r="A971" s="5" t="s">
        <v>227</v>
      </c>
      <c r="B971" s="5" t="s">
        <v>168</v>
      </c>
      <c r="C971" s="5" t="n">
        <v>23</v>
      </c>
      <c r="D971" s="5" t="s">
        <v>794</v>
      </c>
      <c r="E971" s="5" t="n">
        <v>3</v>
      </c>
      <c r="F971" s="20" t="n">
        <v>8.78793670025442</v>
      </c>
      <c r="G971" s="20" t="n">
        <f aca="false">9-F971</f>
        <v>0.212063299745576</v>
      </c>
      <c r="H971" s="20" t="n">
        <f aca="false">IF(G971&gt;=1,G971,0)</f>
        <v>0</v>
      </c>
      <c r="I971" s="5" t="s">
        <v>774</v>
      </c>
      <c r="J971" s="5" t="s">
        <v>1521</v>
      </c>
    </row>
    <row r="972" customFormat="false" ht="15" hidden="false" customHeight="false" outlineLevel="0" collapsed="false">
      <c r="A972" s="5" t="s">
        <v>227</v>
      </c>
      <c r="B972" s="5" t="s">
        <v>168</v>
      </c>
      <c r="C972" s="5" t="n">
        <v>24</v>
      </c>
      <c r="D972" s="5" t="s">
        <v>794</v>
      </c>
      <c r="E972" s="5" t="n">
        <v>3</v>
      </c>
      <c r="F972" s="20" t="n">
        <v>8.78793670025442</v>
      </c>
      <c r="G972" s="20" t="n">
        <f aca="false">9-F972</f>
        <v>0.212063299745576</v>
      </c>
      <c r="H972" s="20" t="n">
        <f aca="false">IF(G972&gt;=1,G972,0)</f>
        <v>0</v>
      </c>
      <c r="I972" s="5" t="s">
        <v>774</v>
      </c>
      <c r="J972" s="5" t="s">
        <v>1522</v>
      </c>
    </row>
    <row r="973" customFormat="false" ht="15" hidden="false" customHeight="false" outlineLevel="0" collapsed="false">
      <c r="A973" s="5" t="s">
        <v>227</v>
      </c>
      <c r="B973" s="5" t="s">
        <v>168</v>
      </c>
      <c r="C973" s="5" t="n">
        <v>25</v>
      </c>
      <c r="D973" s="5" t="s">
        <v>794</v>
      </c>
      <c r="E973" s="5" t="n">
        <v>3</v>
      </c>
      <c r="F973" s="20" t="n">
        <v>8.78793670025442</v>
      </c>
      <c r="G973" s="20" t="n">
        <f aca="false">9-F973</f>
        <v>0.212063299745576</v>
      </c>
      <c r="H973" s="20" t="n">
        <f aca="false">IF(G973&gt;=1,G973,0)</f>
        <v>0</v>
      </c>
      <c r="I973" s="5" t="s">
        <v>774</v>
      </c>
      <c r="J973" s="5" t="s">
        <v>1523</v>
      </c>
    </row>
    <row r="974" customFormat="false" ht="15" hidden="false" customHeight="false" outlineLevel="0" collapsed="false">
      <c r="A974" s="5" t="s">
        <v>227</v>
      </c>
      <c r="B974" s="5" t="s">
        <v>168</v>
      </c>
      <c r="C974" s="5" t="n">
        <v>26</v>
      </c>
      <c r="D974" s="5" t="s">
        <v>794</v>
      </c>
      <c r="E974" s="5" t="n">
        <v>3</v>
      </c>
      <c r="F974" s="20" t="n">
        <v>8.78793670025442</v>
      </c>
      <c r="G974" s="20" t="n">
        <f aca="false">9-F974</f>
        <v>0.212063299745576</v>
      </c>
      <c r="H974" s="20" t="n">
        <f aca="false">IF(G974&gt;=1,G974,0)</f>
        <v>0</v>
      </c>
      <c r="I974" s="5" t="s">
        <v>774</v>
      </c>
      <c r="J974" s="5" t="s">
        <v>1524</v>
      </c>
    </row>
    <row r="975" customFormat="false" ht="15" hidden="false" customHeight="false" outlineLevel="0" collapsed="false">
      <c r="A975" s="5" t="s">
        <v>227</v>
      </c>
      <c r="B975" s="5" t="s">
        <v>168</v>
      </c>
      <c r="C975" s="5" t="n">
        <v>27</v>
      </c>
      <c r="D975" s="5" t="s">
        <v>794</v>
      </c>
      <c r="E975" s="5" t="n">
        <v>3</v>
      </c>
      <c r="F975" s="20" t="n">
        <v>8.78793670025442</v>
      </c>
      <c r="G975" s="20" t="n">
        <f aca="false">9-F975</f>
        <v>0.212063299745576</v>
      </c>
      <c r="H975" s="20" t="n">
        <f aca="false">IF(G975&gt;=1,G975,0)</f>
        <v>0</v>
      </c>
      <c r="I975" s="5" t="s">
        <v>774</v>
      </c>
      <c r="J975" s="5" t="s">
        <v>1525</v>
      </c>
    </row>
    <row r="976" customFormat="false" ht="15" hidden="false" customHeight="false" outlineLevel="0" collapsed="false">
      <c r="A976" s="5" t="s">
        <v>227</v>
      </c>
      <c r="B976" s="5" t="s">
        <v>168</v>
      </c>
      <c r="C976" s="5" t="n">
        <v>28</v>
      </c>
      <c r="D976" s="5" t="s">
        <v>794</v>
      </c>
      <c r="E976" s="5" t="n">
        <v>3</v>
      </c>
      <c r="F976" s="20" t="n">
        <v>8.78793670025442</v>
      </c>
      <c r="G976" s="20" t="n">
        <f aca="false">9-F976</f>
        <v>0.212063299745576</v>
      </c>
      <c r="H976" s="20" t="n">
        <f aca="false">IF(G976&gt;=1,G976,0)</f>
        <v>0</v>
      </c>
      <c r="I976" s="5" t="s">
        <v>774</v>
      </c>
      <c r="J976" s="5" t="s">
        <v>1526</v>
      </c>
    </row>
    <row r="977" customFormat="false" ht="15" hidden="false" customHeight="false" outlineLevel="0" collapsed="false">
      <c r="A977" s="5" t="s">
        <v>227</v>
      </c>
      <c r="B977" s="5" t="s">
        <v>168</v>
      </c>
      <c r="C977" s="5" t="n">
        <v>29</v>
      </c>
      <c r="D977" s="5" t="s">
        <v>794</v>
      </c>
      <c r="E977" s="5" t="n">
        <v>3</v>
      </c>
      <c r="F977" s="20" t="n">
        <v>8.78793670025442</v>
      </c>
      <c r="G977" s="20" t="n">
        <f aca="false">9-F977</f>
        <v>0.212063299745576</v>
      </c>
      <c r="H977" s="20" t="n">
        <f aca="false">IF(G977&gt;=1,G977,0)</f>
        <v>0</v>
      </c>
      <c r="I977" s="5" t="s">
        <v>774</v>
      </c>
      <c r="J977" s="5" t="s">
        <v>1527</v>
      </c>
    </row>
    <row r="978" customFormat="false" ht="15" hidden="false" customHeight="false" outlineLevel="0" collapsed="false">
      <c r="A978" s="5" t="s">
        <v>227</v>
      </c>
      <c r="B978" s="5" t="s">
        <v>168</v>
      </c>
      <c r="C978" s="5" t="n">
        <v>30</v>
      </c>
      <c r="D978" s="5" t="s">
        <v>794</v>
      </c>
      <c r="E978" s="5" t="n">
        <v>3</v>
      </c>
      <c r="F978" s="20" t="n">
        <v>8.78793670025442</v>
      </c>
      <c r="G978" s="20" t="n">
        <f aca="false">9-F978</f>
        <v>0.212063299745576</v>
      </c>
      <c r="H978" s="20" t="n">
        <f aca="false">IF(G978&gt;=1,G978,0)</f>
        <v>0</v>
      </c>
      <c r="I978" s="5" t="s">
        <v>774</v>
      </c>
      <c r="J978" s="5" t="s">
        <v>1528</v>
      </c>
    </row>
    <row r="979" customFormat="false" ht="15" hidden="false" customHeight="false" outlineLevel="0" collapsed="false">
      <c r="A979" s="5" t="s">
        <v>227</v>
      </c>
      <c r="B979" s="5" t="s">
        <v>168</v>
      </c>
      <c r="C979" s="5" t="n">
        <v>31</v>
      </c>
      <c r="D979" s="5" t="s">
        <v>794</v>
      </c>
      <c r="E979" s="5" t="n">
        <v>3</v>
      </c>
      <c r="F979" s="20" t="n">
        <v>8.78793670025442</v>
      </c>
      <c r="G979" s="20" t="n">
        <f aca="false">9-F979</f>
        <v>0.212063299745576</v>
      </c>
      <c r="H979" s="20" t="n">
        <f aca="false">IF(G979&gt;=1,G979,0)</f>
        <v>0</v>
      </c>
      <c r="I979" s="5" t="s">
        <v>774</v>
      </c>
      <c r="J979" s="5" t="s">
        <v>1529</v>
      </c>
    </row>
    <row r="980" customFormat="false" ht="15" hidden="false" customHeight="false" outlineLevel="0" collapsed="false">
      <c r="A980" s="5" t="s">
        <v>227</v>
      </c>
      <c r="B980" s="5" t="s">
        <v>168</v>
      </c>
      <c r="C980" s="5" t="n">
        <v>32</v>
      </c>
      <c r="D980" s="5" t="s">
        <v>794</v>
      </c>
      <c r="E980" s="5" t="n">
        <v>3</v>
      </c>
      <c r="F980" s="20" t="n">
        <v>8.78793670025442</v>
      </c>
      <c r="G980" s="20" t="n">
        <f aca="false">9-F980</f>
        <v>0.212063299745576</v>
      </c>
      <c r="H980" s="20" t="n">
        <f aca="false">IF(G980&gt;=1,G980,0)</f>
        <v>0</v>
      </c>
      <c r="I980" s="5" t="s">
        <v>774</v>
      </c>
      <c r="J980" s="5" t="s">
        <v>1530</v>
      </c>
    </row>
    <row r="981" customFormat="false" ht="15" hidden="false" customHeight="false" outlineLevel="0" collapsed="false">
      <c r="A981" s="5" t="s">
        <v>227</v>
      </c>
      <c r="B981" s="5" t="s">
        <v>168</v>
      </c>
      <c r="C981" s="5" t="n">
        <v>33</v>
      </c>
      <c r="D981" s="5" t="s">
        <v>794</v>
      </c>
      <c r="E981" s="5" t="n">
        <v>3</v>
      </c>
      <c r="F981" s="20" t="n">
        <v>8.78793670025442</v>
      </c>
      <c r="G981" s="20" t="n">
        <f aca="false">9-F981</f>
        <v>0.212063299745576</v>
      </c>
      <c r="H981" s="20" t="n">
        <f aca="false">IF(G981&gt;=1,G981,0)</f>
        <v>0</v>
      </c>
      <c r="I981" s="5" t="s">
        <v>774</v>
      </c>
      <c r="J981" s="5" t="s">
        <v>1531</v>
      </c>
    </row>
    <row r="982" customFormat="false" ht="15" hidden="false" customHeight="false" outlineLevel="0" collapsed="false">
      <c r="A982" s="5" t="s">
        <v>227</v>
      </c>
      <c r="B982" s="5" t="s">
        <v>168</v>
      </c>
      <c r="C982" s="5" t="n">
        <v>34</v>
      </c>
      <c r="D982" s="5" t="s">
        <v>794</v>
      </c>
      <c r="E982" s="5" t="n">
        <v>3</v>
      </c>
      <c r="F982" s="20" t="n">
        <v>8.78553748821429</v>
      </c>
      <c r="G982" s="20" t="n">
        <f aca="false">9-F982</f>
        <v>0.21446251178571</v>
      </c>
      <c r="H982" s="20" t="n">
        <f aca="false">IF(G982&gt;=1,G982,0)</f>
        <v>0</v>
      </c>
      <c r="I982" s="5" t="s">
        <v>774</v>
      </c>
      <c r="J982" s="5" t="s">
        <v>1532</v>
      </c>
    </row>
    <row r="983" customFormat="false" ht="15" hidden="false" customHeight="false" outlineLevel="0" collapsed="false">
      <c r="A983" s="5" t="s">
        <v>227</v>
      </c>
      <c r="B983" s="5" t="s">
        <v>168</v>
      </c>
      <c r="C983" s="5" t="n">
        <v>35</v>
      </c>
      <c r="D983" s="5" t="s">
        <v>811</v>
      </c>
      <c r="E983" s="5" t="n">
        <v>3</v>
      </c>
      <c r="F983" s="20" t="n">
        <v>8.76672028391321</v>
      </c>
      <c r="G983" s="20" t="n">
        <f aca="false">9-F983</f>
        <v>0.233279716086788</v>
      </c>
      <c r="H983" s="20" t="n">
        <f aca="false">IF(G983&gt;=1,G983,0)</f>
        <v>0</v>
      </c>
      <c r="I983" s="5" t="s">
        <v>774</v>
      </c>
      <c r="J983" s="5" t="s">
        <v>1533</v>
      </c>
    </row>
    <row r="984" customFormat="false" ht="15" hidden="false" customHeight="false" outlineLevel="0" collapsed="false">
      <c r="A984" s="5" t="s">
        <v>227</v>
      </c>
      <c r="B984" s="5" t="s">
        <v>168</v>
      </c>
      <c r="C984" s="5" t="n">
        <v>36</v>
      </c>
      <c r="D984" s="5" t="s">
        <v>813</v>
      </c>
      <c r="E984" s="5" t="n">
        <v>3</v>
      </c>
      <c r="F984" s="20" t="n">
        <v>8.74790307961213</v>
      </c>
      <c r="G984" s="20" t="n">
        <f aca="false">9-F984</f>
        <v>0.252096920387867</v>
      </c>
      <c r="H984" s="20" t="n">
        <f aca="false">IF(G984&gt;=1,G984,0)</f>
        <v>0</v>
      </c>
      <c r="I984" s="5" t="s">
        <v>774</v>
      </c>
      <c r="J984" s="5" t="s">
        <v>1534</v>
      </c>
    </row>
    <row r="985" customFormat="false" ht="15" hidden="false" customHeight="false" outlineLevel="0" collapsed="false">
      <c r="A985" s="5" t="s">
        <v>227</v>
      </c>
      <c r="B985" s="5" t="s">
        <v>168</v>
      </c>
      <c r="C985" s="5" t="n">
        <v>37</v>
      </c>
      <c r="D985" s="5" t="s">
        <v>815</v>
      </c>
      <c r="E985" s="5" t="n">
        <v>3</v>
      </c>
      <c r="F985" s="20" t="n">
        <v>8.72908587531106</v>
      </c>
      <c r="G985" s="20" t="n">
        <f aca="false">9-F985</f>
        <v>0.270914124688938</v>
      </c>
      <c r="H985" s="20" t="n">
        <f aca="false">IF(G985&gt;=1,G985,0)</f>
        <v>0</v>
      </c>
      <c r="I985" s="5" t="s">
        <v>774</v>
      </c>
      <c r="J985" s="5" t="s">
        <v>1535</v>
      </c>
    </row>
    <row r="986" customFormat="false" ht="15" hidden="false" customHeight="false" outlineLevel="0" collapsed="false">
      <c r="A986" s="5" t="s">
        <v>227</v>
      </c>
      <c r="B986" s="5" t="s">
        <v>168</v>
      </c>
      <c r="C986" s="5" t="n">
        <v>38</v>
      </c>
      <c r="D986" s="5" t="s">
        <v>817</v>
      </c>
      <c r="E986" s="5" t="n">
        <v>3</v>
      </c>
      <c r="F986" s="20" t="n">
        <v>8.71026867100999</v>
      </c>
      <c r="G986" s="20" t="n">
        <f aca="false">9-F986</f>
        <v>0.289731328990007</v>
      </c>
      <c r="H986" s="20" t="n">
        <f aca="false">IF(G986&gt;=1,G986,0)</f>
        <v>0</v>
      </c>
      <c r="I986" s="5" t="s">
        <v>774</v>
      </c>
      <c r="J986" s="5" t="s">
        <v>1536</v>
      </c>
    </row>
    <row r="987" customFormat="false" ht="15" hidden="false" customHeight="false" outlineLevel="0" collapsed="false">
      <c r="A987" s="5" t="s">
        <v>227</v>
      </c>
      <c r="B987" s="5" t="s">
        <v>168</v>
      </c>
      <c r="C987" s="5" t="n">
        <v>39</v>
      </c>
      <c r="D987" s="5" t="s">
        <v>819</v>
      </c>
      <c r="E987" s="5" t="n">
        <v>3</v>
      </c>
      <c r="F987" s="20" t="n">
        <v>8.69145146670891</v>
      </c>
      <c r="G987" s="20" t="n">
        <f aca="false">9-F987</f>
        <v>0.308548533291086</v>
      </c>
      <c r="H987" s="20" t="n">
        <f aca="false">IF(G987&gt;=1,G987,0)</f>
        <v>0</v>
      </c>
      <c r="I987" s="5" t="s">
        <v>774</v>
      </c>
      <c r="J987" s="5" t="s">
        <v>1537</v>
      </c>
    </row>
    <row r="988" customFormat="false" ht="15" hidden="false" customHeight="false" outlineLevel="0" collapsed="false">
      <c r="A988" s="5" t="s">
        <v>227</v>
      </c>
      <c r="B988" s="5" t="s">
        <v>168</v>
      </c>
      <c r="C988" s="5" t="n">
        <v>40</v>
      </c>
      <c r="D988" s="5" t="s">
        <v>821</v>
      </c>
      <c r="E988" s="5" t="n">
        <v>3</v>
      </c>
      <c r="F988" s="20" t="n">
        <v>8.67263426240784</v>
      </c>
      <c r="G988" s="20" t="n">
        <f aca="false">9-F988</f>
        <v>0.327365737592157</v>
      </c>
      <c r="H988" s="20" t="n">
        <f aca="false">IF(G988&gt;=1,G988,0)</f>
        <v>0</v>
      </c>
      <c r="I988" s="5" t="s">
        <v>774</v>
      </c>
      <c r="J988" s="5" t="s">
        <v>1538</v>
      </c>
    </row>
    <row r="989" customFormat="false" ht="15" hidden="false" customHeight="false" outlineLevel="0" collapsed="false">
      <c r="A989" s="5" t="s">
        <v>227</v>
      </c>
      <c r="B989" s="5" t="s">
        <v>168</v>
      </c>
      <c r="C989" s="5" t="n">
        <v>41</v>
      </c>
      <c r="D989" s="5" t="s">
        <v>823</v>
      </c>
      <c r="E989" s="5" t="n">
        <v>3</v>
      </c>
      <c r="F989" s="20" t="n">
        <v>8.65381705810675</v>
      </c>
      <c r="G989" s="20" t="n">
        <f aca="false">9-F989</f>
        <v>0.346182941893247</v>
      </c>
      <c r="H989" s="20" t="n">
        <f aca="false">IF(G989&gt;=1,G989,0)</f>
        <v>0</v>
      </c>
      <c r="I989" s="5" t="s">
        <v>774</v>
      </c>
      <c r="J989" s="5" t="s">
        <v>1539</v>
      </c>
    </row>
    <row r="990" customFormat="false" ht="15" hidden="false" customHeight="false" outlineLevel="0" collapsed="false">
      <c r="A990" s="5" t="s">
        <v>227</v>
      </c>
      <c r="B990" s="5" t="s">
        <v>168</v>
      </c>
      <c r="C990" s="5" t="n">
        <v>42</v>
      </c>
      <c r="D990" s="5" t="s">
        <v>825</v>
      </c>
      <c r="E990" s="5" t="n">
        <v>1</v>
      </c>
      <c r="F990" s="20" t="n">
        <v>6.92206315355126</v>
      </c>
      <c r="G990" s="20" t="n">
        <f aca="false">9-F990</f>
        <v>2.07793684644874</v>
      </c>
      <c r="H990" s="20" t="n">
        <f aca="false">IF(G990&gt;=1,G990,0)</f>
        <v>2.07793684644874</v>
      </c>
      <c r="I990" s="5" t="s">
        <v>774</v>
      </c>
      <c r="J990" s="5" t="s">
        <v>1540</v>
      </c>
    </row>
    <row r="991" customFormat="false" ht="15" hidden="false" customHeight="false" outlineLevel="0" collapsed="false">
      <c r="A991" s="5" t="s">
        <v>227</v>
      </c>
      <c r="B991" s="5" t="s">
        <v>168</v>
      </c>
      <c r="C991" s="5" t="n">
        <v>43</v>
      </c>
      <c r="D991" s="5" t="s">
        <v>827</v>
      </c>
      <c r="E991" s="5" t="n">
        <v>1</v>
      </c>
      <c r="F991" s="20" t="n">
        <v>6.90324594925019</v>
      </c>
      <c r="G991" s="20" t="n">
        <f aca="false">9-F991</f>
        <v>2.09675405074981</v>
      </c>
      <c r="H991" s="20" t="n">
        <f aca="false">IF(G991&gt;=1,G991,0)</f>
        <v>2.09675405074981</v>
      </c>
      <c r="I991" s="5" t="s">
        <v>774</v>
      </c>
      <c r="J991" s="5" t="s">
        <v>1541</v>
      </c>
    </row>
    <row r="992" customFormat="false" ht="15" hidden="false" customHeight="false" outlineLevel="0" collapsed="false">
      <c r="A992" s="5" t="s">
        <v>227</v>
      </c>
      <c r="B992" s="5" t="s">
        <v>168</v>
      </c>
      <c r="C992" s="5" t="n">
        <v>44</v>
      </c>
      <c r="D992" s="5" t="s">
        <v>829</v>
      </c>
      <c r="E992" s="5" t="n">
        <v>1</v>
      </c>
      <c r="F992" s="20" t="n">
        <v>6.89480519480516</v>
      </c>
      <c r="G992" s="20" t="n">
        <f aca="false">9-F992</f>
        <v>2.10519480519484</v>
      </c>
      <c r="H992" s="20" t="n">
        <f aca="false">IF(G992&gt;=1,G992,0)</f>
        <v>2.10519480519484</v>
      </c>
      <c r="I992" s="5" t="s">
        <v>774</v>
      </c>
      <c r="J992" s="5" t="s">
        <v>1542</v>
      </c>
    </row>
    <row r="993" customFormat="false" ht="15" hidden="false" customHeight="false" outlineLevel="0" collapsed="false">
      <c r="A993" s="5" t="s">
        <v>227</v>
      </c>
      <c r="B993" s="5" t="s">
        <v>168</v>
      </c>
      <c r="C993" s="5" t="n">
        <v>45</v>
      </c>
      <c r="D993" s="5" t="s">
        <v>831</v>
      </c>
      <c r="E993" s="5" t="n">
        <v>1</v>
      </c>
      <c r="F993" s="20" t="n">
        <v>6.88442874494911</v>
      </c>
      <c r="G993" s="20" t="n">
        <f aca="false">9-F993</f>
        <v>2.11557125505089</v>
      </c>
      <c r="H993" s="20" t="n">
        <f aca="false">IF(G993&gt;=1,G993,0)</f>
        <v>2.11557125505089</v>
      </c>
      <c r="I993" s="5" t="s">
        <v>774</v>
      </c>
      <c r="J993" s="5" t="s">
        <v>1543</v>
      </c>
    </row>
    <row r="994" customFormat="false" ht="15" hidden="false" customHeight="false" outlineLevel="0" collapsed="false">
      <c r="A994" s="5" t="s">
        <v>227</v>
      </c>
      <c r="B994" s="5" t="s">
        <v>168</v>
      </c>
      <c r="C994" s="5" t="n">
        <v>46</v>
      </c>
      <c r="D994" s="5" t="s">
        <v>833</v>
      </c>
      <c r="E994" s="5" t="n">
        <v>1</v>
      </c>
      <c r="F994" s="20" t="n">
        <v>6.86561154064804</v>
      </c>
      <c r="G994" s="20" t="n">
        <f aca="false">9-F994</f>
        <v>2.13438845935196</v>
      </c>
      <c r="H994" s="20" t="n">
        <f aca="false">IF(G994&gt;=1,G994,0)</f>
        <v>2.13438845935196</v>
      </c>
      <c r="I994" s="5" t="s">
        <v>774</v>
      </c>
      <c r="J994" s="5" t="s">
        <v>1544</v>
      </c>
    </row>
    <row r="995" customFormat="false" ht="15" hidden="false" customHeight="false" outlineLevel="0" collapsed="false">
      <c r="A995" s="5" t="s">
        <v>227</v>
      </c>
      <c r="B995" s="5" t="s">
        <v>168</v>
      </c>
      <c r="C995" s="5" t="n">
        <v>47</v>
      </c>
      <c r="D995" s="5" t="s">
        <v>835</v>
      </c>
      <c r="E995" s="5" t="n">
        <v>1</v>
      </c>
      <c r="F995" s="20" t="n">
        <v>6.84679433634696</v>
      </c>
      <c r="G995" s="20" t="n">
        <f aca="false">9-F995</f>
        <v>2.15320566365304</v>
      </c>
      <c r="H995" s="20" t="n">
        <f aca="false">IF(G995&gt;=1,G995,0)</f>
        <v>2.15320566365304</v>
      </c>
      <c r="I995" s="5" t="s">
        <v>774</v>
      </c>
      <c r="J995" s="5" t="s">
        <v>1545</v>
      </c>
    </row>
    <row r="996" customFormat="false" ht="15" hidden="false" customHeight="false" outlineLevel="0" collapsed="false">
      <c r="A996" s="5" t="s">
        <v>227</v>
      </c>
      <c r="B996" s="5" t="s">
        <v>168</v>
      </c>
      <c r="C996" s="5" t="n">
        <v>48</v>
      </c>
      <c r="D996" s="5" t="s">
        <v>837</v>
      </c>
      <c r="E996" s="5" t="n">
        <v>1</v>
      </c>
      <c r="F996" s="20" t="n">
        <v>6.82948250838998</v>
      </c>
      <c r="G996" s="20" t="n">
        <f aca="false">9-F996</f>
        <v>2.17051749161003</v>
      </c>
      <c r="H996" s="20" t="n">
        <f aca="false">IF(G996&gt;=1,G996,0)</f>
        <v>2.17051749161003</v>
      </c>
      <c r="I996" s="5" t="s">
        <v>774</v>
      </c>
      <c r="J996" s="5" t="s">
        <v>1546</v>
      </c>
    </row>
    <row r="997" customFormat="false" ht="15" hidden="false" customHeight="false" outlineLevel="0" collapsed="false">
      <c r="A997" s="5" t="s">
        <v>227</v>
      </c>
      <c r="B997" s="5" t="s">
        <v>168</v>
      </c>
      <c r="C997" s="5" t="n">
        <v>49</v>
      </c>
      <c r="D997" s="5" t="s">
        <v>839</v>
      </c>
      <c r="E997" s="5" t="n">
        <v>1</v>
      </c>
      <c r="F997" s="20" t="n">
        <v>6.8091599277448</v>
      </c>
      <c r="G997" s="20" t="n">
        <f aca="false">9-F997</f>
        <v>2.1908400722552</v>
      </c>
      <c r="H997" s="20" t="n">
        <f aca="false">IF(G997&gt;=1,G997,0)</f>
        <v>2.1908400722552</v>
      </c>
      <c r="I997" s="5" t="s">
        <v>774</v>
      </c>
      <c r="J997" s="5" t="s">
        <v>1547</v>
      </c>
    </row>
    <row r="998" customFormat="false" ht="15" hidden="false" customHeight="false" outlineLevel="0" collapsed="false">
      <c r="A998" s="5" t="s">
        <v>227</v>
      </c>
      <c r="B998" s="5" t="s">
        <v>168</v>
      </c>
      <c r="C998" s="5" t="n">
        <v>50</v>
      </c>
      <c r="D998" s="5" t="s">
        <v>841</v>
      </c>
      <c r="E998" s="5" t="n">
        <v>1</v>
      </c>
      <c r="F998" s="20" t="n">
        <v>6.31471422882008</v>
      </c>
      <c r="G998" s="20" t="n">
        <f aca="false">9-F998</f>
        <v>2.68528577117992</v>
      </c>
      <c r="H998" s="20" t="n">
        <f aca="false">IF(G998&gt;=1,G998,0)</f>
        <v>2.68528577117992</v>
      </c>
      <c r="I998" s="5" t="s">
        <v>774</v>
      </c>
      <c r="J998" s="5" t="s">
        <v>1548</v>
      </c>
    </row>
    <row r="999" customFormat="false" ht="15" hidden="false" customHeight="false" outlineLevel="0" collapsed="false">
      <c r="A999" s="5" t="s">
        <v>227</v>
      </c>
      <c r="B999" s="5" t="s">
        <v>168</v>
      </c>
      <c r="C999" s="5" t="n">
        <v>51</v>
      </c>
      <c r="D999" s="5" t="s">
        <v>843</v>
      </c>
      <c r="E999" s="5" t="n">
        <v>1</v>
      </c>
      <c r="F999" s="20" t="n">
        <v>6.29589702451901</v>
      </c>
      <c r="G999" s="20" t="n">
        <f aca="false">9-F999</f>
        <v>2.70410297548099</v>
      </c>
      <c r="H999" s="20" t="n">
        <f aca="false">IF(G999&gt;=1,G999,0)</f>
        <v>2.70410297548099</v>
      </c>
      <c r="I999" s="5" t="s">
        <v>774</v>
      </c>
      <c r="J999" s="5" t="s">
        <v>1549</v>
      </c>
    </row>
    <row r="1000" customFormat="false" ht="15" hidden="false" customHeight="false" outlineLevel="0" collapsed="false">
      <c r="A1000" s="5" t="s">
        <v>227</v>
      </c>
      <c r="B1000" s="5" t="s">
        <v>168</v>
      </c>
      <c r="C1000" s="5" t="n">
        <v>52</v>
      </c>
      <c r="D1000" s="5" t="s">
        <v>845</v>
      </c>
      <c r="E1000" s="5" t="n">
        <v>1</v>
      </c>
      <c r="F1000" s="20" t="n">
        <v>6.27707982021792</v>
      </c>
      <c r="G1000" s="20" t="n">
        <f aca="false">9-F1000</f>
        <v>2.72292017978208</v>
      </c>
      <c r="H1000" s="20" t="n">
        <f aca="false">IF(G1000&gt;=1,G1000,0)</f>
        <v>2.72292017978208</v>
      </c>
      <c r="I1000" s="5" t="s">
        <v>774</v>
      </c>
      <c r="J1000" s="5" t="s">
        <v>1550</v>
      </c>
    </row>
    <row r="1001" customFormat="false" ht="15" hidden="false" customHeight="false" outlineLevel="0" collapsed="false">
      <c r="A1001" s="5" t="s">
        <v>227</v>
      </c>
      <c r="B1001" s="5" t="s">
        <v>168</v>
      </c>
      <c r="C1001" s="5" t="n">
        <v>53</v>
      </c>
      <c r="D1001" s="5" t="s">
        <v>847</v>
      </c>
      <c r="E1001" s="5" t="n">
        <v>1</v>
      </c>
      <c r="F1001" s="20" t="n">
        <v>6.25826261591685</v>
      </c>
      <c r="G1001" s="20" t="n">
        <f aca="false">9-F1001</f>
        <v>2.74173738408315</v>
      </c>
      <c r="H1001" s="20" t="n">
        <f aca="false">IF(G1001&gt;=1,G1001,0)</f>
        <v>2.74173738408315</v>
      </c>
      <c r="I1001" s="5" t="s">
        <v>774</v>
      </c>
      <c r="J1001" s="5" t="s">
        <v>1551</v>
      </c>
    </row>
    <row r="1002" customFormat="false" ht="15" hidden="false" customHeight="false" outlineLevel="0" collapsed="false">
      <c r="A1002" s="5" t="s">
        <v>227</v>
      </c>
      <c r="B1002" s="5" t="s">
        <v>168</v>
      </c>
      <c r="C1002" s="5" t="n">
        <v>54</v>
      </c>
      <c r="D1002" s="5" t="s">
        <v>849</v>
      </c>
      <c r="E1002" s="5" t="n">
        <v>1</v>
      </c>
      <c r="F1002" s="20" t="n">
        <v>6.23944541161578</v>
      </c>
      <c r="G1002" s="20" t="n">
        <f aca="false">9-F1002</f>
        <v>2.76055458838423</v>
      </c>
      <c r="H1002" s="20" t="n">
        <f aca="false">IF(G1002&gt;=1,G1002,0)</f>
        <v>2.76055458838423</v>
      </c>
      <c r="I1002" s="5" t="s">
        <v>774</v>
      </c>
      <c r="J1002" s="5" t="s">
        <v>1552</v>
      </c>
    </row>
    <row r="1003" customFormat="false" ht="15" hidden="false" customHeight="false" outlineLevel="0" collapsed="false">
      <c r="A1003" s="5" t="s">
        <v>227</v>
      </c>
      <c r="B1003" s="5" t="s">
        <v>168</v>
      </c>
      <c r="C1003" s="5" t="n">
        <v>55</v>
      </c>
      <c r="D1003" s="5" t="s">
        <v>851</v>
      </c>
      <c r="E1003" s="5" t="n">
        <v>1</v>
      </c>
      <c r="F1003" s="20" t="n">
        <v>6.2206282073147</v>
      </c>
      <c r="G1003" s="20" t="n">
        <f aca="false">9-F1003</f>
        <v>2.7793717926853</v>
      </c>
      <c r="H1003" s="20" t="n">
        <f aca="false">IF(G1003&gt;=1,G1003,0)</f>
        <v>2.7793717926853</v>
      </c>
      <c r="I1003" s="5" t="s">
        <v>774</v>
      </c>
      <c r="J1003" s="5" t="s">
        <v>1553</v>
      </c>
    </row>
    <row r="1004" customFormat="false" ht="15" hidden="false" customHeight="false" outlineLevel="0" collapsed="false">
      <c r="A1004" s="5" t="s">
        <v>227</v>
      </c>
      <c r="B1004" s="5" t="s">
        <v>168</v>
      </c>
      <c r="C1004" s="5" t="n">
        <v>56</v>
      </c>
      <c r="D1004" s="5" t="s">
        <v>853</v>
      </c>
      <c r="E1004" s="5" t="n">
        <v>1</v>
      </c>
      <c r="F1004" s="20" t="n">
        <v>6.20204998150824</v>
      </c>
      <c r="G1004" s="20" t="n">
        <f aca="false">9-F1004</f>
        <v>2.79795001849176</v>
      </c>
      <c r="H1004" s="20" t="n">
        <f aca="false">IF(G1004&gt;=1,G1004,0)</f>
        <v>2.79795001849176</v>
      </c>
      <c r="I1004" s="5" t="s">
        <v>774</v>
      </c>
      <c r="J1004" s="5" t="s">
        <v>1554</v>
      </c>
    </row>
    <row r="1005" customFormat="false" ht="15" hidden="false" customHeight="false" outlineLevel="0" collapsed="false">
      <c r="A1005" s="5" t="s">
        <v>227</v>
      </c>
      <c r="B1005" s="5" t="s">
        <v>168</v>
      </c>
      <c r="C1005" s="5" t="n">
        <v>57</v>
      </c>
      <c r="D1005" s="5" t="s">
        <v>855</v>
      </c>
      <c r="E1005" s="5" t="n">
        <v>1</v>
      </c>
      <c r="F1005" s="20" t="n">
        <v>5.52500000000001</v>
      </c>
      <c r="G1005" s="20" t="n">
        <f aca="false">9-F1005</f>
        <v>3.475</v>
      </c>
      <c r="H1005" s="20" t="n">
        <f aca="false">IF(G1005&gt;=1,G1005,0)</f>
        <v>3.475</v>
      </c>
      <c r="I1005" s="5" t="s">
        <v>774</v>
      </c>
      <c r="J1005" s="5" t="s">
        <v>1555</v>
      </c>
    </row>
    <row r="1006" customFormat="false" ht="15" hidden="false" customHeight="false" outlineLevel="0" collapsed="false">
      <c r="A1006" s="5" t="s">
        <v>227</v>
      </c>
      <c r="B1006" s="5" t="s">
        <v>168</v>
      </c>
      <c r="C1006" s="5" t="n">
        <v>58</v>
      </c>
      <c r="D1006" s="5" t="s">
        <v>855</v>
      </c>
      <c r="E1006" s="5" t="n">
        <v>1</v>
      </c>
      <c r="F1006" s="20" t="n">
        <v>5.52500000000001</v>
      </c>
      <c r="G1006" s="20" t="n">
        <f aca="false">9-F1006</f>
        <v>3.475</v>
      </c>
      <c r="H1006" s="20" t="n">
        <f aca="false">IF(G1006&gt;=1,G1006,0)</f>
        <v>3.475</v>
      </c>
      <c r="I1006" s="5" t="s">
        <v>774</v>
      </c>
      <c r="J1006" s="5" t="s">
        <v>1556</v>
      </c>
    </row>
    <row r="1007" customFormat="false" ht="15" hidden="false" customHeight="false" outlineLevel="0" collapsed="false">
      <c r="A1007" s="5" t="s">
        <v>227</v>
      </c>
      <c r="B1007" s="5" t="s">
        <v>168</v>
      </c>
      <c r="C1007" s="5" t="n">
        <v>59</v>
      </c>
      <c r="D1007" s="5" t="s">
        <v>855</v>
      </c>
      <c r="E1007" s="5" t="n">
        <v>1</v>
      </c>
      <c r="F1007" s="20" t="n">
        <v>5.52500000000001</v>
      </c>
      <c r="G1007" s="20" t="n">
        <f aca="false">9-F1007</f>
        <v>3.475</v>
      </c>
      <c r="H1007" s="20" t="n">
        <f aca="false">IF(G1007&gt;=1,G1007,0)</f>
        <v>3.475</v>
      </c>
      <c r="I1007" s="5" t="s">
        <v>774</v>
      </c>
      <c r="J1007" s="5" t="s">
        <v>1557</v>
      </c>
    </row>
    <row r="1008" customFormat="false" ht="15" hidden="false" customHeight="false" outlineLevel="0" collapsed="false">
      <c r="A1008" s="5" t="s">
        <v>227</v>
      </c>
      <c r="B1008" s="5" t="s">
        <v>168</v>
      </c>
      <c r="C1008" s="5" t="n">
        <v>60</v>
      </c>
      <c r="D1008" s="5" t="s">
        <v>855</v>
      </c>
      <c r="E1008" s="5" t="n">
        <v>1</v>
      </c>
      <c r="F1008" s="20" t="n">
        <v>5.52500000000001</v>
      </c>
      <c r="G1008" s="20" t="n">
        <f aca="false">9-F1008</f>
        <v>3.475</v>
      </c>
      <c r="H1008" s="20" t="n">
        <f aca="false">IF(G1008&gt;=1,G1008,0)</f>
        <v>3.475</v>
      </c>
      <c r="I1008" s="5" t="s">
        <v>774</v>
      </c>
      <c r="J1008" s="5" t="s">
        <v>1558</v>
      </c>
    </row>
    <row r="1009" customFormat="false" ht="15" hidden="false" customHeight="false" outlineLevel="0" collapsed="false">
      <c r="A1009" s="5" t="s">
        <v>227</v>
      </c>
      <c r="B1009" s="5" t="s">
        <v>168</v>
      </c>
      <c r="C1009" s="5" t="n">
        <v>61</v>
      </c>
      <c r="D1009" s="5" t="s">
        <v>855</v>
      </c>
      <c r="E1009" s="5" t="n">
        <v>1</v>
      </c>
      <c r="F1009" s="20" t="n">
        <v>5.52500000000001</v>
      </c>
      <c r="G1009" s="20" t="n">
        <f aca="false">9-F1009</f>
        <v>3.475</v>
      </c>
      <c r="H1009" s="20" t="n">
        <f aca="false">IF(G1009&gt;=1,G1009,0)</f>
        <v>3.475</v>
      </c>
      <c r="I1009" s="5" t="s">
        <v>774</v>
      </c>
      <c r="J1009" s="5" t="s">
        <v>1559</v>
      </c>
    </row>
    <row r="1010" customFormat="false" ht="15" hidden="false" customHeight="false" outlineLevel="0" collapsed="false">
      <c r="A1010" s="5" t="s">
        <v>227</v>
      </c>
      <c r="B1010" s="5" t="s">
        <v>168</v>
      </c>
      <c r="C1010" s="5" t="n">
        <v>62</v>
      </c>
      <c r="D1010" s="5" t="s">
        <v>855</v>
      </c>
      <c r="E1010" s="5" t="n">
        <v>1</v>
      </c>
      <c r="F1010" s="20" t="n">
        <v>5.525</v>
      </c>
      <c r="G1010" s="20" t="n">
        <f aca="false">9-F1010</f>
        <v>3.475</v>
      </c>
      <c r="H1010" s="20" t="n">
        <f aca="false">IF(G1010&gt;=1,G1010,0)</f>
        <v>3.475</v>
      </c>
      <c r="I1010" s="5" t="s">
        <v>774</v>
      </c>
      <c r="J1010" s="5" t="s">
        <v>1560</v>
      </c>
    </row>
    <row r="1011" customFormat="false" ht="15" hidden="false" customHeight="false" outlineLevel="0" collapsed="false">
      <c r="A1011" s="5" t="s">
        <v>227</v>
      </c>
      <c r="B1011" s="5" t="s">
        <v>168</v>
      </c>
      <c r="C1011" s="5" t="n">
        <v>63</v>
      </c>
      <c r="D1011" s="5" t="s">
        <v>855</v>
      </c>
      <c r="E1011" s="5" t="n">
        <v>1</v>
      </c>
      <c r="F1011" s="20" t="n">
        <v>5.525</v>
      </c>
      <c r="G1011" s="20" t="n">
        <f aca="false">9-F1011</f>
        <v>3.475</v>
      </c>
      <c r="H1011" s="20" t="n">
        <f aca="false">IF(G1011&gt;=1,G1011,0)</f>
        <v>3.475</v>
      </c>
      <c r="I1011" s="5" t="s">
        <v>774</v>
      </c>
      <c r="J1011" s="5" t="s">
        <v>1561</v>
      </c>
    </row>
    <row r="1012" customFormat="false" ht="15" hidden="false" customHeight="false" outlineLevel="0" collapsed="false">
      <c r="A1012" s="5" t="s">
        <v>227</v>
      </c>
      <c r="B1012" s="5" t="s">
        <v>168</v>
      </c>
      <c r="C1012" s="5" t="n">
        <v>64</v>
      </c>
      <c r="D1012" s="5" t="s">
        <v>855</v>
      </c>
      <c r="E1012" s="5" t="n">
        <v>1</v>
      </c>
      <c r="F1012" s="20" t="n">
        <v>5.525</v>
      </c>
      <c r="G1012" s="20" t="n">
        <f aca="false">9-F1012</f>
        <v>3.475</v>
      </c>
      <c r="H1012" s="20" t="n">
        <f aca="false">IF(G1012&gt;=1,G1012,0)</f>
        <v>3.475</v>
      </c>
      <c r="I1012" s="5" t="s">
        <v>774</v>
      </c>
      <c r="J1012" s="5" t="s">
        <v>1562</v>
      </c>
    </row>
    <row r="1013" customFormat="false" ht="15" hidden="false" customHeight="false" outlineLevel="0" collapsed="false">
      <c r="A1013" s="5" t="s">
        <v>227</v>
      </c>
      <c r="B1013" s="5" t="s">
        <v>168</v>
      </c>
      <c r="C1013" s="5" t="n">
        <v>65</v>
      </c>
      <c r="D1013" s="5" t="s">
        <v>855</v>
      </c>
      <c r="E1013" s="5" t="n">
        <v>1</v>
      </c>
      <c r="F1013" s="20" t="n">
        <v>5.525</v>
      </c>
      <c r="G1013" s="20" t="n">
        <f aca="false">9-F1013</f>
        <v>3.475</v>
      </c>
      <c r="H1013" s="20" t="n">
        <f aca="false">IF(G1013&gt;=1,G1013,0)</f>
        <v>3.475</v>
      </c>
      <c r="I1013" s="5" t="s">
        <v>774</v>
      </c>
      <c r="J1013" s="5" t="s">
        <v>1563</v>
      </c>
    </row>
    <row r="1014" customFormat="false" ht="15" hidden="false" customHeight="false" outlineLevel="0" collapsed="false">
      <c r="A1014" s="5" t="s">
        <v>227</v>
      </c>
      <c r="B1014" s="5" t="s">
        <v>168</v>
      </c>
      <c r="C1014" s="5" t="n">
        <v>66</v>
      </c>
      <c r="D1014" s="5" t="s">
        <v>855</v>
      </c>
      <c r="E1014" s="5" t="n">
        <v>1</v>
      </c>
      <c r="F1014" s="20" t="n">
        <v>5.525</v>
      </c>
      <c r="G1014" s="20" t="n">
        <f aca="false">9-F1014</f>
        <v>3.475</v>
      </c>
      <c r="H1014" s="20" t="n">
        <f aca="false">IF(G1014&gt;=1,G1014,0)</f>
        <v>3.475</v>
      </c>
      <c r="I1014" s="5" t="s">
        <v>774</v>
      </c>
      <c r="J1014" s="5" t="s">
        <v>1564</v>
      </c>
    </row>
    <row r="1015" customFormat="false" ht="15" hidden="false" customHeight="false" outlineLevel="0" collapsed="false">
      <c r="A1015" s="5" t="s">
        <v>227</v>
      </c>
      <c r="B1015" s="5" t="s">
        <v>168</v>
      </c>
      <c r="C1015" s="5" t="n">
        <v>67</v>
      </c>
      <c r="D1015" s="5" t="s">
        <v>855</v>
      </c>
      <c r="E1015" s="5" t="n">
        <v>1</v>
      </c>
      <c r="F1015" s="20" t="n">
        <v>5.525</v>
      </c>
      <c r="G1015" s="20" t="n">
        <f aca="false">9-F1015</f>
        <v>3.475</v>
      </c>
      <c r="H1015" s="20" t="n">
        <f aca="false">IF(G1015&gt;=1,G1015,0)</f>
        <v>3.475</v>
      </c>
      <c r="I1015" s="5" t="s">
        <v>774</v>
      </c>
      <c r="J1015" s="5" t="s">
        <v>1565</v>
      </c>
    </row>
    <row r="1016" customFormat="false" ht="15" hidden="false" customHeight="false" outlineLevel="0" collapsed="false">
      <c r="A1016" s="5" t="s">
        <v>227</v>
      </c>
      <c r="B1016" s="5" t="s">
        <v>168</v>
      </c>
      <c r="C1016" s="5" t="n">
        <v>68</v>
      </c>
      <c r="D1016" s="5" t="s">
        <v>855</v>
      </c>
      <c r="E1016" s="5" t="n">
        <v>1</v>
      </c>
      <c r="F1016" s="20" t="n">
        <v>5.525</v>
      </c>
      <c r="G1016" s="20" t="n">
        <f aca="false">9-F1016</f>
        <v>3.475</v>
      </c>
      <c r="H1016" s="20" t="n">
        <f aca="false">IF(G1016&gt;=1,G1016,0)</f>
        <v>3.475</v>
      </c>
      <c r="I1016" s="5" t="s">
        <v>774</v>
      </c>
      <c r="J1016" s="5" t="s">
        <v>1566</v>
      </c>
    </row>
    <row r="1017" customFormat="false" ht="15" hidden="false" customHeight="false" outlineLevel="0" collapsed="false">
      <c r="A1017" s="5" t="s">
        <v>227</v>
      </c>
      <c r="B1017" s="5" t="s">
        <v>168</v>
      </c>
      <c r="C1017" s="5" t="n">
        <v>69</v>
      </c>
      <c r="D1017" s="5" t="s">
        <v>855</v>
      </c>
      <c r="E1017" s="5" t="n">
        <v>1</v>
      </c>
      <c r="F1017" s="20" t="n">
        <v>5.525</v>
      </c>
      <c r="G1017" s="20" t="n">
        <f aca="false">9-F1017</f>
        <v>3.475</v>
      </c>
      <c r="H1017" s="20" t="n">
        <f aca="false">IF(G1017&gt;=1,G1017,0)</f>
        <v>3.475</v>
      </c>
      <c r="I1017" s="5" t="s">
        <v>774</v>
      </c>
      <c r="J1017" s="5" t="s">
        <v>1567</v>
      </c>
    </row>
    <row r="1018" customFormat="false" ht="15" hidden="false" customHeight="false" outlineLevel="0" collapsed="false">
      <c r="A1018" s="5" t="s">
        <v>227</v>
      </c>
      <c r="B1018" s="5" t="s">
        <v>168</v>
      </c>
      <c r="C1018" s="5" t="n">
        <v>70</v>
      </c>
      <c r="D1018" s="5" t="s">
        <v>855</v>
      </c>
      <c r="E1018" s="5" t="n">
        <v>1</v>
      </c>
      <c r="F1018" s="20" t="n">
        <v>5.525</v>
      </c>
      <c r="G1018" s="20" t="n">
        <f aca="false">9-F1018</f>
        <v>3.475</v>
      </c>
      <c r="H1018" s="20" t="n">
        <f aca="false">IF(G1018&gt;=1,G1018,0)</f>
        <v>3.475</v>
      </c>
      <c r="I1018" s="5" t="s">
        <v>774</v>
      </c>
      <c r="J1018" s="5" t="s">
        <v>1568</v>
      </c>
    </row>
    <row r="1019" customFormat="false" ht="15" hidden="false" customHeight="false" outlineLevel="0" collapsed="false">
      <c r="A1019" s="5" t="s">
        <v>227</v>
      </c>
      <c r="B1019" s="5" t="s">
        <v>168</v>
      </c>
      <c r="C1019" s="5" t="n">
        <v>71</v>
      </c>
      <c r="D1019" s="5" t="s">
        <v>855</v>
      </c>
      <c r="E1019" s="5" t="n">
        <v>1</v>
      </c>
      <c r="F1019" s="20" t="n">
        <v>5.525</v>
      </c>
      <c r="G1019" s="20" t="n">
        <f aca="false">9-F1019</f>
        <v>3.475</v>
      </c>
      <c r="H1019" s="20" t="n">
        <f aca="false">IF(G1019&gt;=1,G1019,0)</f>
        <v>3.475</v>
      </c>
      <c r="I1019" s="5" t="s">
        <v>774</v>
      </c>
      <c r="J1019" s="5" t="s">
        <v>1569</v>
      </c>
    </row>
    <row r="1020" customFormat="false" ht="15" hidden="false" customHeight="false" outlineLevel="0" collapsed="false">
      <c r="A1020" s="5" t="s">
        <v>227</v>
      </c>
      <c r="B1020" s="5" t="s">
        <v>168</v>
      </c>
      <c r="C1020" s="5" t="n">
        <v>72</v>
      </c>
      <c r="D1020" s="5" t="s">
        <v>855</v>
      </c>
      <c r="E1020" s="5" t="n">
        <v>1</v>
      </c>
      <c r="F1020" s="20" t="n">
        <v>5.525</v>
      </c>
      <c r="G1020" s="20" t="n">
        <f aca="false">9-F1020</f>
        <v>3.475</v>
      </c>
      <c r="H1020" s="20" t="n">
        <f aca="false">IF(G1020&gt;=1,G1020,0)</f>
        <v>3.475</v>
      </c>
      <c r="I1020" s="5" t="s">
        <v>774</v>
      </c>
      <c r="J1020" s="5" t="s">
        <v>1570</v>
      </c>
    </row>
    <row r="1021" customFormat="false" ht="15" hidden="false" customHeight="false" outlineLevel="0" collapsed="false">
      <c r="A1021" s="5" t="s">
        <v>227</v>
      </c>
      <c r="B1021" s="5" t="s">
        <v>168</v>
      </c>
      <c r="C1021" s="5" t="n">
        <v>73</v>
      </c>
      <c r="D1021" s="5" t="s">
        <v>855</v>
      </c>
      <c r="E1021" s="5" t="n">
        <v>1</v>
      </c>
      <c r="F1021" s="20" t="n">
        <v>5.525</v>
      </c>
      <c r="G1021" s="20" t="n">
        <f aca="false">9-F1021</f>
        <v>3.475</v>
      </c>
      <c r="H1021" s="20" t="n">
        <f aca="false">IF(G1021&gt;=1,G1021,0)</f>
        <v>3.475</v>
      </c>
      <c r="I1021" s="5" t="s">
        <v>774</v>
      </c>
      <c r="J1021" s="5" t="s">
        <v>1571</v>
      </c>
    </row>
    <row r="1022" customFormat="false" ht="15" hidden="false" customHeight="false" outlineLevel="0" collapsed="false">
      <c r="A1022" s="5" t="s">
        <v>227</v>
      </c>
      <c r="B1022" s="5" t="s">
        <v>168</v>
      </c>
      <c r="C1022" s="5" t="n">
        <v>74</v>
      </c>
      <c r="D1022" s="5" t="s">
        <v>855</v>
      </c>
      <c r="E1022" s="5" t="n">
        <v>1</v>
      </c>
      <c r="F1022" s="20" t="n">
        <v>5.525</v>
      </c>
      <c r="G1022" s="20" t="n">
        <f aca="false">9-F1022</f>
        <v>3.475</v>
      </c>
      <c r="H1022" s="20" t="n">
        <f aca="false">IF(G1022&gt;=1,G1022,0)</f>
        <v>3.475</v>
      </c>
      <c r="I1022" s="5" t="s">
        <v>774</v>
      </c>
      <c r="J1022" s="5" t="s">
        <v>1572</v>
      </c>
    </row>
    <row r="1023" customFormat="false" ht="15" hidden="false" customHeight="false" outlineLevel="0" collapsed="false">
      <c r="A1023" s="5" t="s">
        <v>227</v>
      </c>
      <c r="B1023" s="5" t="s">
        <v>168</v>
      </c>
      <c r="C1023" s="5" t="n">
        <v>75</v>
      </c>
      <c r="D1023" s="5" t="s">
        <v>855</v>
      </c>
      <c r="E1023" s="5" t="n">
        <v>1</v>
      </c>
      <c r="F1023" s="20" t="n">
        <v>5.525</v>
      </c>
      <c r="G1023" s="20" t="n">
        <f aca="false">9-F1023</f>
        <v>3.475</v>
      </c>
      <c r="H1023" s="20" t="n">
        <f aca="false">IF(G1023&gt;=1,G1023,0)</f>
        <v>3.475</v>
      </c>
      <c r="I1023" s="5" t="s">
        <v>774</v>
      </c>
      <c r="J1023" s="5" t="s">
        <v>1573</v>
      </c>
    </row>
    <row r="1024" customFormat="false" ht="15" hidden="false" customHeight="false" outlineLevel="0" collapsed="false">
      <c r="A1024" s="5" t="s">
        <v>227</v>
      </c>
      <c r="B1024" s="5" t="s">
        <v>168</v>
      </c>
      <c r="C1024" s="5" t="n">
        <v>76</v>
      </c>
      <c r="D1024" s="5" t="s">
        <v>855</v>
      </c>
      <c r="E1024" s="5" t="n">
        <v>1</v>
      </c>
      <c r="F1024" s="20" t="n">
        <v>5.525</v>
      </c>
      <c r="G1024" s="20" t="n">
        <f aca="false">9-F1024</f>
        <v>3.475</v>
      </c>
      <c r="H1024" s="20" t="n">
        <f aca="false">IF(G1024&gt;=1,G1024,0)</f>
        <v>3.475</v>
      </c>
      <c r="I1024" s="5" t="s">
        <v>774</v>
      </c>
      <c r="J1024" s="5" t="s">
        <v>1574</v>
      </c>
    </row>
    <row r="1025" customFormat="false" ht="15" hidden="false" customHeight="false" outlineLevel="0" collapsed="false">
      <c r="A1025" s="5" t="s">
        <v>227</v>
      </c>
      <c r="B1025" s="5" t="s">
        <v>168</v>
      </c>
      <c r="C1025" s="5" t="n">
        <v>77</v>
      </c>
      <c r="D1025" s="5" t="s">
        <v>855</v>
      </c>
      <c r="E1025" s="5" t="n">
        <v>1</v>
      </c>
      <c r="F1025" s="20" t="n">
        <v>5.525</v>
      </c>
      <c r="G1025" s="20" t="n">
        <f aca="false">9-F1025</f>
        <v>3.475</v>
      </c>
      <c r="H1025" s="20" t="n">
        <f aca="false">IF(G1025&gt;=1,G1025,0)</f>
        <v>3.475</v>
      </c>
      <c r="I1025" s="5" t="s">
        <v>774</v>
      </c>
      <c r="J1025" s="5" t="s">
        <v>1575</v>
      </c>
    </row>
    <row r="1026" customFormat="false" ht="15" hidden="false" customHeight="false" outlineLevel="0" collapsed="false">
      <c r="A1026" s="5" t="s">
        <v>227</v>
      </c>
      <c r="B1026" s="5" t="s">
        <v>168</v>
      </c>
      <c r="C1026" s="5" t="n">
        <v>78</v>
      </c>
      <c r="D1026" s="5" t="s">
        <v>855</v>
      </c>
      <c r="E1026" s="5" t="n">
        <v>1</v>
      </c>
      <c r="F1026" s="20" t="n">
        <v>5.525</v>
      </c>
      <c r="G1026" s="20" t="n">
        <f aca="false">9-F1026</f>
        <v>3.475</v>
      </c>
      <c r="H1026" s="20" t="n">
        <f aca="false">IF(G1026&gt;=1,G1026,0)</f>
        <v>3.475</v>
      </c>
      <c r="I1026" s="5" t="s">
        <v>774</v>
      </c>
      <c r="J1026" s="5" t="s">
        <v>1576</v>
      </c>
    </row>
    <row r="1027" customFormat="false" ht="15" hidden="false" customHeight="false" outlineLevel="0" collapsed="false">
      <c r="A1027" s="5" t="s">
        <v>227</v>
      </c>
      <c r="B1027" s="5" t="s">
        <v>168</v>
      </c>
      <c r="C1027" s="5" t="n">
        <v>79</v>
      </c>
      <c r="D1027" s="5" t="s">
        <v>855</v>
      </c>
      <c r="E1027" s="5" t="n">
        <v>1</v>
      </c>
      <c r="F1027" s="20" t="n">
        <v>5.525</v>
      </c>
      <c r="G1027" s="20" t="n">
        <f aca="false">9-F1027</f>
        <v>3.475</v>
      </c>
      <c r="H1027" s="20" t="n">
        <f aca="false">IF(G1027&gt;=1,G1027,0)</f>
        <v>3.475</v>
      </c>
      <c r="I1027" s="5" t="s">
        <v>774</v>
      </c>
      <c r="J1027" s="5" t="s">
        <v>1577</v>
      </c>
    </row>
    <row r="1028" customFormat="false" ht="15" hidden="false" customHeight="false" outlineLevel="0" collapsed="false">
      <c r="A1028" s="5" t="s">
        <v>227</v>
      </c>
      <c r="B1028" s="5" t="s">
        <v>168</v>
      </c>
      <c r="C1028" s="5" t="n">
        <v>80</v>
      </c>
      <c r="D1028" s="5" t="s">
        <v>855</v>
      </c>
      <c r="E1028" s="5" t="n">
        <v>1</v>
      </c>
      <c r="F1028" s="20" t="n">
        <v>5.525</v>
      </c>
      <c r="G1028" s="20" t="n">
        <f aca="false">9-F1028</f>
        <v>3.475</v>
      </c>
      <c r="H1028" s="20" t="n">
        <f aca="false">IF(G1028&gt;=1,G1028,0)</f>
        <v>3.475</v>
      </c>
      <c r="I1028" s="5" t="s">
        <v>774</v>
      </c>
      <c r="J1028" s="5" t="s">
        <v>1578</v>
      </c>
    </row>
    <row r="1029" customFormat="false" ht="15" hidden="false" customHeight="false" outlineLevel="0" collapsed="false">
      <c r="A1029" s="5" t="s">
        <v>227</v>
      </c>
      <c r="B1029" s="5" t="s">
        <v>168</v>
      </c>
      <c r="C1029" s="5" t="n">
        <v>81</v>
      </c>
      <c r="D1029" s="5" t="s">
        <v>855</v>
      </c>
      <c r="E1029" s="5" t="n">
        <v>1</v>
      </c>
      <c r="F1029" s="20" t="n">
        <v>5.525</v>
      </c>
      <c r="G1029" s="20" t="n">
        <f aca="false">9-F1029</f>
        <v>3.475</v>
      </c>
      <c r="H1029" s="20" t="n">
        <f aca="false">IF(G1029&gt;=1,G1029,0)</f>
        <v>3.475</v>
      </c>
      <c r="I1029" s="5" t="s">
        <v>774</v>
      </c>
      <c r="J1029" s="5" t="s">
        <v>1579</v>
      </c>
    </row>
    <row r="1030" customFormat="false" ht="15" hidden="false" customHeight="false" outlineLevel="0" collapsed="false">
      <c r="A1030" s="5" t="s">
        <v>227</v>
      </c>
      <c r="B1030" s="5" t="s">
        <v>168</v>
      </c>
      <c r="C1030" s="5" t="n">
        <v>82</v>
      </c>
      <c r="D1030" s="5" t="s">
        <v>881</v>
      </c>
      <c r="E1030" s="5" t="n">
        <v>2</v>
      </c>
      <c r="F1030" s="20" t="n">
        <v>8.32853490925306</v>
      </c>
      <c r="G1030" s="20" t="n">
        <f aca="false">9-F1030</f>
        <v>0.671465090746938</v>
      </c>
      <c r="H1030" s="20" t="n">
        <f aca="false">IF(G1030&gt;=1,G1030,0)</f>
        <v>0</v>
      </c>
      <c r="I1030" s="5" t="s">
        <v>774</v>
      </c>
      <c r="J1030" s="5" t="s">
        <v>1580</v>
      </c>
    </row>
    <row r="1031" customFormat="false" ht="15" hidden="false" customHeight="false" outlineLevel="0" collapsed="false">
      <c r="A1031" s="5" t="s">
        <v>227</v>
      </c>
      <c r="B1031" s="5" t="s">
        <v>168</v>
      </c>
      <c r="C1031" s="5" t="n">
        <v>83</v>
      </c>
      <c r="D1031" s="5" t="s">
        <v>883</v>
      </c>
      <c r="E1031" s="5" t="n">
        <v>2</v>
      </c>
      <c r="F1031" s="20" t="n">
        <v>8.25326609204876</v>
      </c>
      <c r="G1031" s="20" t="n">
        <f aca="false">9-F1031</f>
        <v>0.746733907951242</v>
      </c>
      <c r="H1031" s="20" t="n">
        <f aca="false">IF(G1031&gt;=1,G1031,0)</f>
        <v>0</v>
      </c>
      <c r="I1031" s="5" t="s">
        <v>774</v>
      </c>
      <c r="J1031" s="5" t="s">
        <v>1581</v>
      </c>
    </row>
    <row r="1032" customFormat="false" ht="15" hidden="false" customHeight="false" outlineLevel="0" collapsed="false">
      <c r="A1032" s="5" t="s">
        <v>227</v>
      </c>
      <c r="B1032" s="5" t="s">
        <v>168</v>
      </c>
      <c r="C1032" s="5" t="n">
        <v>84</v>
      </c>
      <c r="D1032" s="5" t="s">
        <v>885</v>
      </c>
      <c r="E1032" s="5" t="n">
        <v>2</v>
      </c>
      <c r="F1032" s="20" t="n">
        <v>8.17799727484446</v>
      </c>
      <c r="G1032" s="20" t="n">
        <f aca="false">9-F1032</f>
        <v>0.822002725155539</v>
      </c>
      <c r="H1032" s="20" t="n">
        <f aca="false">IF(G1032&gt;=1,G1032,0)</f>
        <v>0</v>
      </c>
      <c r="I1032" s="5" t="s">
        <v>774</v>
      </c>
      <c r="J1032" s="5" t="s">
        <v>1582</v>
      </c>
    </row>
    <row r="1033" customFormat="false" ht="15" hidden="false" customHeight="false" outlineLevel="0" collapsed="false">
      <c r="A1033" s="5" t="s">
        <v>227</v>
      </c>
      <c r="B1033" s="5" t="s">
        <v>168</v>
      </c>
      <c r="C1033" s="5" t="n">
        <v>85</v>
      </c>
      <c r="D1033" s="5" t="s">
        <v>887</v>
      </c>
      <c r="E1033" s="5" t="n">
        <v>3</v>
      </c>
      <c r="F1033" s="20" t="n">
        <v>8.95919680776737</v>
      </c>
      <c r="G1033" s="20" t="n">
        <f aca="false">9-F1033</f>
        <v>0.0408031922326302</v>
      </c>
      <c r="H1033" s="20" t="n">
        <f aca="false">IF(G1033&gt;=1,G1033,0)</f>
        <v>0</v>
      </c>
      <c r="I1033" s="5" t="s">
        <v>774</v>
      </c>
      <c r="J1033" s="5" t="s">
        <v>1583</v>
      </c>
    </row>
    <row r="1034" customFormat="false" ht="15" hidden="false" customHeight="false" outlineLevel="0" collapsed="false">
      <c r="A1034" s="5" t="s">
        <v>227</v>
      </c>
      <c r="B1034" s="5" t="s">
        <v>168</v>
      </c>
      <c r="C1034" s="5" t="n">
        <v>86</v>
      </c>
      <c r="D1034" s="5" t="s">
        <v>889</v>
      </c>
      <c r="E1034" s="5" t="n">
        <v>3</v>
      </c>
      <c r="F1034" s="20" t="n">
        <v>8.90646835012721</v>
      </c>
      <c r="G1034" s="20" t="n">
        <f aca="false">9-F1034</f>
        <v>0.0935316498727872</v>
      </c>
      <c r="H1034" s="20" t="n">
        <f aca="false">IF(G1034&gt;=1,G1034,0)</f>
        <v>0</v>
      </c>
      <c r="I1034" s="5" t="s">
        <v>774</v>
      </c>
      <c r="J1034" s="5" t="s">
        <v>1584</v>
      </c>
    </row>
    <row r="1035" customFormat="false" ht="15" hidden="false" customHeight="false" outlineLevel="0" collapsed="false">
      <c r="A1035" s="5" t="s">
        <v>227</v>
      </c>
      <c r="B1035" s="5" t="s">
        <v>168</v>
      </c>
      <c r="C1035" s="5" t="n">
        <v>87</v>
      </c>
      <c r="D1035" s="5" t="s">
        <v>889</v>
      </c>
      <c r="E1035" s="5" t="n">
        <v>3</v>
      </c>
      <c r="F1035" s="20" t="n">
        <v>8.90646835012721</v>
      </c>
      <c r="G1035" s="20" t="n">
        <f aca="false">9-F1035</f>
        <v>0.0935316498727872</v>
      </c>
      <c r="H1035" s="20" t="n">
        <f aca="false">IF(G1035&gt;=1,G1035,0)</f>
        <v>0</v>
      </c>
      <c r="I1035" s="5" t="s">
        <v>774</v>
      </c>
      <c r="J1035" s="5" t="s">
        <v>1585</v>
      </c>
    </row>
    <row r="1036" customFormat="false" ht="15" hidden="false" customHeight="false" outlineLevel="0" collapsed="false">
      <c r="A1036" s="5" t="s">
        <v>227</v>
      </c>
      <c r="B1036" s="5" t="s">
        <v>168</v>
      </c>
      <c r="C1036" s="5" t="n">
        <v>88</v>
      </c>
      <c r="D1036" s="5" t="s">
        <v>889</v>
      </c>
      <c r="E1036" s="5" t="n">
        <v>3</v>
      </c>
      <c r="F1036" s="20" t="n">
        <v>8.90646835012721</v>
      </c>
      <c r="G1036" s="20" t="n">
        <f aca="false">9-F1036</f>
        <v>0.0935316498727872</v>
      </c>
      <c r="H1036" s="20" t="n">
        <f aca="false">IF(G1036&gt;=1,G1036,0)</f>
        <v>0</v>
      </c>
      <c r="I1036" s="5" t="s">
        <v>774</v>
      </c>
      <c r="J1036" s="5" t="s">
        <v>1586</v>
      </c>
    </row>
    <row r="1037" customFormat="false" ht="15" hidden="false" customHeight="false" outlineLevel="0" collapsed="false">
      <c r="A1037" s="5" t="s">
        <v>227</v>
      </c>
      <c r="B1037" s="5" t="s">
        <v>168</v>
      </c>
      <c r="C1037" s="5" t="n">
        <v>89</v>
      </c>
      <c r="D1037" s="5" t="s">
        <v>889</v>
      </c>
      <c r="E1037" s="5" t="n">
        <v>3</v>
      </c>
      <c r="F1037" s="20" t="n">
        <v>8.90646835012721</v>
      </c>
      <c r="G1037" s="20" t="n">
        <f aca="false">9-F1037</f>
        <v>0.0935316498727872</v>
      </c>
      <c r="H1037" s="20" t="n">
        <f aca="false">IF(G1037&gt;=1,G1037,0)</f>
        <v>0</v>
      </c>
      <c r="I1037" s="5" t="s">
        <v>774</v>
      </c>
      <c r="J1037" s="5" t="s">
        <v>1587</v>
      </c>
    </row>
    <row r="1038" customFormat="false" ht="15" hidden="false" customHeight="false" outlineLevel="0" collapsed="false">
      <c r="A1038" s="5" t="s">
        <v>227</v>
      </c>
      <c r="B1038" s="5" t="s">
        <v>168</v>
      </c>
      <c r="C1038" s="5" t="n">
        <v>90</v>
      </c>
      <c r="D1038" s="5" t="s">
        <v>889</v>
      </c>
      <c r="E1038" s="5" t="n">
        <v>3</v>
      </c>
      <c r="F1038" s="20" t="n">
        <v>8.90646835012721</v>
      </c>
      <c r="G1038" s="20" t="n">
        <f aca="false">9-F1038</f>
        <v>0.0935316498727872</v>
      </c>
      <c r="H1038" s="20" t="n">
        <f aca="false">IF(G1038&gt;=1,G1038,0)</f>
        <v>0</v>
      </c>
      <c r="I1038" s="5" t="s">
        <v>774</v>
      </c>
      <c r="J1038" s="5" t="s">
        <v>1588</v>
      </c>
    </row>
    <row r="1039" customFormat="false" ht="15" hidden="false" customHeight="false" outlineLevel="0" collapsed="false">
      <c r="A1039" s="5" t="s">
        <v>227</v>
      </c>
      <c r="B1039" s="5" t="s">
        <v>168</v>
      </c>
      <c r="C1039" s="5" t="n">
        <v>91</v>
      </c>
      <c r="D1039" s="5" t="s">
        <v>889</v>
      </c>
      <c r="E1039" s="5" t="n">
        <v>3</v>
      </c>
      <c r="F1039" s="20" t="n">
        <v>8.90646835012721</v>
      </c>
      <c r="G1039" s="20" t="n">
        <f aca="false">9-F1039</f>
        <v>0.093531649872789</v>
      </c>
      <c r="H1039" s="20" t="n">
        <f aca="false">IF(G1039&gt;=1,G1039,0)</f>
        <v>0</v>
      </c>
      <c r="I1039" s="5" t="s">
        <v>774</v>
      </c>
      <c r="J1039" s="5" t="s">
        <v>1589</v>
      </c>
    </row>
    <row r="1040" customFormat="false" ht="15" hidden="false" customHeight="false" outlineLevel="0" collapsed="false">
      <c r="A1040" s="5" t="s">
        <v>227</v>
      </c>
      <c r="B1040" s="5" t="s">
        <v>168</v>
      </c>
      <c r="C1040" s="5" t="n">
        <v>92</v>
      </c>
      <c r="D1040" s="5" t="s">
        <v>889</v>
      </c>
      <c r="E1040" s="5" t="n">
        <v>3</v>
      </c>
      <c r="F1040" s="20" t="n">
        <v>8.90646835012721</v>
      </c>
      <c r="G1040" s="20" t="n">
        <f aca="false">9-F1040</f>
        <v>0.093531649872789</v>
      </c>
      <c r="H1040" s="20" t="n">
        <f aca="false">IF(G1040&gt;=1,G1040,0)</f>
        <v>0</v>
      </c>
      <c r="I1040" s="5" t="s">
        <v>774</v>
      </c>
      <c r="J1040" s="5" t="s">
        <v>1590</v>
      </c>
    </row>
    <row r="1041" customFormat="false" ht="15" hidden="false" customHeight="false" outlineLevel="0" collapsed="false">
      <c r="A1041" s="5" t="s">
        <v>227</v>
      </c>
      <c r="B1041" s="5" t="s">
        <v>168</v>
      </c>
      <c r="C1041" s="5" t="n">
        <v>93</v>
      </c>
      <c r="D1041" s="5" t="s">
        <v>889</v>
      </c>
      <c r="E1041" s="5" t="n">
        <v>3</v>
      </c>
      <c r="F1041" s="20" t="n">
        <v>8.90646835012721</v>
      </c>
      <c r="G1041" s="20" t="n">
        <f aca="false">9-F1041</f>
        <v>0.093531649872789</v>
      </c>
      <c r="H1041" s="20" t="n">
        <f aca="false">IF(G1041&gt;=1,G1041,0)</f>
        <v>0</v>
      </c>
      <c r="I1041" s="5" t="s">
        <v>774</v>
      </c>
      <c r="J1041" s="5" t="s">
        <v>1591</v>
      </c>
    </row>
    <row r="1042" customFormat="false" ht="15" hidden="false" customHeight="false" outlineLevel="0" collapsed="false">
      <c r="A1042" s="5" t="s">
        <v>227</v>
      </c>
      <c r="B1042" s="5" t="s">
        <v>168</v>
      </c>
      <c r="C1042" s="5" t="n">
        <v>94</v>
      </c>
      <c r="D1042" s="5" t="s">
        <v>889</v>
      </c>
      <c r="E1042" s="5" t="n">
        <v>3</v>
      </c>
      <c r="F1042" s="20" t="n">
        <v>8.90646835012721</v>
      </c>
      <c r="G1042" s="20" t="n">
        <f aca="false">9-F1042</f>
        <v>0.093531649872789</v>
      </c>
      <c r="H1042" s="20" t="n">
        <f aca="false">IF(G1042&gt;=1,G1042,0)</f>
        <v>0</v>
      </c>
      <c r="I1042" s="5" t="s">
        <v>774</v>
      </c>
      <c r="J1042" s="5" t="s">
        <v>1592</v>
      </c>
    </row>
    <row r="1043" customFormat="false" ht="15" hidden="false" customHeight="false" outlineLevel="0" collapsed="false">
      <c r="A1043" s="5" t="s">
        <v>227</v>
      </c>
      <c r="B1043" s="5" t="s">
        <v>168</v>
      </c>
      <c r="C1043" s="5" t="n">
        <v>95</v>
      </c>
      <c r="D1043" s="5" t="s">
        <v>889</v>
      </c>
      <c r="E1043" s="5" t="n">
        <v>3</v>
      </c>
      <c r="F1043" s="20" t="n">
        <v>8.90646835012721</v>
      </c>
      <c r="G1043" s="20" t="n">
        <f aca="false">9-F1043</f>
        <v>0.093531649872789</v>
      </c>
      <c r="H1043" s="20" t="n">
        <f aca="false">IF(G1043&gt;=1,G1043,0)</f>
        <v>0</v>
      </c>
      <c r="I1043" s="5" t="s">
        <v>774</v>
      </c>
      <c r="J1043" s="5" t="s">
        <v>1593</v>
      </c>
    </row>
    <row r="1044" customFormat="false" ht="15" hidden="false" customHeight="false" outlineLevel="0" collapsed="false">
      <c r="A1044" s="5" t="s">
        <v>227</v>
      </c>
      <c r="B1044" s="5" t="s">
        <v>168</v>
      </c>
      <c r="C1044" s="5" t="n">
        <v>96</v>
      </c>
      <c r="D1044" s="5" t="s">
        <v>889</v>
      </c>
      <c r="E1044" s="5" t="n">
        <v>3</v>
      </c>
      <c r="F1044" s="20" t="n">
        <v>8.90646835012721</v>
      </c>
      <c r="G1044" s="20" t="n">
        <f aca="false">9-F1044</f>
        <v>0.093531649872789</v>
      </c>
      <c r="H1044" s="20" t="n">
        <f aca="false">IF(G1044&gt;=1,G1044,0)</f>
        <v>0</v>
      </c>
      <c r="I1044" s="5" t="s">
        <v>774</v>
      </c>
      <c r="J1044" s="5" t="s">
        <v>1594</v>
      </c>
    </row>
    <row r="1045" customFormat="false" ht="15" hidden="false" customHeight="false" outlineLevel="0" collapsed="false">
      <c r="A1045" s="5" t="s">
        <v>227</v>
      </c>
      <c r="B1045" s="5" t="s">
        <v>168</v>
      </c>
      <c r="C1045" s="5" t="n">
        <v>97</v>
      </c>
      <c r="D1045" s="5" t="s">
        <v>889</v>
      </c>
      <c r="E1045" s="5" t="n">
        <v>3</v>
      </c>
      <c r="F1045" s="20" t="n">
        <v>8.90646835012721</v>
      </c>
      <c r="G1045" s="20" t="n">
        <f aca="false">9-F1045</f>
        <v>0.093531649872789</v>
      </c>
      <c r="H1045" s="20" t="n">
        <f aca="false">IF(G1045&gt;=1,G1045,0)</f>
        <v>0</v>
      </c>
      <c r="I1045" s="5" t="s">
        <v>774</v>
      </c>
      <c r="J1045" s="5" t="s">
        <v>1595</v>
      </c>
    </row>
    <row r="1046" customFormat="false" ht="15" hidden="false" customHeight="false" outlineLevel="0" collapsed="false">
      <c r="A1046" s="5" t="s">
        <v>227</v>
      </c>
      <c r="B1046" s="5" t="s">
        <v>168</v>
      </c>
      <c r="C1046" s="5" t="n">
        <v>98</v>
      </c>
      <c r="D1046" s="5" t="s">
        <v>889</v>
      </c>
      <c r="E1046" s="5" t="n">
        <v>3</v>
      </c>
      <c r="F1046" s="20" t="n">
        <v>8.90460677249567</v>
      </c>
      <c r="G1046" s="20" t="n">
        <f aca="false">9-F1046</f>
        <v>0.0953932275043279</v>
      </c>
      <c r="H1046" s="20" t="n">
        <f aca="false">IF(G1046&gt;=1,G1046,0)</f>
        <v>0</v>
      </c>
      <c r="I1046" s="5" t="s">
        <v>774</v>
      </c>
      <c r="J1046" s="5" t="s">
        <v>1596</v>
      </c>
    </row>
    <row r="1047" customFormat="false" ht="15" hidden="false" customHeight="false" outlineLevel="0" collapsed="false">
      <c r="A1047" s="5" t="s">
        <v>227</v>
      </c>
      <c r="B1047" s="5" t="s">
        <v>168</v>
      </c>
      <c r="C1047" s="5" t="n">
        <v>99</v>
      </c>
      <c r="D1047" s="5" t="s">
        <v>903</v>
      </c>
      <c r="E1047" s="5" t="n">
        <v>3</v>
      </c>
      <c r="F1047" s="20" t="n">
        <v>8.84629358196091</v>
      </c>
      <c r="G1047" s="20" t="n">
        <f aca="false">9-F1047</f>
        <v>0.153706418039089</v>
      </c>
      <c r="H1047" s="20" t="n">
        <f aca="false">IF(G1047&gt;=1,G1047,0)</f>
        <v>0</v>
      </c>
      <c r="I1047" s="5" t="s">
        <v>774</v>
      </c>
      <c r="J1047" s="5" t="s">
        <v>1597</v>
      </c>
    </row>
    <row r="1048" customFormat="false" ht="15" hidden="false" customHeight="false" outlineLevel="0" collapsed="false">
      <c r="A1048" s="5" t="s">
        <v>227</v>
      </c>
      <c r="B1048" s="5" t="s">
        <v>168</v>
      </c>
      <c r="C1048" s="5" t="n">
        <v>100</v>
      </c>
      <c r="D1048" s="5" t="s">
        <v>905</v>
      </c>
      <c r="E1048" s="5" t="n">
        <v>3</v>
      </c>
      <c r="F1048" s="20" t="n">
        <v>8.77102476475661</v>
      </c>
      <c r="G1048" s="20" t="n">
        <f aca="false">9-F1048</f>
        <v>0.228975235243389</v>
      </c>
      <c r="H1048" s="20" t="n">
        <f aca="false">IF(G1048&gt;=1,G1048,0)</f>
        <v>0</v>
      </c>
      <c r="I1048" s="5" t="s">
        <v>774</v>
      </c>
      <c r="J1048" s="5" t="s">
        <v>1598</v>
      </c>
    </row>
    <row r="1049" customFormat="false" ht="15" hidden="false" customHeight="false" outlineLevel="0" collapsed="false">
      <c r="A1049" s="5" t="s">
        <v>227</v>
      </c>
      <c r="B1049" s="5" t="s">
        <v>168</v>
      </c>
      <c r="C1049" s="5" t="n">
        <v>101</v>
      </c>
      <c r="D1049" s="5" t="s">
        <v>907</v>
      </c>
      <c r="E1049" s="5" t="n">
        <v>3</v>
      </c>
      <c r="F1049" s="20" t="n">
        <v>8.6957559475523</v>
      </c>
      <c r="G1049" s="20" t="n">
        <f aca="false">9-F1049</f>
        <v>0.304244052447697</v>
      </c>
      <c r="H1049" s="20" t="n">
        <f aca="false">IF(G1049&gt;=1,G1049,0)</f>
        <v>0</v>
      </c>
      <c r="I1049" s="5" t="s">
        <v>774</v>
      </c>
      <c r="J1049" s="5" t="s">
        <v>1599</v>
      </c>
    </row>
    <row r="1050" customFormat="false" ht="15" hidden="false" customHeight="false" outlineLevel="0" collapsed="false">
      <c r="A1050" s="5" t="s">
        <v>227</v>
      </c>
      <c r="B1050" s="5" t="s">
        <v>168</v>
      </c>
      <c r="C1050" s="5" t="n">
        <v>102</v>
      </c>
      <c r="D1050" s="5" t="s">
        <v>909</v>
      </c>
      <c r="E1050" s="5" t="n">
        <v>3</v>
      </c>
      <c r="F1050" s="20" t="n">
        <v>8.62288634238816</v>
      </c>
      <c r="G1050" s="20" t="n">
        <f aca="false">9-F1050</f>
        <v>0.377113657611844</v>
      </c>
      <c r="H1050" s="20" t="n">
        <f aca="false">IF(G1050&gt;=1,G1050,0)</f>
        <v>0</v>
      </c>
      <c r="I1050" s="5" t="s">
        <v>774</v>
      </c>
      <c r="J1050" s="5" t="s">
        <v>1600</v>
      </c>
    </row>
    <row r="1051" customFormat="false" ht="15" hidden="false" customHeight="false" outlineLevel="0" collapsed="false">
      <c r="A1051" s="5" t="s">
        <v>227</v>
      </c>
      <c r="B1051" s="5" t="s">
        <v>168</v>
      </c>
      <c r="C1051" s="5" t="n">
        <v>103</v>
      </c>
      <c r="D1051" s="5" t="s">
        <v>911</v>
      </c>
      <c r="E1051" s="5" t="n">
        <v>3</v>
      </c>
      <c r="F1051" s="20" t="n">
        <v>8.60646835012722</v>
      </c>
      <c r="G1051" s="20" t="n">
        <f aca="false">9-F1051</f>
        <v>0.393531649872783</v>
      </c>
      <c r="H1051" s="20" t="n">
        <f aca="false">IF(G1051&gt;=1,G1051,0)</f>
        <v>0</v>
      </c>
      <c r="I1051" s="5" t="s">
        <v>774</v>
      </c>
      <c r="J1051" s="5" t="s">
        <v>1601</v>
      </c>
    </row>
    <row r="1052" customFormat="false" ht="15" hidden="false" customHeight="false" outlineLevel="0" collapsed="false">
      <c r="A1052" s="5" t="s">
        <v>227</v>
      </c>
      <c r="B1052" s="5" t="s">
        <v>168</v>
      </c>
      <c r="C1052" s="5" t="n">
        <v>104</v>
      </c>
      <c r="D1052" s="5" t="s">
        <v>911</v>
      </c>
      <c r="E1052" s="5" t="n">
        <v>3</v>
      </c>
      <c r="F1052" s="20" t="n">
        <v>8.60646835012722</v>
      </c>
      <c r="G1052" s="20" t="n">
        <f aca="false">9-F1052</f>
        <v>0.393531649872783</v>
      </c>
      <c r="H1052" s="20" t="n">
        <f aca="false">IF(G1052&gt;=1,G1052,0)</f>
        <v>0</v>
      </c>
      <c r="I1052" s="5" t="s">
        <v>774</v>
      </c>
      <c r="J1052" s="5" t="s">
        <v>1602</v>
      </c>
    </row>
    <row r="1053" customFormat="false" ht="15" hidden="false" customHeight="false" outlineLevel="0" collapsed="false">
      <c r="A1053" s="5" t="s">
        <v>227</v>
      </c>
      <c r="B1053" s="5" t="s">
        <v>168</v>
      </c>
      <c r="C1053" s="5" t="n">
        <v>105</v>
      </c>
      <c r="D1053" s="5" t="s">
        <v>911</v>
      </c>
      <c r="E1053" s="5" t="n">
        <v>3</v>
      </c>
      <c r="F1053" s="20" t="n">
        <v>8.60646835012722</v>
      </c>
      <c r="G1053" s="20" t="n">
        <f aca="false">9-F1053</f>
        <v>0.393531649872783</v>
      </c>
      <c r="H1053" s="20" t="n">
        <f aca="false">IF(G1053&gt;=1,G1053,0)</f>
        <v>0</v>
      </c>
      <c r="I1053" s="5" t="s">
        <v>774</v>
      </c>
      <c r="J1053" s="5" t="s">
        <v>1603</v>
      </c>
    </row>
    <row r="1054" customFormat="false" ht="15" hidden="false" customHeight="false" outlineLevel="0" collapsed="false">
      <c r="A1054" s="5" t="s">
        <v>227</v>
      </c>
      <c r="B1054" s="5" t="s">
        <v>168</v>
      </c>
      <c r="C1054" s="5" t="n">
        <v>106</v>
      </c>
      <c r="D1054" s="5" t="s">
        <v>911</v>
      </c>
      <c r="E1054" s="5" t="n">
        <v>3</v>
      </c>
      <c r="F1054" s="20" t="n">
        <v>8.60646835012722</v>
      </c>
      <c r="G1054" s="20" t="n">
        <f aca="false">9-F1054</f>
        <v>0.393531649872783</v>
      </c>
      <c r="H1054" s="20" t="n">
        <f aca="false">IF(G1054&gt;=1,G1054,0)</f>
        <v>0</v>
      </c>
      <c r="I1054" s="5" t="s">
        <v>774</v>
      </c>
      <c r="J1054" s="5" t="s">
        <v>1604</v>
      </c>
    </row>
    <row r="1055" customFormat="false" ht="15" hidden="false" customHeight="false" outlineLevel="0" collapsed="false">
      <c r="A1055" s="5" t="s">
        <v>227</v>
      </c>
      <c r="B1055" s="5" t="s">
        <v>168</v>
      </c>
      <c r="C1055" s="5" t="n">
        <v>107</v>
      </c>
      <c r="D1055" s="5" t="s">
        <v>911</v>
      </c>
      <c r="E1055" s="5" t="n">
        <v>3</v>
      </c>
      <c r="F1055" s="20" t="n">
        <v>8.60646835012722</v>
      </c>
      <c r="G1055" s="20" t="n">
        <f aca="false">9-F1055</f>
        <v>0.393531649872783</v>
      </c>
      <c r="H1055" s="20" t="n">
        <f aca="false">IF(G1055&gt;=1,G1055,0)</f>
        <v>0</v>
      </c>
      <c r="I1055" s="5" t="s">
        <v>774</v>
      </c>
      <c r="J1055" s="5" t="s">
        <v>1605</v>
      </c>
    </row>
    <row r="1056" customFormat="false" ht="15" hidden="false" customHeight="false" outlineLevel="0" collapsed="false">
      <c r="A1056" s="5" t="s">
        <v>227</v>
      </c>
      <c r="B1056" s="5" t="s">
        <v>168</v>
      </c>
      <c r="C1056" s="5" t="n">
        <v>108</v>
      </c>
      <c r="D1056" s="5" t="s">
        <v>911</v>
      </c>
      <c r="E1056" s="5" t="n">
        <v>3</v>
      </c>
      <c r="F1056" s="20" t="n">
        <v>8.60646835012722</v>
      </c>
      <c r="G1056" s="20" t="n">
        <f aca="false">9-F1056</f>
        <v>0.393531649872783</v>
      </c>
      <c r="H1056" s="20" t="n">
        <f aca="false">IF(G1056&gt;=1,G1056,0)</f>
        <v>0</v>
      </c>
      <c r="I1056" s="5" t="s">
        <v>774</v>
      </c>
      <c r="J1056" s="5" t="s">
        <v>1606</v>
      </c>
    </row>
    <row r="1057" customFormat="false" ht="15" hidden="false" customHeight="false" outlineLevel="0" collapsed="false">
      <c r="A1057" s="5" t="s">
        <v>227</v>
      </c>
      <c r="B1057" s="5" t="s">
        <v>168</v>
      </c>
      <c r="C1057" s="5" t="n">
        <v>109</v>
      </c>
      <c r="D1057" s="5" t="s">
        <v>911</v>
      </c>
      <c r="E1057" s="5" t="n">
        <v>3</v>
      </c>
      <c r="F1057" s="20" t="n">
        <v>8.60646835012722</v>
      </c>
      <c r="G1057" s="20" t="n">
        <f aca="false">9-F1057</f>
        <v>0.393531649872783</v>
      </c>
      <c r="H1057" s="20" t="n">
        <f aca="false">IF(G1057&gt;=1,G1057,0)</f>
        <v>0</v>
      </c>
      <c r="I1057" s="5" t="s">
        <v>774</v>
      </c>
      <c r="J1057" s="5" t="s">
        <v>1607</v>
      </c>
    </row>
    <row r="1058" customFormat="false" ht="15" hidden="false" customHeight="false" outlineLevel="0" collapsed="false">
      <c r="A1058" s="5" t="s">
        <v>227</v>
      </c>
      <c r="B1058" s="5" t="s">
        <v>168</v>
      </c>
      <c r="C1058" s="5" t="n">
        <v>110</v>
      </c>
      <c r="D1058" s="5" t="s">
        <v>919</v>
      </c>
      <c r="E1058" s="5" t="n">
        <v>1</v>
      </c>
      <c r="F1058" s="20" t="n">
        <v>3.58847402597399</v>
      </c>
      <c r="G1058" s="20" t="n">
        <f aca="false">9-F1058</f>
        <v>5.41152597402602</v>
      </c>
      <c r="H1058" s="20" t="n">
        <f aca="false">IF(G1058&gt;=1,G1058,0)</f>
        <v>5.41152597402602</v>
      </c>
      <c r="I1058" s="5" t="s">
        <v>774</v>
      </c>
      <c r="J1058" s="5" t="s">
        <v>1608</v>
      </c>
    </row>
    <row r="1059" customFormat="false" ht="15" hidden="false" customHeight="false" outlineLevel="0" collapsed="false">
      <c r="A1059" s="5" t="s">
        <v>227</v>
      </c>
      <c r="B1059" s="5" t="s">
        <v>169</v>
      </c>
      <c r="C1059" s="5" t="n">
        <v>1</v>
      </c>
      <c r="D1059" s="5" t="s">
        <v>930</v>
      </c>
      <c r="E1059" s="5" t="n">
        <v>3</v>
      </c>
      <c r="F1059" s="20" t="n">
        <v>8.94000000000002</v>
      </c>
      <c r="G1059" s="20" t="n">
        <f aca="false">9-F1059</f>
        <v>0.0599999999999845</v>
      </c>
      <c r="H1059" s="20" t="n">
        <f aca="false">IF(G1059&gt;=1,G1059,0)</f>
        <v>0</v>
      </c>
      <c r="I1059" s="5" t="s">
        <v>774</v>
      </c>
      <c r="J1059" s="5" t="s">
        <v>1609</v>
      </c>
    </row>
    <row r="1060" customFormat="false" ht="15" hidden="false" customHeight="false" outlineLevel="0" collapsed="false">
      <c r="A1060" s="5" t="s">
        <v>227</v>
      </c>
      <c r="B1060" s="5" t="s">
        <v>169</v>
      </c>
      <c r="C1060" s="5" t="n">
        <v>2</v>
      </c>
      <c r="D1060" s="5" t="s">
        <v>930</v>
      </c>
      <c r="E1060" s="5" t="n">
        <v>3</v>
      </c>
      <c r="F1060" s="20" t="n">
        <v>8.94000000000001</v>
      </c>
      <c r="G1060" s="20" t="n">
        <f aca="false">9-F1060</f>
        <v>0.0599999999999863</v>
      </c>
      <c r="H1060" s="20" t="n">
        <f aca="false">IF(G1060&gt;=1,G1060,0)</f>
        <v>0</v>
      </c>
      <c r="I1060" s="5" t="s">
        <v>774</v>
      </c>
      <c r="J1060" s="5" t="s">
        <v>1610</v>
      </c>
    </row>
    <row r="1061" customFormat="false" ht="15" hidden="false" customHeight="false" outlineLevel="0" collapsed="false">
      <c r="A1061" s="5" t="s">
        <v>227</v>
      </c>
      <c r="B1061" s="5" t="s">
        <v>169</v>
      </c>
      <c r="C1061" s="5" t="n">
        <v>3</v>
      </c>
      <c r="D1061" s="5" t="s">
        <v>930</v>
      </c>
      <c r="E1061" s="5" t="n">
        <v>3</v>
      </c>
      <c r="F1061" s="20" t="n">
        <v>8.94000000000001</v>
      </c>
      <c r="G1061" s="20" t="n">
        <f aca="false">9-F1061</f>
        <v>0.0599999999999881</v>
      </c>
      <c r="H1061" s="20" t="n">
        <f aca="false">IF(G1061&gt;=1,G1061,0)</f>
        <v>0</v>
      </c>
      <c r="I1061" s="5" t="s">
        <v>774</v>
      </c>
      <c r="J1061" s="5" t="s">
        <v>1611</v>
      </c>
    </row>
    <row r="1062" customFormat="false" ht="15" hidden="false" customHeight="false" outlineLevel="0" collapsed="false">
      <c r="A1062" s="5" t="s">
        <v>227</v>
      </c>
      <c r="B1062" s="5" t="s">
        <v>169</v>
      </c>
      <c r="C1062" s="5" t="n">
        <v>4</v>
      </c>
      <c r="D1062" s="5" t="s">
        <v>930</v>
      </c>
      <c r="E1062" s="5" t="n">
        <v>3</v>
      </c>
      <c r="F1062" s="20" t="n">
        <v>8.94000000000001</v>
      </c>
      <c r="G1062" s="20" t="n">
        <f aca="false">9-F1062</f>
        <v>0.0599999999999881</v>
      </c>
      <c r="H1062" s="20" t="n">
        <f aca="false">IF(G1062&gt;=1,G1062,0)</f>
        <v>0</v>
      </c>
      <c r="I1062" s="5" t="s">
        <v>774</v>
      </c>
      <c r="J1062" s="5" t="s">
        <v>1612</v>
      </c>
    </row>
    <row r="1063" customFormat="false" ht="15" hidden="false" customHeight="false" outlineLevel="0" collapsed="false">
      <c r="A1063" s="5" t="s">
        <v>227</v>
      </c>
      <c r="B1063" s="5" t="s">
        <v>169</v>
      </c>
      <c r="C1063" s="5" t="n">
        <v>5</v>
      </c>
      <c r="D1063" s="5" t="s">
        <v>930</v>
      </c>
      <c r="E1063" s="5" t="n">
        <v>3</v>
      </c>
      <c r="F1063" s="20" t="n">
        <v>8.94000000000001</v>
      </c>
      <c r="G1063" s="20" t="n">
        <f aca="false">9-F1063</f>
        <v>0.0599999999999881</v>
      </c>
      <c r="H1063" s="20" t="n">
        <f aca="false">IF(G1063&gt;=1,G1063,0)</f>
        <v>0</v>
      </c>
      <c r="I1063" s="5" t="s">
        <v>774</v>
      </c>
      <c r="J1063" s="5" t="s">
        <v>1613</v>
      </c>
    </row>
    <row r="1064" customFormat="false" ht="15" hidden="false" customHeight="false" outlineLevel="0" collapsed="false">
      <c r="A1064" s="5" t="s">
        <v>227</v>
      </c>
      <c r="B1064" s="5" t="s">
        <v>169</v>
      </c>
      <c r="C1064" s="5" t="n">
        <v>6</v>
      </c>
      <c r="D1064" s="5" t="s">
        <v>930</v>
      </c>
      <c r="E1064" s="5" t="n">
        <v>3</v>
      </c>
      <c r="F1064" s="20" t="n">
        <v>8.94000000000001</v>
      </c>
      <c r="G1064" s="20" t="n">
        <f aca="false">9-F1064</f>
        <v>0.0599999999999898</v>
      </c>
      <c r="H1064" s="20" t="n">
        <f aca="false">IF(G1064&gt;=1,G1064,0)</f>
        <v>0</v>
      </c>
      <c r="I1064" s="5" t="s">
        <v>774</v>
      </c>
      <c r="J1064" s="5" t="s">
        <v>1614</v>
      </c>
    </row>
    <row r="1065" customFormat="false" ht="15" hidden="false" customHeight="false" outlineLevel="0" collapsed="false">
      <c r="A1065" s="5" t="s">
        <v>227</v>
      </c>
      <c r="B1065" s="5" t="s">
        <v>169</v>
      </c>
      <c r="C1065" s="5" t="n">
        <v>7</v>
      </c>
      <c r="D1065" s="5" t="s">
        <v>930</v>
      </c>
      <c r="E1065" s="5" t="n">
        <v>3</v>
      </c>
      <c r="F1065" s="20" t="n">
        <v>8.94000000000001</v>
      </c>
      <c r="G1065" s="20" t="n">
        <f aca="false">9-F1065</f>
        <v>0.0599999999999898</v>
      </c>
      <c r="H1065" s="20" t="n">
        <f aca="false">IF(G1065&gt;=1,G1065,0)</f>
        <v>0</v>
      </c>
      <c r="I1065" s="5" t="s">
        <v>774</v>
      </c>
      <c r="J1065" s="5" t="s">
        <v>1615</v>
      </c>
    </row>
    <row r="1066" customFormat="false" ht="15" hidden="false" customHeight="false" outlineLevel="0" collapsed="false">
      <c r="A1066" s="5" t="s">
        <v>227</v>
      </c>
      <c r="B1066" s="5" t="s">
        <v>169</v>
      </c>
      <c r="C1066" s="5" t="n">
        <v>8</v>
      </c>
      <c r="D1066" s="5" t="s">
        <v>1616</v>
      </c>
      <c r="E1066" s="5" t="n">
        <v>3</v>
      </c>
      <c r="F1066" s="20" t="n">
        <v>8.68478343051252</v>
      </c>
      <c r="G1066" s="20" t="n">
        <f aca="false">9-F1066</f>
        <v>0.315216569487477</v>
      </c>
      <c r="H1066" s="20" t="n">
        <f aca="false">IF(G1066&gt;=1,G1066,0)</f>
        <v>0</v>
      </c>
      <c r="I1066" s="5" t="s">
        <v>952</v>
      </c>
      <c r="J1066" s="5" t="s">
        <v>1617</v>
      </c>
    </row>
    <row r="1067" customFormat="false" ht="15" hidden="false" customHeight="false" outlineLevel="0" collapsed="false">
      <c r="A1067" s="5" t="s">
        <v>227</v>
      </c>
      <c r="B1067" s="5" t="s">
        <v>169</v>
      </c>
      <c r="C1067" s="5" t="n">
        <v>9</v>
      </c>
      <c r="D1067" s="5" t="s">
        <v>1616</v>
      </c>
      <c r="E1067" s="5" t="n">
        <v>3</v>
      </c>
      <c r="F1067" s="20" t="n">
        <v>8.68478343051252</v>
      </c>
      <c r="G1067" s="20" t="n">
        <f aca="false">9-F1067</f>
        <v>0.315216569487479</v>
      </c>
      <c r="H1067" s="20" t="n">
        <f aca="false">IF(G1067&gt;=1,G1067,0)</f>
        <v>0</v>
      </c>
      <c r="I1067" s="5" t="s">
        <v>952</v>
      </c>
      <c r="J1067" s="5" t="s">
        <v>1618</v>
      </c>
    </row>
    <row r="1068" customFormat="false" ht="15" hidden="false" customHeight="false" outlineLevel="0" collapsed="false">
      <c r="A1068" s="5" t="s">
        <v>227</v>
      </c>
      <c r="B1068" s="5" t="s">
        <v>169</v>
      </c>
      <c r="C1068" s="5" t="n">
        <v>10</v>
      </c>
      <c r="D1068" s="5" t="s">
        <v>1616</v>
      </c>
      <c r="E1068" s="5" t="n">
        <v>3</v>
      </c>
      <c r="F1068" s="20" t="n">
        <v>8.68478343051252</v>
      </c>
      <c r="G1068" s="20" t="n">
        <f aca="false">9-F1068</f>
        <v>0.315216569487482</v>
      </c>
      <c r="H1068" s="20" t="n">
        <f aca="false">IF(G1068&gt;=1,G1068,0)</f>
        <v>0</v>
      </c>
      <c r="I1068" s="5" t="s">
        <v>952</v>
      </c>
      <c r="J1068" s="5" t="s">
        <v>1619</v>
      </c>
    </row>
    <row r="1069" customFormat="false" ht="15" hidden="false" customHeight="false" outlineLevel="0" collapsed="false">
      <c r="A1069" s="5" t="s">
        <v>227</v>
      </c>
      <c r="B1069" s="5" t="s">
        <v>169</v>
      </c>
      <c r="C1069" s="5" t="n">
        <v>11</v>
      </c>
      <c r="D1069" s="5" t="s">
        <v>1616</v>
      </c>
      <c r="E1069" s="5" t="n">
        <v>3</v>
      </c>
      <c r="F1069" s="20" t="n">
        <v>8.68478343051251</v>
      </c>
      <c r="G1069" s="20" t="n">
        <f aca="false">9-F1069</f>
        <v>0.315216569487486</v>
      </c>
      <c r="H1069" s="20" t="n">
        <f aca="false">IF(G1069&gt;=1,G1069,0)</f>
        <v>0</v>
      </c>
      <c r="I1069" s="5" t="s">
        <v>952</v>
      </c>
      <c r="J1069" s="5" t="s">
        <v>1620</v>
      </c>
    </row>
    <row r="1070" customFormat="false" ht="15" hidden="false" customHeight="false" outlineLevel="0" collapsed="false">
      <c r="A1070" s="5" t="s">
        <v>227</v>
      </c>
      <c r="B1070" s="5" t="s">
        <v>169</v>
      </c>
      <c r="C1070" s="5" t="n">
        <v>12</v>
      </c>
      <c r="D1070" s="5" t="s">
        <v>1616</v>
      </c>
      <c r="E1070" s="5" t="n">
        <v>3</v>
      </c>
      <c r="F1070" s="20" t="n">
        <v>8.68478343051251</v>
      </c>
      <c r="G1070" s="20" t="n">
        <f aca="false">9-F1070</f>
        <v>0.315216569487486</v>
      </c>
      <c r="H1070" s="20" t="n">
        <f aca="false">IF(G1070&gt;=1,G1070,0)</f>
        <v>0</v>
      </c>
      <c r="I1070" s="5" t="s">
        <v>952</v>
      </c>
      <c r="J1070" s="5" t="s">
        <v>1621</v>
      </c>
    </row>
    <row r="1071" customFormat="false" ht="15" hidden="false" customHeight="false" outlineLevel="0" collapsed="false">
      <c r="A1071" s="5" t="s">
        <v>227</v>
      </c>
      <c r="B1071" s="5" t="s">
        <v>169</v>
      </c>
      <c r="C1071" s="5" t="n">
        <v>13</v>
      </c>
      <c r="D1071" s="5" t="s">
        <v>1616</v>
      </c>
      <c r="E1071" s="5" t="n">
        <v>3</v>
      </c>
      <c r="F1071" s="20" t="n">
        <v>8.68478343051251</v>
      </c>
      <c r="G1071" s="20" t="n">
        <f aca="false">9-F1071</f>
        <v>0.315216569487493</v>
      </c>
      <c r="H1071" s="20" t="n">
        <f aca="false">IF(G1071&gt;=1,G1071,0)</f>
        <v>0</v>
      </c>
      <c r="I1071" s="5" t="s">
        <v>952</v>
      </c>
      <c r="J1071" s="5" t="s">
        <v>1622</v>
      </c>
    </row>
    <row r="1072" customFormat="false" ht="15" hidden="false" customHeight="false" outlineLevel="0" collapsed="false">
      <c r="A1072" s="5" t="s">
        <v>227</v>
      </c>
      <c r="B1072" s="5" t="s">
        <v>169</v>
      </c>
      <c r="C1072" s="5" t="n">
        <v>14</v>
      </c>
      <c r="D1072" s="5" t="s">
        <v>1623</v>
      </c>
      <c r="E1072" s="5" t="n">
        <v>4</v>
      </c>
      <c r="F1072" s="20" t="n">
        <v>8.94861787060636</v>
      </c>
      <c r="G1072" s="20" t="n">
        <f aca="false">9-F1072</f>
        <v>0.0513821293936356</v>
      </c>
      <c r="H1072" s="20" t="n">
        <f aca="false">IF(G1072&gt;=1,G1072,0)</f>
        <v>0</v>
      </c>
      <c r="I1072" s="5" t="s">
        <v>939</v>
      </c>
      <c r="J1072" s="5" t="s">
        <v>1624</v>
      </c>
    </row>
    <row r="1073" customFormat="false" ht="15" hidden="false" customHeight="false" outlineLevel="0" collapsed="false">
      <c r="A1073" s="5" t="s">
        <v>227</v>
      </c>
      <c r="B1073" s="5" t="s">
        <v>169</v>
      </c>
      <c r="C1073" s="5" t="n">
        <v>15</v>
      </c>
      <c r="D1073" s="5" t="s">
        <v>1623</v>
      </c>
      <c r="E1073" s="5" t="n">
        <v>4</v>
      </c>
      <c r="F1073" s="20" t="n">
        <v>8.94861787060636</v>
      </c>
      <c r="G1073" s="20" t="n">
        <f aca="false">9-F1073</f>
        <v>0.051382129393641</v>
      </c>
      <c r="H1073" s="20" t="n">
        <f aca="false">IF(G1073&gt;=1,G1073,0)</f>
        <v>0</v>
      </c>
      <c r="I1073" s="5" t="s">
        <v>939</v>
      </c>
      <c r="J1073" s="5" t="s">
        <v>1625</v>
      </c>
    </row>
    <row r="1074" customFormat="false" ht="15" hidden="false" customHeight="false" outlineLevel="0" collapsed="false">
      <c r="A1074" s="5" t="s">
        <v>227</v>
      </c>
      <c r="B1074" s="5" t="s">
        <v>169</v>
      </c>
      <c r="C1074" s="5" t="n">
        <v>16</v>
      </c>
      <c r="D1074" s="5" t="s">
        <v>1623</v>
      </c>
      <c r="E1074" s="5" t="n">
        <v>4</v>
      </c>
      <c r="F1074" s="20" t="n">
        <v>8.94861787060635</v>
      </c>
      <c r="G1074" s="20" t="n">
        <f aca="false">9-F1074</f>
        <v>0.0513821293936463</v>
      </c>
      <c r="H1074" s="20" t="n">
        <f aca="false">IF(G1074&gt;=1,G1074,0)</f>
        <v>0</v>
      </c>
      <c r="I1074" s="5" t="s">
        <v>939</v>
      </c>
      <c r="J1074" s="5" t="s">
        <v>1626</v>
      </c>
    </row>
    <row r="1075" customFormat="false" ht="15" hidden="false" customHeight="false" outlineLevel="0" collapsed="false">
      <c r="A1075" s="5" t="s">
        <v>227</v>
      </c>
      <c r="B1075" s="5" t="s">
        <v>169</v>
      </c>
      <c r="C1075" s="5" t="n">
        <v>17</v>
      </c>
      <c r="D1075" s="5" t="s">
        <v>1623</v>
      </c>
      <c r="E1075" s="5" t="n">
        <v>4</v>
      </c>
      <c r="F1075" s="20" t="n">
        <v>8.94861787060635</v>
      </c>
      <c r="G1075" s="20" t="n">
        <f aca="false">9-F1075</f>
        <v>0.0513821293936481</v>
      </c>
      <c r="H1075" s="20" t="n">
        <f aca="false">IF(G1075&gt;=1,G1075,0)</f>
        <v>0</v>
      </c>
      <c r="I1075" s="5" t="s">
        <v>939</v>
      </c>
      <c r="J1075" s="5" t="s">
        <v>1627</v>
      </c>
    </row>
    <row r="1076" customFormat="false" ht="15" hidden="false" customHeight="false" outlineLevel="0" collapsed="false">
      <c r="A1076" s="5" t="s">
        <v>227</v>
      </c>
      <c r="B1076" s="5" t="s">
        <v>169</v>
      </c>
      <c r="C1076" s="5" t="n">
        <v>18</v>
      </c>
      <c r="D1076" s="5" t="s">
        <v>1623</v>
      </c>
      <c r="E1076" s="5" t="n">
        <v>4</v>
      </c>
      <c r="F1076" s="20" t="n">
        <v>8.94861787060635</v>
      </c>
      <c r="G1076" s="20" t="n">
        <f aca="false">9-F1076</f>
        <v>0.0513821293936516</v>
      </c>
      <c r="H1076" s="20" t="n">
        <f aca="false">IF(G1076&gt;=1,G1076,0)</f>
        <v>0</v>
      </c>
      <c r="I1076" s="5" t="s">
        <v>939</v>
      </c>
      <c r="J1076" s="5" t="s">
        <v>1628</v>
      </c>
    </row>
    <row r="1077" customFormat="false" ht="15" hidden="false" customHeight="false" outlineLevel="0" collapsed="false">
      <c r="A1077" s="5" t="s">
        <v>227</v>
      </c>
      <c r="B1077" s="5" t="s">
        <v>169</v>
      </c>
      <c r="C1077" s="5" t="n">
        <v>19</v>
      </c>
      <c r="D1077" s="5" t="s">
        <v>1623</v>
      </c>
      <c r="E1077" s="5" t="n">
        <v>4</v>
      </c>
      <c r="F1077" s="20" t="n">
        <v>8.94861787060635</v>
      </c>
      <c r="G1077" s="20" t="n">
        <f aca="false">9-F1077</f>
        <v>0.0513821293936534</v>
      </c>
      <c r="H1077" s="20" t="n">
        <f aca="false">IF(G1077&gt;=1,G1077,0)</f>
        <v>0</v>
      </c>
      <c r="I1077" s="5" t="s">
        <v>939</v>
      </c>
      <c r="J1077" s="5" t="s">
        <v>1629</v>
      </c>
    </row>
    <row r="1078" customFormat="false" ht="15" hidden="false" customHeight="false" outlineLevel="0" collapsed="false">
      <c r="A1078" s="5" t="s">
        <v>227</v>
      </c>
      <c r="B1078" s="5" t="s">
        <v>169</v>
      </c>
      <c r="C1078" s="5" t="n">
        <v>20</v>
      </c>
      <c r="D1078" s="5" t="s">
        <v>946</v>
      </c>
      <c r="E1078" s="5" t="n">
        <v>4</v>
      </c>
      <c r="F1078" s="20" t="n">
        <v>8.9255313803562</v>
      </c>
      <c r="G1078" s="20" t="n">
        <f aca="false">9-F1078</f>
        <v>0.0744686196437971</v>
      </c>
      <c r="H1078" s="20" t="n">
        <f aca="false">IF(G1078&gt;=1,G1078,0)</f>
        <v>0</v>
      </c>
      <c r="I1078" s="5" t="s">
        <v>774</v>
      </c>
      <c r="J1078" s="5" t="s">
        <v>1630</v>
      </c>
    </row>
    <row r="1079" customFormat="false" ht="15" hidden="false" customHeight="false" outlineLevel="0" collapsed="false">
      <c r="A1079" s="5" t="s">
        <v>227</v>
      </c>
      <c r="B1079" s="5" t="s">
        <v>169</v>
      </c>
      <c r="C1079" s="5" t="n">
        <v>21</v>
      </c>
      <c r="D1079" s="5" t="s">
        <v>946</v>
      </c>
      <c r="E1079" s="5" t="n">
        <v>4</v>
      </c>
      <c r="F1079" s="20" t="n">
        <v>8.9255313803562</v>
      </c>
      <c r="G1079" s="20" t="n">
        <f aca="false">9-F1079</f>
        <v>0.0744686196438025</v>
      </c>
      <c r="H1079" s="20" t="n">
        <f aca="false">IF(G1079&gt;=1,G1079,0)</f>
        <v>0</v>
      </c>
      <c r="I1079" s="5" t="s">
        <v>774</v>
      </c>
      <c r="J1079" s="5" t="s">
        <v>1631</v>
      </c>
    </row>
    <row r="1080" customFormat="false" ht="15" hidden="false" customHeight="false" outlineLevel="0" collapsed="false">
      <c r="A1080" s="5" t="s">
        <v>227</v>
      </c>
      <c r="B1080" s="5" t="s">
        <v>169</v>
      </c>
      <c r="C1080" s="5" t="n">
        <v>22</v>
      </c>
      <c r="D1080" s="5" t="s">
        <v>1632</v>
      </c>
      <c r="E1080" s="5" t="n">
        <v>4</v>
      </c>
      <c r="F1080" s="20" t="n">
        <v>8.7927656901781</v>
      </c>
      <c r="G1080" s="20" t="n">
        <f aca="false">9-F1080</f>
        <v>0.207234309821901</v>
      </c>
      <c r="H1080" s="20" t="n">
        <f aca="false">IF(G1080&gt;=1,G1080,0)</f>
        <v>0</v>
      </c>
      <c r="I1080" s="5" t="s">
        <v>952</v>
      </c>
      <c r="J1080" s="5" t="s">
        <v>1633</v>
      </c>
    </row>
    <row r="1081" customFormat="false" ht="15" hidden="false" customHeight="false" outlineLevel="0" collapsed="false">
      <c r="A1081" s="5" t="s">
        <v>227</v>
      </c>
      <c r="B1081" s="5" t="s">
        <v>169</v>
      </c>
      <c r="C1081" s="5" t="n">
        <v>23</v>
      </c>
      <c r="D1081" s="5" t="s">
        <v>954</v>
      </c>
      <c r="E1081" s="5" t="n">
        <v>4</v>
      </c>
      <c r="F1081" s="20" t="n">
        <v>8.66</v>
      </c>
      <c r="G1081" s="20" t="n">
        <f aca="false">9-F1081</f>
        <v>0.339999999999996</v>
      </c>
      <c r="H1081" s="20" t="n">
        <f aca="false">IF(G1081&gt;=1,G1081,0)</f>
        <v>0</v>
      </c>
      <c r="I1081" s="5" t="s">
        <v>77</v>
      </c>
      <c r="J1081" s="5" t="s">
        <v>1634</v>
      </c>
    </row>
    <row r="1082" customFormat="false" ht="15" hidden="false" customHeight="false" outlineLevel="0" collapsed="false">
      <c r="A1082" s="5" t="s">
        <v>227</v>
      </c>
      <c r="B1082" s="5" t="s">
        <v>169</v>
      </c>
      <c r="C1082" s="5" t="n">
        <v>24</v>
      </c>
      <c r="D1082" s="5" t="s">
        <v>954</v>
      </c>
      <c r="E1082" s="5" t="n">
        <v>4</v>
      </c>
      <c r="F1082" s="20" t="n">
        <v>8.66</v>
      </c>
      <c r="G1082" s="20" t="n">
        <f aca="false">9-F1082</f>
        <v>0.34</v>
      </c>
      <c r="H1082" s="20" t="n">
        <f aca="false">IF(G1082&gt;=1,G1082,0)</f>
        <v>0</v>
      </c>
      <c r="I1082" s="5" t="s">
        <v>77</v>
      </c>
      <c r="J1082" s="5" t="s">
        <v>1635</v>
      </c>
    </row>
    <row r="1083" customFormat="false" ht="15" hidden="false" customHeight="false" outlineLevel="0" collapsed="false">
      <c r="A1083" s="5" t="s">
        <v>227</v>
      </c>
      <c r="B1083" s="5" t="s">
        <v>169</v>
      </c>
      <c r="C1083" s="5" t="n">
        <v>25</v>
      </c>
      <c r="D1083" s="5" t="s">
        <v>1636</v>
      </c>
      <c r="E1083" s="5" t="n">
        <v>5</v>
      </c>
      <c r="F1083" s="20" t="n">
        <v>8.76253876259541</v>
      </c>
      <c r="G1083" s="20" t="n">
        <f aca="false">9-F1083</f>
        <v>0.237461237404586</v>
      </c>
      <c r="H1083" s="20" t="n">
        <f aca="false">IF(G1083&gt;=1,G1083,0)</f>
        <v>0</v>
      </c>
      <c r="I1083" s="5" t="s">
        <v>939</v>
      </c>
      <c r="J1083" s="5" t="s">
        <v>1637</v>
      </c>
    </row>
    <row r="1084" customFormat="false" ht="15" hidden="false" customHeight="false" outlineLevel="0" collapsed="false">
      <c r="A1084" s="5" t="s">
        <v>227</v>
      </c>
      <c r="B1084" s="5" t="s">
        <v>169</v>
      </c>
      <c r="C1084" s="5" t="n">
        <v>26</v>
      </c>
      <c r="D1084" s="5" t="s">
        <v>964</v>
      </c>
      <c r="E1084" s="5" t="n">
        <v>5</v>
      </c>
      <c r="F1084" s="20" t="n">
        <v>8.77571376259542</v>
      </c>
      <c r="G1084" s="20" t="n">
        <f aca="false">9-F1084</f>
        <v>0.224286237404584</v>
      </c>
      <c r="H1084" s="20" t="n">
        <f aca="false">IF(G1084&gt;=1,G1084,0)</f>
        <v>0</v>
      </c>
      <c r="I1084" s="5" t="s">
        <v>960</v>
      </c>
      <c r="J1084" s="5" t="s">
        <v>1638</v>
      </c>
    </row>
    <row r="1085" customFormat="false" ht="15" hidden="false" customHeight="false" outlineLevel="0" collapsed="false">
      <c r="A1085" s="5" t="s">
        <v>227</v>
      </c>
      <c r="B1085" s="5" t="s">
        <v>169</v>
      </c>
      <c r="C1085" s="5" t="n">
        <v>27</v>
      </c>
      <c r="D1085" s="5" t="s">
        <v>964</v>
      </c>
      <c r="E1085" s="5" t="n">
        <v>5</v>
      </c>
      <c r="F1085" s="20" t="n">
        <v>8.77571376259542</v>
      </c>
      <c r="G1085" s="20" t="n">
        <f aca="false">9-F1085</f>
        <v>0.224286237404584</v>
      </c>
      <c r="H1085" s="20" t="n">
        <f aca="false">IF(G1085&gt;=1,G1085,0)</f>
        <v>0</v>
      </c>
      <c r="I1085" s="5" t="s">
        <v>960</v>
      </c>
      <c r="J1085" s="5" t="s">
        <v>1639</v>
      </c>
    </row>
    <row r="1086" customFormat="false" ht="15" hidden="false" customHeight="false" outlineLevel="0" collapsed="false">
      <c r="A1086" s="5" t="s">
        <v>227</v>
      </c>
      <c r="B1086" s="5" t="s">
        <v>169</v>
      </c>
      <c r="C1086" s="5" t="n">
        <v>28</v>
      </c>
      <c r="D1086" s="5" t="s">
        <v>964</v>
      </c>
      <c r="E1086" s="5" t="n">
        <v>5</v>
      </c>
      <c r="F1086" s="20" t="n">
        <v>8.77571376259541</v>
      </c>
      <c r="G1086" s="20" t="n">
        <f aca="false">9-F1086</f>
        <v>0.22428623740459</v>
      </c>
      <c r="H1086" s="20" t="n">
        <f aca="false">IF(G1086&gt;=1,G1086,0)</f>
        <v>0</v>
      </c>
      <c r="I1086" s="5" t="s">
        <v>960</v>
      </c>
      <c r="J1086" s="5" t="s">
        <v>1640</v>
      </c>
    </row>
    <row r="1087" customFormat="false" ht="15" hidden="false" customHeight="false" outlineLevel="0" collapsed="false">
      <c r="A1087" s="5" t="s">
        <v>227</v>
      </c>
      <c r="B1087" s="5" t="s">
        <v>169</v>
      </c>
      <c r="C1087" s="5" t="n">
        <v>29</v>
      </c>
      <c r="D1087" s="5" t="s">
        <v>964</v>
      </c>
      <c r="E1087" s="5" t="n">
        <v>5</v>
      </c>
      <c r="F1087" s="20" t="n">
        <v>8.77571376259541</v>
      </c>
      <c r="G1087" s="20" t="n">
        <f aca="false">9-F1087</f>
        <v>0.224286237404591</v>
      </c>
      <c r="H1087" s="20" t="n">
        <f aca="false">IF(G1087&gt;=1,G1087,0)</f>
        <v>0</v>
      </c>
      <c r="I1087" s="5" t="s">
        <v>960</v>
      </c>
      <c r="J1087" s="5" t="s">
        <v>1641</v>
      </c>
    </row>
    <row r="1088" customFormat="false" ht="15" hidden="false" customHeight="false" outlineLevel="0" collapsed="false">
      <c r="A1088" s="5" t="s">
        <v>227</v>
      </c>
      <c r="B1088" s="5" t="s">
        <v>169</v>
      </c>
      <c r="C1088" s="5" t="n">
        <v>30</v>
      </c>
      <c r="D1088" s="5" t="s">
        <v>964</v>
      </c>
      <c r="E1088" s="5" t="n">
        <v>5</v>
      </c>
      <c r="F1088" s="20" t="n">
        <v>8.77571376259541</v>
      </c>
      <c r="G1088" s="20" t="n">
        <f aca="false">9-F1088</f>
        <v>0.224286237404591</v>
      </c>
      <c r="H1088" s="20" t="n">
        <f aca="false">IF(G1088&gt;=1,G1088,0)</f>
        <v>0</v>
      </c>
      <c r="I1088" s="5" t="s">
        <v>960</v>
      </c>
      <c r="J1088" s="5" t="s">
        <v>1642</v>
      </c>
    </row>
    <row r="1089" customFormat="false" ht="15" hidden="false" customHeight="false" outlineLevel="0" collapsed="false">
      <c r="A1089" s="5" t="s">
        <v>227</v>
      </c>
      <c r="B1089" s="5" t="s">
        <v>169</v>
      </c>
      <c r="C1089" s="5" t="n">
        <v>31</v>
      </c>
      <c r="D1089" s="5" t="s">
        <v>1643</v>
      </c>
      <c r="E1089" s="5" t="n">
        <v>5</v>
      </c>
      <c r="F1089" s="20" t="n">
        <v>8.93000000000001</v>
      </c>
      <c r="G1089" s="20" t="n">
        <f aca="false">9-F1089</f>
        <v>0.0699999999999861</v>
      </c>
      <c r="H1089" s="20" t="n">
        <f aca="false">IF(G1089&gt;=1,G1089,0)</f>
        <v>0</v>
      </c>
      <c r="I1089" s="5" t="s">
        <v>952</v>
      </c>
      <c r="J1089" s="5" t="s">
        <v>1644</v>
      </c>
    </row>
    <row r="1090" customFormat="false" ht="15" hidden="false" customHeight="false" outlineLevel="0" collapsed="false">
      <c r="A1090" s="5" t="s">
        <v>227</v>
      </c>
      <c r="B1090" s="5" t="s">
        <v>169</v>
      </c>
      <c r="C1090" s="5" t="n">
        <v>32</v>
      </c>
      <c r="D1090" s="5" t="s">
        <v>1645</v>
      </c>
      <c r="E1090" s="5" t="n">
        <v>5</v>
      </c>
      <c r="F1090" s="20" t="n">
        <v>8.89870252519085</v>
      </c>
      <c r="G1090" s="20" t="n">
        <f aca="false">9-F1090</f>
        <v>0.101297474809153</v>
      </c>
      <c r="H1090" s="20" t="n">
        <f aca="false">IF(G1090&gt;=1,G1090,0)</f>
        <v>0</v>
      </c>
      <c r="I1090" s="5" t="s">
        <v>1646</v>
      </c>
      <c r="J1090" s="5" t="s">
        <v>1647</v>
      </c>
    </row>
    <row r="1091" customFormat="false" ht="15" hidden="false" customHeight="false" outlineLevel="0" collapsed="false">
      <c r="A1091" s="5" t="s">
        <v>227</v>
      </c>
      <c r="B1091" s="5" t="s">
        <v>169</v>
      </c>
      <c r="C1091" s="5" t="n">
        <v>33</v>
      </c>
      <c r="D1091" s="5" t="s">
        <v>1648</v>
      </c>
      <c r="E1091" s="5" t="n">
        <v>5</v>
      </c>
      <c r="F1091" s="20" t="n">
        <v>8.84740505038166</v>
      </c>
      <c r="G1091" s="20" t="n">
        <f aca="false">9-F1091</f>
        <v>0.15259494961834</v>
      </c>
      <c r="H1091" s="20" t="n">
        <f aca="false">IF(G1091&gt;=1,G1091,0)</f>
        <v>0</v>
      </c>
      <c r="I1091" s="5" t="s">
        <v>960</v>
      </c>
      <c r="J1091" s="5" t="s">
        <v>1649</v>
      </c>
    </row>
    <row r="1092" customFormat="false" ht="15" hidden="false" customHeight="false" outlineLevel="0" collapsed="false">
      <c r="A1092" s="5" t="s">
        <v>227</v>
      </c>
      <c r="B1092" s="5" t="s">
        <v>169</v>
      </c>
      <c r="C1092" s="5" t="n">
        <v>34</v>
      </c>
      <c r="D1092" s="5" t="s">
        <v>611</v>
      </c>
      <c r="E1092" s="5" t="n">
        <v>6</v>
      </c>
      <c r="F1092" s="20" t="n">
        <v>8.78922638854954</v>
      </c>
      <c r="G1092" s="20" t="n">
        <f aca="false">9-F1092</f>
        <v>0.21077361145046</v>
      </c>
      <c r="H1092" s="20" t="n">
        <f aca="false">IF(G1092&gt;=1,G1092,0)</f>
        <v>0</v>
      </c>
      <c r="I1092" s="5" t="s">
        <v>74</v>
      </c>
      <c r="J1092" s="5" t="s">
        <v>1650</v>
      </c>
    </row>
    <row r="1093" customFormat="false" ht="15" hidden="false" customHeight="false" outlineLevel="0" collapsed="false">
      <c r="A1093" s="5" t="s">
        <v>227</v>
      </c>
      <c r="B1093" s="5" t="s">
        <v>169</v>
      </c>
      <c r="C1093" s="5" t="n">
        <v>35</v>
      </c>
      <c r="D1093" s="5" t="s">
        <v>611</v>
      </c>
      <c r="E1093" s="5" t="n">
        <v>6</v>
      </c>
      <c r="F1093" s="20" t="n">
        <v>8.78922638854954</v>
      </c>
      <c r="G1093" s="20" t="n">
        <f aca="false">9-F1093</f>
        <v>0.21077361145046</v>
      </c>
      <c r="H1093" s="20" t="n">
        <f aca="false">IF(G1093&gt;=1,G1093,0)</f>
        <v>0</v>
      </c>
      <c r="I1093" s="5" t="s">
        <v>74</v>
      </c>
      <c r="J1093" s="5" t="s">
        <v>1651</v>
      </c>
    </row>
    <row r="1094" customFormat="false" ht="15" hidden="false" customHeight="false" outlineLevel="0" collapsed="false">
      <c r="A1094" s="5" t="s">
        <v>227</v>
      </c>
      <c r="B1094" s="5" t="s">
        <v>169</v>
      </c>
      <c r="C1094" s="5" t="n">
        <v>36</v>
      </c>
      <c r="D1094" s="5" t="s">
        <v>611</v>
      </c>
      <c r="E1094" s="5" t="n">
        <v>6</v>
      </c>
      <c r="F1094" s="20" t="n">
        <v>8.78922638854954</v>
      </c>
      <c r="G1094" s="20" t="n">
        <f aca="false">9-F1094</f>
        <v>0.21077361145046</v>
      </c>
      <c r="H1094" s="20" t="n">
        <f aca="false">IF(G1094&gt;=1,G1094,0)</f>
        <v>0</v>
      </c>
      <c r="I1094" s="5" t="s">
        <v>74</v>
      </c>
      <c r="J1094" s="5" t="s">
        <v>1652</v>
      </c>
    </row>
    <row r="1095" customFormat="false" ht="15" hidden="false" customHeight="false" outlineLevel="0" collapsed="false">
      <c r="A1095" s="5" t="s">
        <v>227</v>
      </c>
      <c r="B1095" s="5" t="s">
        <v>169</v>
      </c>
      <c r="C1095" s="5" t="n">
        <v>37</v>
      </c>
      <c r="D1095" s="5" t="s">
        <v>611</v>
      </c>
      <c r="E1095" s="5" t="n">
        <v>6</v>
      </c>
      <c r="F1095" s="20" t="n">
        <v>8.78922638854954</v>
      </c>
      <c r="G1095" s="20" t="n">
        <f aca="false">9-F1095</f>
        <v>0.21077361145046</v>
      </c>
      <c r="H1095" s="20" t="n">
        <f aca="false">IF(G1095&gt;=1,G1095,0)</f>
        <v>0</v>
      </c>
      <c r="I1095" s="5" t="s">
        <v>74</v>
      </c>
      <c r="J1095" s="5" t="s">
        <v>1653</v>
      </c>
    </row>
    <row r="1096" customFormat="false" ht="15" hidden="false" customHeight="false" outlineLevel="0" collapsed="false">
      <c r="A1096" s="5" t="s">
        <v>227</v>
      </c>
      <c r="B1096" s="5" t="s">
        <v>169</v>
      </c>
      <c r="C1096" s="5" t="n">
        <v>38</v>
      </c>
      <c r="D1096" s="5" t="s">
        <v>611</v>
      </c>
      <c r="E1096" s="5" t="n">
        <v>6</v>
      </c>
      <c r="F1096" s="20" t="n">
        <v>8.78922638854953</v>
      </c>
      <c r="G1096" s="20" t="n">
        <f aca="false">9-F1096</f>
        <v>0.21077361145047</v>
      </c>
      <c r="H1096" s="20" t="n">
        <f aca="false">IF(G1096&gt;=1,G1096,0)</f>
        <v>0</v>
      </c>
      <c r="I1096" s="5" t="s">
        <v>74</v>
      </c>
      <c r="J1096" s="5" t="s">
        <v>1654</v>
      </c>
    </row>
    <row r="1097" customFormat="false" ht="15" hidden="false" customHeight="false" outlineLevel="0" collapsed="false">
      <c r="A1097" s="5" t="s">
        <v>227</v>
      </c>
      <c r="B1097" s="5" t="s">
        <v>169</v>
      </c>
      <c r="C1097" s="5" t="n">
        <v>39</v>
      </c>
      <c r="D1097" s="5" t="s">
        <v>611</v>
      </c>
      <c r="E1097" s="5" t="n">
        <v>6</v>
      </c>
      <c r="F1097" s="20" t="n">
        <v>8.78922638854953</v>
      </c>
      <c r="G1097" s="20" t="n">
        <f aca="false">9-F1097</f>
        <v>0.210773611450474</v>
      </c>
      <c r="H1097" s="20" t="n">
        <f aca="false">IF(G1097&gt;=1,G1097,0)</f>
        <v>0</v>
      </c>
      <c r="I1097" s="5" t="s">
        <v>74</v>
      </c>
      <c r="J1097" s="5" t="s">
        <v>1655</v>
      </c>
    </row>
    <row r="1098" customFormat="false" ht="15" hidden="false" customHeight="false" outlineLevel="0" collapsed="false">
      <c r="A1098" s="5" t="s">
        <v>227</v>
      </c>
      <c r="B1098" s="5" t="s">
        <v>169</v>
      </c>
      <c r="C1098" s="5" t="n">
        <v>40</v>
      </c>
      <c r="D1098" s="5" t="s">
        <v>611</v>
      </c>
      <c r="E1098" s="5" t="n">
        <v>6</v>
      </c>
      <c r="F1098" s="20" t="n">
        <v>8.78922638854953</v>
      </c>
      <c r="G1098" s="20" t="n">
        <f aca="false">9-F1098</f>
        <v>0.210773611450474</v>
      </c>
      <c r="H1098" s="20" t="n">
        <f aca="false">IF(G1098&gt;=1,G1098,0)</f>
        <v>0</v>
      </c>
      <c r="I1098" s="5" t="s">
        <v>74</v>
      </c>
      <c r="J1098" s="5" t="s">
        <v>1656</v>
      </c>
    </row>
    <row r="1099" customFormat="false" ht="15" hidden="false" customHeight="false" outlineLevel="0" collapsed="false">
      <c r="A1099" s="5" t="s">
        <v>227</v>
      </c>
      <c r="B1099" s="5" t="s">
        <v>169</v>
      </c>
      <c r="C1099" s="5" t="n">
        <v>41</v>
      </c>
      <c r="D1099" s="5" t="s">
        <v>611</v>
      </c>
      <c r="E1099" s="5" t="n">
        <v>6</v>
      </c>
      <c r="F1099" s="20" t="n">
        <v>8.78922638854953</v>
      </c>
      <c r="G1099" s="20" t="n">
        <f aca="false">9-F1099</f>
        <v>0.210773611450474</v>
      </c>
      <c r="H1099" s="20" t="n">
        <f aca="false">IF(G1099&gt;=1,G1099,0)</f>
        <v>0</v>
      </c>
      <c r="I1099" s="5" t="s">
        <v>74</v>
      </c>
      <c r="J1099" s="5" t="s">
        <v>1657</v>
      </c>
    </row>
    <row r="1100" customFormat="false" ht="15" hidden="false" customHeight="false" outlineLevel="0" collapsed="false">
      <c r="A1100" s="5" t="s">
        <v>227</v>
      </c>
      <c r="B1100" s="5" t="s">
        <v>169</v>
      </c>
      <c r="C1100" s="5" t="n">
        <v>42</v>
      </c>
      <c r="D1100" s="5" t="s">
        <v>611</v>
      </c>
      <c r="E1100" s="5" t="n">
        <v>6</v>
      </c>
      <c r="F1100" s="20" t="n">
        <v>8.78922638854953</v>
      </c>
      <c r="G1100" s="20" t="n">
        <f aca="false">9-F1100</f>
        <v>0.210773611450474</v>
      </c>
      <c r="H1100" s="20" t="n">
        <f aca="false">IF(G1100&gt;=1,G1100,0)</f>
        <v>0</v>
      </c>
      <c r="I1100" s="5" t="s">
        <v>74</v>
      </c>
      <c r="J1100" s="5" t="s">
        <v>1658</v>
      </c>
    </row>
    <row r="1101" customFormat="false" ht="15" hidden="false" customHeight="false" outlineLevel="0" collapsed="false">
      <c r="A1101" s="5" t="s">
        <v>227</v>
      </c>
      <c r="B1101" s="5" t="s">
        <v>169</v>
      </c>
      <c r="C1101" s="5" t="n">
        <v>43</v>
      </c>
      <c r="D1101" s="5" t="s">
        <v>611</v>
      </c>
      <c r="E1101" s="5" t="n">
        <v>6</v>
      </c>
      <c r="F1101" s="20" t="n">
        <v>8.78922638854953</v>
      </c>
      <c r="G1101" s="20" t="n">
        <f aca="false">9-F1101</f>
        <v>0.210773611450474</v>
      </c>
      <c r="H1101" s="20" t="n">
        <f aca="false">IF(G1101&gt;=1,G1101,0)</f>
        <v>0</v>
      </c>
      <c r="I1101" s="5" t="s">
        <v>74</v>
      </c>
      <c r="J1101" s="5" t="s">
        <v>1659</v>
      </c>
    </row>
    <row r="1102" customFormat="false" ht="15" hidden="false" customHeight="false" outlineLevel="0" collapsed="false">
      <c r="A1102" s="5" t="s">
        <v>227</v>
      </c>
      <c r="B1102" s="5" t="s">
        <v>169</v>
      </c>
      <c r="C1102" s="5" t="n">
        <v>44</v>
      </c>
      <c r="D1102" s="5" t="s">
        <v>611</v>
      </c>
      <c r="E1102" s="5" t="n">
        <v>6</v>
      </c>
      <c r="F1102" s="20" t="n">
        <v>8.78922638854953</v>
      </c>
      <c r="G1102" s="20" t="n">
        <f aca="false">9-F1102</f>
        <v>0.210773611450474</v>
      </c>
      <c r="H1102" s="20" t="n">
        <f aca="false">IF(G1102&gt;=1,G1102,0)</f>
        <v>0</v>
      </c>
      <c r="I1102" s="5" t="s">
        <v>74</v>
      </c>
      <c r="J1102" s="5" t="s">
        <v>1660</v>
      </c>
    </row>
    <row r="1103" customFormat="false" ht="15" hidden="false" customHeight="false" outlineLevel="0" collapsed="false">
      <c r="A1103" s="5" t="s">
        <v>227</v>
      </c>
      <c r="B1103" s="5" t="s">
        <v>169</v>
      </c>
      <c r="C1103" s="5" t="n">
        <v>45</v>
      </c>
      <c r="D1103" s="5" t="s">
        <v>611</v>
      </c>
      <c r="E1103" s="5" t="n">
        <v>6</v>
      </c>
      <c r="F1103" s="20" t="n">
        <v>8.78922638854953</v>
      </c>
      <c r="G1103" s="20" t="n">
        <f aca="false">9-F1103</f>
        <v>0.210773611450474</v>
      </c>
      <c r="H1103" s="20" t="n">
        <f aca="false">IF(G1103&gt;=1,G1103,0)</f>
        <v>0</v>
      </c>
      <c r="I1103" s="5" t="s">
        <v>74</v>
      </c>
      <c r="J1103" s="5" t="s">
        <v>1661</v>
      </c>
    </row>
    <row r="1104" customFormat="false" ht="15" hidden="false" customHeight="false" outlineLevel="0" collapsed="false">
      <c r="A1104" s="5" t="s">
        <v>227</v>
      </c>
      <c r="B1104" s="5" t="s">
        <v>169</v>
      </c>
      <c r="C1104" s="5" t="n">
        <v>46</v>
      </c>
      <c r="D1104" s="5" t="s">
        <v>611</v>
      </c>
      <c r="E1104" s="5" t="n">
        <v>6</v>
      </c>
      <c r="F1104" s="20" t="n">
        <v>8.78922638854953</v>
      </c>
      <c r="G1104" s="20" t="n">
        <f aca="false">9-F1104</f>
        <v>0.210773611450474</v>
      </c>
      <c r="H1104" s="20" t="n">
        <f aca="false">IF(G1104&gt;=1,G1104,0)</f>
        <v>0</v>
      </c>
      <c r="I1104" s="5" t="s">
        <v>74</v>
      </c>
      <c r="J1104" s="5" t="s">
        <v>1662</v>
      </c>
    </row>
    <row r="1105" customFormat="false" ht="15" hidden="false" customHeight="false" outlineLevel="0" collapsed="false">
      <c r="A1105" s="5" t="s">
        <v>227</v>
      </c>
      <c r="B1105" s="5" t="s">
        <v>169</v>
      </c>
      <c r="C1105" s="5" t="n">
        <v>47</v>
      </c>
      <c r="D1105" s="5" t="s">
        <v>611</v>
      </c>
      <c r="E1105" s="5" t="n">
        <v>6</v>
      </c>
      <c r="F1105" s="20" t="n">
        <v>8.78922638854952</v>
      </c>
      <c r="G1105" s="20" t="n">
        <f aca="false">9-F1105</f>
        <v>0.210773611450479</v>
      </c>
      <c r="H1105" s="20" t="n">
        <f aca="false">IF(G1105&gt;=1,G1105,0)</f>
        <v>0</v>
      </c>
      <c r="I1105" s="5" t="s">
        <v>74</v>
      </c>
      <c r="J1105" s="5" t="s">
        <v>1663</v>
      </c>
    </row>
    <row r="1106" customFormat="false" ht="15" hidden="false" customHeight="false" outlineLevel="0" collapsed="false">
      <c r="A1106" s="5" t="s">
        <v>227</v>
      </c>
      <c r="B1106" s="5" t="s">
        <v>169</v>
      </c>
      <c r="C1106" s="5" t="n">
        <v>48</v>
      </c>
      <c r="D1106" s="5" t="s">
        <v>611</v>
      </c>
      <c r="E1106" s="5" t="n">
        <v>6</v>
      </c>
      <c r="F1106" s="20" t="n">
        <v>8.78922638854952</v>
      </c>
      <c r="G1106" s="20" t="n">
        <f aca="false">9-F1106</f>
        <v>0.210773611450483</v>
      </c>
      <c r="H1106" s="20" t="n">
        <f aca="false">IF(G1106&gt;=1,G1106,0)</f>
        <v>0</v>
      </c>
      <c r="I1106" s="5" t="s">
        <v>74</v>
      </c>
      <c r="J1106" s="5" t="s">
        <v>1664</v>
      </c>
    </row>
    <row r="1107" customFormat="false" ht="15" hidden="false" customHeight="false" outlineLevel="0" collapsed="false">
      <c r="A1107" s="5" t="s">
        <v>227</v>
      </c>
      <c r="B1107" s="5" t="s">
        <v>169</v>
      </c>
      <c r="C1107" s="5" t="n">
        <v>49</v>
      </c>
      <c r="D1107" s="5" t="s">
        <v>611</v>
      </c>
      <c r="E1107" s="5" t="n">
        <v>6</v>
      </c>
      <c r="F1107" s="20" t="n">
        <v>8.78922638854952</v>
      </c>
      <c r="G1107" s="20" t="n">
        <f aca="false">9-F1107</f>
        <v>0.210773611450483</v>
      </c>
      <c r="H1107" s="20" t="n">
        <f aca="false">IF(G1107&gt;=1,G1107,0)</f>
        <v>0</v>
      </c>
      <c r="I1107" s="5" t="s">
        <v>74</v>
      </c>
      <c r="J1107" s="5" t="s">
        <v>1665</v>
      </c>
    </row>
    <row r="1108" customFormat="false" ht="15" hidden="false" customHeight="false" outlineLevel="0" collapsed="false">
      <c r="A1108" s="5" t="s">
        <v>227</v>
      </c>
      <c r="B1108" s="5" t="s">
        <v>169</v>
      </c>
      <c r="C1108" s="5" t="n">
        <v>50</v>
      </c>
      <c r="D1108" s="5" t="s">
        <v>611</v>
      </c>
      <c r="E1108" s="5" t="n">
        <v>6</v>
      </c>
      <c r="F1108" s="20" t="n">
        <v>8.78922638854952</v>
      </c>
      <c r="G1108" s="20" t="n">
        <f aca="false">9-F1108</f>
        <v>0.210773611450483</v>
      </c>
      <c r="H1108" s="20" t="n">
        <f aca="false">IF(G1108&gt;=1,G1108,0)</f>
        <v>0</v>
      </c>
      <c r="I1108" s="5" t="s">
        <v>74</v>
      </c>
      <c r="J1108" s="5" t="s">
        <v>1666</v>
      </c>
    </row>
    <row r="1109" customFormat="false" ht="15" hidden="false" customHeight="false" outlineLevel="0" collapsed="false">
      <c r="A1109" s="5" t="s">
        <v>227</v>
      </c>
      <c r="B1109" s="5" t="s">
        <v>169</v>
      </c>
      <c r="C1109" s="5" t="n">
        <v>51</v>
      </c>
      <c r="D1109" s="5" t="s">
        <v>611</v>
      </c>
      <c r="E1109" s="5" t="n">
        <v>6</v>
      </c>
      <c r="F1109" s="20" t="n">
        <v>8.78922638854952</v>
      </c>
      <c r="G1109" s="20" t="n">
        <f aca="false">9-F1109</f>
        <v>0.210773611450483</v>
      </c>
      <c r="H1109" s="20" t="n">
        <f aca="false">IF(G1109&gt;=1,G1109,0)</f>
        <v>0</v>
      </c>
      <c r="I1109" s="5" t="s">
        <v>74</v>
      </c>
      <c r="J1109" s="5" t="s">
        <v>1667</v>
      </c>
    </row>
    <row r="1110" customFormat="false" ht="15" hidden="false" customHeight="false" outlineLevel="0" collapsed="false">
      <c r="A1110" s="5" t="s">
        <v>227</v>
      </c>
      <c r="B1110" s="5" t="s">
        <v>169</v>
      </c>
      <c r="C1110" s="5" t="n">
        <v>52</v>
      </c>
      <c r="D1110" s="5" t="s">
        <v>611</v>
      </c>
      <c r="E1110" s="5" t="n">
        <v>6</v>
      </c>
      <c r="F1110" s="20" t="n">
        <v>8.78922638854952</v>
      </c>
      <c r="G1110" s="20" t="n">
        <f aca="false">9-F1110</f>
        <v>0.210773611450483</v>
      </c>
      <c r="H1110" s="20" t="n">
        <f aca="false">IF(G1110&gt;=1,G1110,0)</f>
        <v>0</v>
      </c>
      <c r="I1110" s="5" t="s">
        <v>74</v>
      </c>
      <c r="J1110" s="5" t="s">
        <v>1668</v>
      </c>
    </row>
    <row r="1111" customFormat="false" ht="15" hidden="false" customHeight="false" outlineLevel="0" collapsed="false">
      <c r="A1111" s="5" t="s">
        <v>227</v>
      </c>
      <c r="B1111" s="5" t="s">
        <v>169</v>
      </c>
      <c r="C1111" s="5" t="n">
        <v>53</v>
      </c>
      <c r="D1111" s="5" t="s">
        <v>611</v>
      </c>
      <c r="E1111" s="5" t="n">
        <v>6</v>
      </c>
      <c r="F1111" s="20" t="n">
        <v>8.78922638854952</v>
      </c>
      <c r="G1111" s="20" t="n">
        <f aca="false">9-F1111</f>
        <v>0.210773611450483</v>
      </c>
      <c r="H1111" s="20" t="n">
        <f aca="false">IF(G1111&gt;=1,G1111,0)</f>
        <v>0</v>
      </c>
      <c r="I1111" s="5" t="s">
        <v>74</v>
      </c>
      <c r="J1111" s="5" t="s">
        <v>1669</v>
      </c>
    </row>
    <row r="1112" customFormat="false" ht="15" hidden="false" customHeight="false" outlineLevel="0" collapsed="false">
      <c r="A1112" s="5" t="s">
        <v>227</v>
      </c>
      <c r="B1112" s="5" t="s">
        <v>169</v>
      </c>
      <c r="C1112" s="5" t="n">
        <v>54</v>
      </c>
      <c r="D1112" s="5" t="s">
        <v>611</v>
      </c>
      <c r="E1112" s="5" t="n">
        <v>6</v>
      </c>
      <c r="F1112" s="20" t="n">
        <v>8.78922638854952</v>
      </c>
      <c r="G1112" s="20" t="n">
        <f aca="false">9-F1112</f>
        <v>0.210773611450483</v>
      </c>
      <c r="H1112" s="20" t="n">
        <f aca="false">IF(G1112&gt;=1,G1112,0)</f>
        <v>0</v>
      </c>
      <c r="I1112" s="5" t="s">
        <v>74</v>
      </c>
      <c r="J1112" s="5" t="s">
        <v>1670</v>
      </c>
    </row>
    <row r="1113" customFormat="false" ht="15" hidden="false" customHeight="false" outlineLevel="0" collapsed="false">
      <c r="A1113" s="5" t="s">
        <v>227</v>
      </c>
      <c r="B1113" s="5" t="s">
        <v>169</v>
      </c>
      <c r="C1113" s="5" t="n">
        <v>55</v>
      </c>
      <c r="D1113" s="5" t="s">
        <v>611</v>
      </c>
      <c r="E1113" s="5" t="n">
        <v>6</v>
      </c>
      <c r="F1113" s="20" t="n">
        <v>8.78922638854952</v>
      </c>
      <c r="G1113" s="20" t="n">
        <f aca="false">9-F1113</f>
        <v>0.210773611450483</v>
      </c>
      <c r="H1113" s="20" t="n">
        <f aca="false">IF(G1113&gt;=1,G1113,0)</f>
        <v>0</v>
      </c>
      <c r="I1113" s="5" t="s">
        <v>74</v>
      </c>
      <c r="J1113" s="5" t="s">
        <v>1671</v>
      </c>
    </row>
    <row r="1114" customFormat="false" ht="15" hidden="false" customHeight="false" outlineLevel="0" collapsed="false">
      <c r="A1114" s="5" t="s">
        <v>227</v>
      </c>
      <c r="B1114" s="5" t="s">
        <v>169</v>
      </c>
      <c r="C1114" s="5" t="n">
        <v>56</v>
      </c>
      <c r="D1114" s="5" t="s">
        <v>611</v>
      </c>
      <c r="E1114" s="5" t="n">
        <v>6</v>
      </c>
      <c r="F1114" s="20" t="n">
        <v>8.78922638854952</v>
      </c>
      <c r="G1114" s="20" t="n">
        <f aca="false">9-F1114</f>
        <v>0.210773611450485</v>
      </c>
      <c r="H1114" s="20" t="n">
        <f aca="false">IF(G1114&gt;=1,G1114,0)</f>
        <v>0</v>
      </c>
      <c r="I1114" s="5" t="s">
        <v>74</v>
      </c>
      <c r="J1114" s="5" t="s">
        <v>1672</v>
      </c>
    </row>
    <row r="1115" customFormat="false" ht="15" hidden="false" customHeight="false" outlineLevel="0" collapsed="false">
      <c r="A1115" s="5" t="s">
        <v>227</v>
      </c>
      <c r="B1115" s="5" t="s">
        <v>169</v>
      </c>
      <c r="C1115" s="5" t="n">
        <v>57</v>
      </c>
      <c r="D1115" s="5" t="s">
        <v>611</v>
      </c>
      <c r="E1115" s="5" t="n">
        <v>6</v>
      </c>
      <c r="F1115" s="20" t="n">
        <v>8.78922638854951</v>
      </c>
      <c r="G1115" s="20" t="n">
        <f aca="false">9-F1115</f>
        <v>0.210773611450486</v>
      </c>
      <c r="H1115" s="20" t="n">
        <f aca="false">IF(G1115&gt;=1,G1115,0)</f>
        <v>0</v>
      </c>
      <c r="I1115" s="5" t="s">
        <v>74</v>
      </c>
      <c r="J1115" s="5" t="s">
        <v>1673</v>
      </c>
    </row>
    <row r="1116" customFormat="false" ht="15" hidden="false" customHeight="false" outlineLevel="0" collapsed="false">
      <c r="A1116" s="5" t="s">
        <v>227</v>
      </c>
      <c r="B1116" s="5" t="s">
        <v>169</v>
      </c>
      <c r="C1116" s="5" t="n">
        <v>58</v>
      </c>
      <c r="D1116" s="5" t="s">
        <v>611</v>
      </c>
      <c r="E1116" s="5" t="n">
        <v>6</v>
      </c>
      <c r="F1116" s="20" t="n">
        <v>8.78922638854951</v>
      </c>
      <c r="G1116" s="20" t="n">
        <f aca="false">9-F1116</f>
        <v>0.210773611450486</v>
      </c>
      <c r="H1116" s="20" t="n">
        <f aca="false">IF(G1116&gt;=1,G1116,0)</f>
        <v>0</v>
      </c>
      <c r="I1116" s="5" t="s">
        <v>74</v>
      </c>
      <c r="J1116" s="5" t="s">
        <v>1674</v>
      </c>
    </row>
    <row r="1117" customFormat="false" ht="15" hidden="false" customHeight="false" outlineLevel="0" collapsed="false">
      <c r="A1117" s="5" t="s">
        <v>227</v>
      </c>
      <c r="B1117" s="5" t="s">
        <v>169</v>
      </c>
      <c r="C1117" s="5" t="n">
        <v>59</v>
      </c>
      <c r="D1117" s="5" t="s">
        <v>611</v>
      </c>
      <c r="E1117" s="5" t="n">
        <v>6</v>
      </c>
      <c r="F1117" s="20" t="n">
        <v>8.78922638854951</v>
      </c>
      <c r="G1117" s="20" t="n">
        <f aca="false">9-F1117</f>
        <v>0.210773611450486</v>
      </c>
      <c r="H1117" s="20" t="n">
        <f aca="false">IF(G1117&gt;=1,G1117,0)</f>
        <v>0</v>
      </c>
      <c r="I1117" s="5" t="s">
        <v>74</v>
      </c>
      <c r="J1117" s="5" t="s">
        <v>1675</v>
      </c>
    </row>
    <row r="1118" customFormat="false" ht="15" hidden="false" customHeight="false" outlineLevel="0" collapsed="false">
      <c r="A1118" s="5" t="s">
        <v>227</v>
      </c>
      <c r="B1118" s="5" t="s">
        <v>169</v>
      </c>
      <c r="C1118" s="5" t="n">
        <v>60</v>
      </c>
      <c r="D1118" s="5" t="s">
        <v>611</v>
      </c>
      <c r="E1118" s="5" t="n">
        <v>6</v>
      </c>
      <c r="F1118" s="20" t="n">
        <v>8.78922638854951</v>
      </c>
      <c r="G1118" s="20" t="n">
        <f aca="false">9-F1118</f>
        <v>0.210773611450486</v>
      </c>
      <c r="H1118" s="20" t="n">
        <f aca="false">IF(G1118&gt;=1,G1118,0)</f>
        <v>0</v>
      </c>
      <c r="I1118" s="5" t="s">
        <v>74</v>
      </c>
      <c r="J1118" s="5" t="s">
        <v>1676</v>
      </c>
    </row>
    <row r="1119" customFormat="false" ht="15" hidden="false" customHeight="false" outlineLevel="0" collapsed="false">
      <c r="A1119" s="5" t="s">
        <v>227</v>
      </c>
      <c r="B1119" s="5" t="s">
        <v>169</v>
      </c>
      <c r="C1119" s="5" t="n">
        <v>61</v>
      </c>
      <c r="D1119" s="5" t="s">
        <v>611</v>
      </c>
      <c r="E1119" s="5" t="n">
        <v>6</v>
      </c>
      <c r="F1119" s="20" t="n">
        <v>8.78922638854951</v>
      </c>
      <c r="G1119" s="20" t="n">
        <f aca="false">9-F1119</f>
        <v>0.210773611450493</v>
      </c>
      <c r="H1119" s="20" t="n">
        <f aca="false">IF(G1119&gt;=1,G1119,0)</f>
        <v>0</v>
      </c>
      <c r="I1119" s="5" t="s">
        <v>74</v>
      </c>
      <c r="J1119" s="5" t="s">
        <v>1677</v>
      </c>
    </row>
    <row r="1120" customFormat="false" ht="15" hidden="false" customHeight="false" outlineLevel="0" collapsed="false">
      <c r="A1120" s="5" t="s">
        <v>227</v>
      </c>
      <c r="B1120" s="5" t="s">
        <v>169</v>
      </c>
      <c r="C1120" s="5" t="n">
        <v>62</v>
      </c>
      <c r="D1120" s="5" t="s">
        <v>611</v>
      </c>
      <c r="E1120" s="5" t="n">
        <v>6</v>
      </c>
      <c r="F1120" s="20" t="n">
        <v>8.78922638854951</v>
      </c>
      <c r="G1120" s="20" t="n">
        <f aca="false">9-F1120</f>
        <v>0.210773611450495</v>
      </c>
      <c r="H1120" s="20" t="n">
        <f aca="false">IF(G1120&gt;=1,G1120,0)</f>
        <v>0</v>
      </c>
      <c r="I1120" s="5" t="s">
        <v>74</v>
      </c>
      <c r="J1120" s="5" t="s">
        <v>1678</v>
      </c>
    </row>
    <row r="1121" customFormat="false" ht="15" hidden="false" customHeight="false" outlineLevel="0" collapsed="false">
      <c r="A1121" s="5" t="s">
        <v>227</v>
      </c>
      <c r="B1121" s="5" t="s">
        <v>169</v>
      </c>
      <c r="C1121" s="5" t="n">
        <v>63</v>
      </c>
      <c r="D1121" s="5" t="s">
        <v>611</v>
      </c>
      <c r="E1121" s="5" t="n">
        <v>6</v>
      </c>
      <c r="F1121" s="20" t="n">
        <v>8.78922638854951</v>
      </c>
      <c r="G1121" s="20" t="n">
        <f aca="false">9-F1121</f>
        <v>0.210773611450495</v>
      </c>
      <c r="H1121" s="20" t="n">
        <f aca="false">IF(G1121&gt;=1,G1121,0)</f>
        <v>0</v>
      </c>
      <c r="I1121" s="5" t="s">
        <v>74</v>
      </c>
      <c r="J1121" s="5" t="s">
        <v>1679</v>
      </c>
    </row>
    <row r="1122" customFormat="false" ht="15" hidden="false" customHeight="false" outlineLevel="0" collapsed="false">
      <c r="A1122" s="5" t="s">
        <v>227</v>
      </c>
      <c r="B1122" s="5" t="s">
        <v>169</v>
      </c>
      <c r="C1122" s="5" t="n">
        <v>64</v>
      </c>
      <c r="D1122" s="5" t="s">
        <v>611</v>
      </c>
      <c r="E1122" s="5" t="n">
        <v>6</v>
      </c>
      <c r="F1122" s="20" t="n">
        <v>8.78922638854951</v>
      </c>
      <c r="G1122" s="20" t="n">
        <f aca="false">9-F1122</f>
        <v>0.210773611450495</v>
      </c>
      <c r="H1122" s="20" t="n">
        <f aca="false">IF(G1122&gt;=1,G1122,0)</f>
        <v>0</v>
      </c>
      <c r="I1122" s="5" t="s">
        <v>74</v>
      </c>
      <c r="J1122" s="5" t="s">
        <v>1680</v>
      </c>
    </row>
    <row r="1123" customFormat="false" ht="15" hidden="false" customHeight="false" outlineLevel="0" collapsed="false">
      <c r="A1123" s="5" t="s">
        <v>227</v>
      </c>
      <c r="B1123" s="5" t="s">
        <v>169</v>
      </c>
      <c r="C1123" s="5" t="n">
        <v>65</v>
      </c>
      <c r="D1123" s="5" t="s">
        <v>611</v>
      </c>
      <c r="E1123" s="5" t="n">
        <v>6</v>
      </c>
      <c r="F1123" s="20" t="n">
        <v>8.78922638854951</v>
      </c>
      <c r="G1123" s="20" t="n">
        <f aca="false">9-F1123</f>
        <v>0.210773611450495</v>
      </c>
      <c r="H1123" s="20" t="n">
        <f aca="false">IF(G1123&gt;=1,G1123,0)</f>
        <v>0</v>
      </c>
      <c r="I1123" s="5" t="s">
        <v>74</v>
      </c>
      <c r="J1123" s="5" t="s">
        <v>1681</v>
      </c>
    </row>
    <row r="1124" customFormat="false" ht="15" hidden="false" customHeight="false" outlineLevel="0" collapsed="false">
      <c r="A1124" s="5" t="s">
        <v>227</v>
      </c>
      <c r="B1124" s="5" t="s">
        <v>169</v>
      </c>
      <c r="C1124" s="5" t="n">
        <v>66</v>
      </c>
      <c r="D1124" s="5" t="s">
        <v>611</v>
      </c>
      <c r="E1124" s="5" t="n">
        <v>6</v>
      </c>
      <c r="F1124" s="20" t="n">
        <v>8.78922638854951</v>
      </c>
      <c r="G1124" s="20" t="n">
        <f aca="false">9-F1124</f>
        <v>0.210773611450495</v>
      </c>
      <c r="H1124" s="20" t="n">
        <f aca="false">IF(G1124&gt;=1,G1124,0)</f>
        <v>0</v>
      </c>
      <c r="I1124" s="5" t="s">
        <v>74</v>
      </c>
      <c r="J1124" s="5" t="s">
        <v>1682</v>
      </c>
    </row>
    <row r="1125" customFormat="false" ht="15" hidden="false" customHeight="false" outlineLevel="0" collapsed="false">
      <c r="A1125" s="5" t="s">
        <v>227</v>
      </c>
      <c r="B1125" s="5" t="s">
        <v>169</v>
      </c>
      <c r="C1125" s="5" t="n">
        <v>67</v>
      </c>
      <c r="D1125" s="5" t="s">
        <v>611</v>
      </c>
      <c r="E1125" s="5" t="n">
        <v>6</v>
      </c>
      <c r="F1125" s="20" t="n">
        <v>8.78922638854951</v>
      </c>
      <c r="G1125" s="20" t="n">
        <f aca="false">9-F1125</f>
        <v>0.210773611450495</v>
      </c>
      <c r="H1125" s="20" t="n">
        <f aca="false">IF(G1125&gt;=1,G1125,0)</f>
        <v>0</v>
      </c>
      <c r="I1125" s="5" t="s">
        <v>74</v>
      </c>
      <c r="J1125" s="5" t="s">
        <v>1683</v>
      </c>
    </row>
    <row r="1126" customFormat="false" ht="15" hidden="false" customHeight="false" outlineLevel="0" collapsed="false">
      <c r="A1126" s="5" t="s">
        <v>227</v>
      </c>
      <c r="B1126" s="5" t="s">
        <v>169</v>
      </c>
      <c r="C1126" s="5" t="n">
        <v>68</v>
      </c>
      <c r="D1126" s="5" t="s">
        <v>611</v>
      </c>
      <c r="E1126" s="5" t="n">
        <v>6</v>
      </c>
      <c r="F1126" s="20" t="n">
        <v>8.7892263885495</v>
      </c>
      <c r="G1126" s="20" t="n">
        <f aca="false">9-F1126</f>
        <v>0.210773611450497</v>
      </c>
      <c r="H1126" s="20" t="n">
        <f aca="false">IF(G1126&gt;=1,G1126,0)</f>
        <v>0</v>
      </c>
      <c r="I1126" s="5" t="s">
        <v>74</v>
      </c>
      <c r="J1126" s="5" t="s">
        <v>1684</v>
      </c>
    </row>
    <row r="1127" customFormat="false" ht="15" hidden="false" customHeight="false" outlineLevel="0" collapsed="false">
      <c r="A1127" s="5" t="s">
        <v>227</v>
      </c>
      <c r="B1127" s="5" t="s">
        <v>169</v>
      </c>
      <c r="C1127" s="5" t="n">
        <v>69</v>
      </c>
      <c r="D1127" s="5" t="s">
        <v>611</v>
      </c>
      <c r="E1127" s="5" t="n">
        <v>6</v>
      </c>
      <c r="F1127" s="20" t="n">
        <v>8.7892263885495</v>
      </c>
      <c r="G1127" s="20" t="n">
        <f aca="false">9-F1127</f>
        <v>0.210773611450499</v>
      </c>
      <c r="H1127" s="20" t="n">
        <f aca="false">IF(G1127&gt;=1,G1127,0)</f>
        <v>0</v>
      </c>
      <c r="I1127" s="5" t="s">
        <v>74</v>
      </c>
      <c r="J1127" s="5" t="s">
        <v>1685</v>
      </c>
    </row>
    <row r="1128" customFormat="false" ht="15" hidden="false" customHeight="false" outlineLevel="0" collapsed="false">
      <c r="A1128" s="5" t="s">
        <v>227</v>
      </c>
      <c r="B1128" s="5" t="s">
        <v>169</v>
      </c>
      <c r="C1128" s="5" t="n">
        <v>70</v>
      </c>
      <c r="D1128" s="5" t="s">
        <v>611</v>
      </c>
      <c r="E1128" s="5" t="n">
        <v>6</v>
      </c>
      <c r="F1128" s="20" t="n">
        <v>8.7892263885495</v>
      </c>
      <c r="G1128" s="20" t="n">
        <f aca="false">9-F1128</f>
        <v>0.210773611450502</v>
      </c>
      <c r="H1128" s="20" t="n">
        <f aca="false">IF(G1128&gt;=1,G1128,0)</f>
        <v>0</v>
      </c>
      <c r="I1128" s="5" t="s">
        <v>74</v>
      </c>
      <c r="J1128" s="5" t="s">
        <v>1686</v>
      </c>
    </row>
    <row r="1129" customFormat="false" ht="15" hidden="false" customHeight="false" outlineLevel="0" collapsed="false">
      <c r="A1129" s="5" t="s">
        <v>227</v>
      </c>
      <c r="B1129" s="5" t="s">
        <v>169</v>
      </c>
      <c r="C1129" s="5" t="n">
        <v>71</v>
      </c>
      <c r="D1129" s="5" t="s">
        <v>611</v>
      </c>
      <c r="E1129" s="5" t="n">
        <v>6</v>
      </c>
      <c r="F1129" s="20" t="n">
        <v>8.7892263885495</v>
      </c>
      <c r="G1129" s="20" t="n">
        <f aca="false">9-F1129</f>
        <v>0.210773611450504</v>
      </c>
      <c r="H1129" s="20" t="n">
        <f aca="false">IF(G1129&gt;=1,G1129,0)</f>
        <v>0</v>
      </c>
      <c r="I1129" s="5" t="s">
        <v>74</v>
      </c>
      <c r="J1129" s="5" t="s">
        <v>1687</v>
      </c>
    </row>
    <row r="1130" customFormat="false" ht="15" hidden="false" customHeight="false" outlineLevel="0" collapsed="false">
      <c r="A1130" s="5" t="s">
        <v>227</v>
      </c>
      <c r="B1130" s="5" t="s">
        <v>169</v>
      </c>
      <c r="C1130" s="5" t="n">
        <v>72</v>
      </c>
      <c r="D1130" s="5" t="s">
        <v>611</v>
      </c>
      <c r="E1130" s="5" t="n">
        <v>6</v>
      </c>
      <c r="F1130" s="20" t="n">
        <v>8.7892263885495</v>
      </c>
      <c r="G1130" s="20" t="n">
        <f aca="false">9-F1130</f>
        <v>0.210773611450504</v>
      </c>
      <c r="H1130" s="20" t="n">
        <f aca="false">IF(G1130&gt;=1,G1130,0)</f>
        <v>0</v>
      </c>
      <c r="I1130" s="5" t="s">
        <v>74</v>
      </c>
      <c r="J1130" s="5" t="s">
        <v>1688</v>
      </c>
    </row>
    <row r="1131" customFormat="false" ht="15" hidden="false" customHeight="false" outlineLevel="0" collapsed="false">
      <c r="A1131" s="5" t="s">
        <v>227</v>
      </c>
      <c r="B1131" s="5" t="s">
        <v>169</v>
      </c>
      <c r="C1131" s="5" t="n">
        <v>73</v>
      </c>
      <c r="D1131" s="5" t="s">
        <v>611</v>
      </c>
      <c r="E1131" s="5" t="n">
        <v>6</v>
      </c>
      <c r="F1131" s="20" t="n">
        <v>8.7892263885495</v>
      </c>
      <c r="G1131" s="20" t="n">
        <f aca="false">9-F1131</f>
        <v>0.210773611450504</v>
      </c>
      <c r="H1131" s="20" t="n">
        <f aca="false">IF(G1131&gt;=1,G1131,0)</f>
        <v>0</v>
      </c>
      <c r="I1131" s="5" t="s">
        <v>74</v>
      </c>
      <c r="J1131" s="5" t="s">
        <v>1689</v>
      </c>
    </row>
    <row r="1132" customFormat="false" ht="15" hidden="false" customHeight="false" outlineLevel="0" collapsed="false">
      <c r="A1132" s="5" t="s">
        <v>227</v>
      </c>
      <c r="B1132" s="5" t="s">
        <v>169</v>
      </c>
      <c r="C1132" s="5" t="n">
        <v>74</v>
      </c>
      <c r="D1132" s="5" t="s">
        <v>611</v>
      </c>
      <c r="E1132" s="5" t="n">
        <v>6</v>
      </c>
      <c r="F1132" s="20" t="n">
        <v>8.7892263885495</v>
      </c>
      <c r="G1132" s="20" t="n">
        <f aca="false">9-F1132</f>
        <v>0.210773611450504</v>
      </c>
      <c r="H1132" s="20" t="n">
        <f aca="false">IF(G1132&gt;=1,G1132,0)</f>
        <v>0</v>
      </c>
      <c r="I1132" s="5" t="s">
        <v>74</v>
      </c>
      <c r="J1132" s="5" t="s">
        <v>1690</v>
      </c>
    </row>
    <row r="1133" customFormat="false" ht="15" hidden="false" customHeight="false" outlineLevel="0" collapsed="false">
      <c r="A1133" s="5" t="s">
        <v>227</v>
      </c>
      <c r="B1133" s="5" t="s">
        <v>169</v>
      </c>
      <c r="C1133" s="5" t="n">
        <v>75</v>
      </c>
      <c r="D1133" s="5" t="s">
        <v>611</v>
      </c>
      <c r="E1133" s="5" t="n">
        <v>6</v>
      </c>
      <c r="F1133" s="20" t="n">
        <v>8.7892263885495</v>
      </c>
      <c r="G1133" s="20" t="n">
        <f aca="false">9-F1133</f>
        <v>0.210773611450504</v>
      </c>
      <c r="H1133" s="20" t="n">
        <f aca="false">IF(G1133&gt;=1,G1133,0)</f>
        <v>0</v>
      </c>
      <c r="I1133" s="5" t="s">
        <v>74</v>
      </c>
      <c r="J1133" s="5" t="s">
        <v>1691</v>
      </c>
    </row>
    <row r="1134" customFormat="false" ht="15" hidden="false" customHeight="false" outlineLevel="0" collapsed="false">
      <c r="A1134" s="5" t="s">
        <v>227</v>
      </c>
      <c r="B1134" s="5" t="s">
        <v>169</v>
      </c>
      <c r="C1134" s="5" t="n">
        <v>76</v>
      </c>
      <c r="D1134" s="5" t="s">
        <v>611</v>
      </c>
      <c r="E1134" s="5" t="n">
        <v>6</v>
      </c>
      <c r="F1134" s="20" t="n">
        <v>8.7892263885495</v>
      </c>
      <c r="G1134" s="20" t="n">
        <f aca="false">9-F1134</f>
        <v>0.210773611450504</v>
      </c>
      <c r="H1134" s="20" t="n">
        <f aca="false">IF(G1134&gt;=1,G1134,0)</f>
        <v>0</v>
      </c>
      <c r="I1134" s="5" t="s">
        <v>74</v>
      </c>
      <c r="J1134" s="5" t="s">
        <v>1692</v>
      </c>
    </row>
    <row r="1135" customFormat="false" ht="15" hidden="false" customHeight="false" outlineLevel="0" collapsed="false">
      <c r="A1135" s="5" t="s">
        <v>227</v>
      </c>
      <c r="B1135" s="5" t="s">
        <v>169</v>
      </c>
      <c r="C1135" s="5" t="n">
        <v>77</v>
      </c>
      <c r="D1135" s="5" t="s">
        <v>611</v>
      </c>
      <c r="E1135" s="5" t="n">
        <v>6</v>
      </c>
      <c r="F1135" s="20" t="n">
        <v>8.7892263885495</v>
      </c>
      <c r="G1135" s="20" t="n">
        <f aca="false">9-F1135</f>
        <v>0.210773611450504</v>
      </c>
      <c r="H1135" s="20" t="n">
        <f aca="false">IF(G1135&gt;=1,G1135,0)</f>
        <v>0</v>
      </c>
      <c r="I1135" s="5" t="s">
        <v>74</v>
      </c>
      <c r="J1135" s="5" t="s">
        <v>1693</v>
      </c>
    </row>
    <row r="1136" customFormat="false" ht="15" hidden="false" customHeight="false" outlineLevel="0" collapsed="false">
      <c r="A1136" s="5" t="s">
        <v>227</v>
      </c>
      <c r="B1136" s="5" t="s">
        <v>169</v>
      </c>
      <c r="C1136" s="5" t="n">
        <v>78</v>
      </c>
      <c r="D1136" s="5" t="s">
        <v>611</v>
      </c>
      <c r="E1136" s="5" t="n">
        <v>6</v>
      </c>
      <c r="F1136" s="20" t="n">
        <v>8.7892263885495</v>
      </c>
      <c r="G1136" s="20" t="n">
        <f aca="false">9-F1136</f>
        <v>0.210773611450504</v>
      </c>
      <c r="H1136" s="20" t="n">
        <f aca="false">IF(G1136&gt;=1,G1136,0)</f>
        <v>0</v>
      </c>
      <c r="I1136" s="5" t="s">
        <v>74</v>
      </c>
      <c r="J1136" s="5" t="s">
        <v>1694</v>
      </c>
    </row>
    <row r="1137" customFormat="false" ht="15" hidden="false" customHeight="false" outlineLevel="0" collapsed="false">
      <c r="A1137" s="5" t="s">
        <v>227</v>
      </c>
      <c r="B1137" s="5" t="s">
        <v>169</v>
      </c>
      <c r="C1137" s="5" t="n">
        <v>79</v>
      </c>
      <c r="D1137" s="5" t="s">
        <v>611</v>
      </c>
      <c r="E1137" s="5" t="n">
        <v>6</v>
      </c>
      <c r="F1137" s="20" t="n">
        <v>8.78922638854949</v>
      </c>
      <c r="G1137" s="20" t="n">
        <f aca="false">9-F1137</f>
        <v>0.210773611450506</v>
      </c>
      <c r="H1137" s="20" t="n">
        <f aca="false">IF(G1137&gt;=1,G1137,0)</f>
        <v>0</v>
      </c>
      <c r="I1137" s="5" t="s">
        <v>74</v>
      </c>
      <c r="J1137" s="5" t="s">
        <v>1695</v>
      </c>
    </row>
    <row r="1138" customFormat="false" ht="15" hidden="false" customHeight="false" outlineLevel="0" collapsed="false">
      <c r="A1138" s="5" t="s">
        <v>227</v>
      </c>
      <c r="B1138" s="5" t="s">
        <v>169</v>
      </c>
      <c r="C1138" s="5" t="n">
        <v>80</v>
      </c>
      <c r="D1138" s="5" t="s">
        <v>611</v>
      </c>
      <c r="E1138" s="5" t="n">
        <v>6</v>
      </c>
      <c r="F1138" s="20" t="n">
        <v>8.78922638854949</v>
      </c>
      <c r="G1138" s="20" t="n">
        <f aca="false">9-F1138</f>
        <v>0.210773611450509</v>
      </c>
      <c r="H1138" s="20" t="n">
        <f aca="false">IF(G1138&gt;=1,G1138,0)</f>
        <v>0</v>
      </c>
      <c r="I1138" s="5" t="s">
        <v>74</v>
      </c>
      <c r="J1138" s="5" t="s">
        <v>1696</v>
      </c>
    </row>
    <row r="1139" customFormat="false" ht="15" hidden="false" customHeight="false" outlineLevel="0" collapsed="false">
      <c r="A1139" s="5" t="s">
        <v>227</v>
      </c>
      <c r="B1139" s="5" t="s">
        <v>169</v>
      </c>
      <c r="C1139" s="5" t="n">
        <v>81</v>
      </c>
      <c r="D1139" s="5" t="s">
        <v>611</v>
      </c>
      <c r="E1139" s="5" t="n">
        <v>6</v>
      </c>
      <c r="F1139" s="20" t="n">
        <v>8.78922638854949</v>
      </c>
      <c r="G1139" s="20" t="n">
        <f aca="false">9-F1139</f>
        <v>0.210773611450509</v>
      </c>
      <c r="H1139" s="20" t="n">
        <f aca="false">IF(G1139&gt;=1,G1139,0)</f>
        <v>0</v>
      </c>
      <c r="I1139" s="5" t="s">
        <v>74</v>
      </c>
      <c r="J1139" s="5" t="s">
        <v>1697</v>
      </c>
    </row>
    <row r="1140" customFormat="false" ht="15" hidden="false" customHeight="false" outlineLevel="0" collapsed="false">
      <c r="A1140" s="5" t="s">
        <v>227</v>
      </c>
      <c r="B1140" s="5" t="s">
        <v>169</v>
      </c>
      <c r="C1140" s="5" t="n">
        <v>82</v>
      </c>
      <c r="D1140" s="5" t="s">
        <v>611</v>
      </c>
      <c r="E1140" s="5" t="n">
        <v>6</v>
      </c>
      <c r="F1140" s="20" t="n">
        <v>8.78922638854949</v>
      </c>
      <c r="G1140" s="20" t="n">
        <f aca="false">9-F1140</f>
        <v>0.210773611450509</v>
      </c>
      <c r="H1140" s="20" t="n">
        <f aca="false">IF(G1140&gt;=1,G1140,0)</f>
        <v>0</v>
      </c>
      <c r="I1140" s="5" t="s">
        <v>74</v>
      </c>
      <c r="J1140" s="5" t="s">
        <v>1698</v>
      </c>
    </row>
    <row r="1141" customFormat="false" ht="15" hidden="false" customHeight="false" outlineLevel="0" collapsed="false">
      <c r="A1141" s="5" t="s">
        <v>227</v>
      </c>
      <c r="B1141" s="5" t="s">
        <v>169</v>
      </c>
      <c r="C1141" s="5" t="n">
        <v>83</v>
      </c>
      <c r="D1141" s="5" t="s">
        <v>611</v>
      </c>
      <c r="E1141" s="5" t="n">
        <v>6</v>
      </c>
      <c r="F1141" s="20" t="n">
        <v>8.78922638854949</v>
      </c>
      <c r="G1141" s="20" t="n">
        <f aca="false">9-F1141</f>
        <v>0.210773611450509</v>
      </c>
      <c r="H1141" s="20" t="n">
        <f aca="false">IF(G1141&gt;=1,G1141,0)</f>
        <v>0</v>
      </c>
      <c r="I1141" s="5" t="s">
        <v>74</v>
      </c>
      <c r="J1141" s="5" t="s">
        <v>1699</v>
      </c>
    </row>
    <row r="1142" customFormat="false" ht="15" hidden="false" customHeight="false" outlineLevel="0" collapsed="false">
      <c r="A1142" s="5" t="s">
        <v>227</v>
      </c>
      <c r="B1142" s="5" t="s">
        <v>169</v>
      </c>
      <c r="C1142" s="5" t="n">
        <v>84</v>
      </c>
      <c r="D1142" s="5" t="s">
        <v>611</v>
      </c>
      <c r="E1142" s="5" t="n">
        <v>6</v>
      </c>
      <c r="F1142" s="20" t="n">
        <v>8.78922638854949</v>
      </c>
      <c r="G1142" s="20" t="n">
        <f aca="false">9-F1142</f>
        <v>0.210773611450509</v>
      </c>
      <c r="H1142" s="20" t="n">
        <f aca="false">IF(G1142&gt;=1,G1142,0)</f>
        <v>0</v>
      </c>
      <c r="I1142" s="5" t="s">
        <v>74</v>
      </c>
      <c r="J1142" s="5" t="s">
        <v>1700</v>
      </c>
    </row>
    <row r="1143" customFormat="false" ht="15" hidden="false" customHeight="false" outlineLevel="0" collapsed="false">
      <c r="A1143" s="5" t="s">
        <v>227</v>
      </c>
      <c r="B1143" s="5" t="s">
        <v>169</v>
      </c>
      <c r="C1143" s="5" t="n">
        <v>85</v>
      </c>
      <c r="D1143" s="5" t="s">
        <v>611</v>
      </c>
      <c r="E1143" s="5" t="n">
        <v>6</v>
      </c>
      <c r="F1143" s="20" t="n">
        <v>8.78922638854949</v>
      </c>
      <c r="G1143" s="20" t="n">
        <f aca="false">9-F1143</f>
        <v>0.210773611450509</v>
      </c>
      <c r="H1143" s="20" t="n">
        <f aca="false">IF(G1143&gt;=1,G1143,0)</f>
        <v>0</v>
      </c>
      <c r="I1143" s="5" t="s">
        <v>74</v>
      </c>
      <c r="J1143" s="5" t="s">
        <v>1701</v>
      </c>
    </row>
    <row r="1144" customFormat="false" ht="15" hidden="false" customHeight="false" outlineLevel="0" collapsed="false">
      <c r="A1144" s="5" t="s">
        <v>227</v>
      </c>
      <c r="B1144" s="5" t="s">
        <v>169</v>
      </c>
      <c r="C1144" s="5" t="n">
        <v>86</v>
      </c>
      <c r="D1144" s="5" t="s">
        <v>611</v>
      </c>
      <c r="E1144" s="5" t="n">
        <v>6</v>
      </c>
      <c r="F1144" s="20" t="n">
        <v>8.78922638854949</v>
      </c>
      <c r="G1144" s="20" t="n">
        <f aca="false">9-F1144</f>
        <v>0.210773611450509</v>
      </c>
      <c r="H1144" s="20" t="n">
        <f aca="false">IF(G1144&gt;=1,G1144,0)</f>
        <v>0</v>
      </c>
      <c r="I1144" s="5" t="s">
        <v>74</v>
      </c>
      <c r="J1144" s="5" t="s">
        <v>1702</v>
      </c>
    </row>
    <row r="1145" customFormat="false" ht="15" hidden="false" customHeight="false" outlineLevel="0" collapsed="false">
      <c r="A1145" s="5" t="s">
        <v>227</v>
      </c>
      <c r="B1145" s="5" t="s">
        <v>169</v>
      </c>
      <c r="C1145" s="5" t="n">
        <v>87</v>
      </c>
      <c r="D1145" s="5" t="s">
        <v>611</v>
      </c>
      <c r="E1145" s="5" t="n">
        <v>6</v>
      </c>
      <c r="F1145" s="20" t="n">
        <v>8.78922638854949</v>
      </c>
      <c r="G1145" s="20" t="n">
        <f aca="false">9-F1145</f>
        <v>0.210773611450509</v>
      </c>
      <c r="H1145" s="20" t="n">
        <f aca="false">IF(G1145&gt;=1,G1145,0)</f>
        <v>0</v>
      </c>
      <c r="I1145" s="5" t="s">
        <v>74</v>
      </c>
      <c r="J1145" s="5" t="s">
        <v>1703</v>
      </c>
    </row>
    <row r="1146" customFormat="false" ht="15" hidden="false" customHeight="false" outlineLevel="0" collapsed="false">
      <c r="A1146" s="5" t="s">
        <v>227</v>
      </c>
      <c r="B1146" s="5" t="s">
        <v>169</v>
      </c>
      <c r="C1146" s="5" t="n">
        <v>88</v>
      </c>
      <c r="D1146" s="5" t="s">
        <v>611</v>
      </c>
      <c r="E1146" s="5" t="n">
        <v>6</v>
      </c>
      <c r="F1146" s="20" t="n">
        <v>8.78922638854949</v>
      </c>
      <c r="G1146" s="20" t="n">
        <f aca="false">9-F1146</f>
        <v>0.210773611450509</v>
      </c>
      <c r="H1146" s="20" t="n">
        <f aca="false">IF(G1146&gt;=1,G1146,0)</f>
        <v>0</v>
      </c>
      <c r="I1146" s="5" t="s">
        <v>74</v>
      </c>
      <c r="J1146" s="5" t="s">
        <v>1704</v>
      </c>
    </row>
    <row r="1147" customFormat="false" ht="15" hidden="false" customHeight="false" outlineLevel="0" collapsed="false">
      <c r="A1147" s="5" t="s">
        <v>227</v>
      </c>
      <c r="B1147" s="5" t="s">
        <v>169</v>
      </c>
      <c r="C1147" s="5" t="n">
        <v>89</v>
      </c>
      <c r="D1147" s="5" t="s">
        <v>611</v>
      </c>
      <c r="E1147" s="5" t="n">
        <v>6</v>
      </c>
      <c r="F1147" s="20" t="n">
        <v>8.78922638854949</v>
      </c>
      <c r="G1147" s="20" t="n">
        <f aca="false">9-F1147</f>
        <v>0.210773611450513</v>
      </c>
      <c r="H1147" s="20" t="n">
        <f aca="false">IF(G1147&gt;=1,G1147,0)</f>
        <v>0</v>
      </c>
      <c r="I1147" s="5" t="s">
        <v>74</v>
      </c>
      <c r="J1147" s="5" t="s">
        <v>1705</v>
      </c>
    </row>
    <row r="1148" customFormat="false" ht="15" hidden="false" customHeight="false" outlineLevel="0" collapsed="false">
      <c r="A1148" s="5" t="s">
        <v>227</v>
      </c>
      <c r="B1148" s="5" t="s">
        <v>169</v>
      </c>
      <c r="C1148" s="5" t="n">
        <v>90</v>
      </c>
      <c r="D1148" s="5" t="s">
        <v>611</v>
      </c>
      <c r="E1148" s="5" t="n">
        <v>6</v>
      </c>
      <c r="F1148" s="20" t="n">
        <v>8.78922638854949</v>
      </c>
      <c r="G1148" s="20" t="n">
        <f aca="false">9-F1148</f>
        <v>0.210773611450513</v>
      </c>
      <c r="H1148" s="20" t="n">
        <f aca="false">IF(G1148&gt;=1,G1148,0)</f>
        <v>0</v>
      </c>
      <c r="I1148" s="5" t="s">
        <v>74</v>
      </c>
      <c r="J1148" s="5" t="s">
        <v>1706</v>
      </c>
    </row>
    <row r="1149" customFormat="false" ht="15" hidden="false" customHeight="false" outlineLevel="0" collapsed="false">
      <c r="A1149" s="5" t="s">
        <v>227</v>
      </c>
      <c r="B1149" s="5" t="s">
        <v>169</v>
      </c>
      <c r="C1149" s="5" t="n">
        <v>91</v>
      </c>
      <c r="D1149" s="5" t="s">
        <v>611</v>
      </c>
      <c r="E1149" s="5" t="n">
        <v>6</v>
      </c>
      <c r="F1149" s="20" t="n">
        <v>8.78922638854949</v>
      </c>
      <c r="G1149" s="20" t="n">
        <f aca="false">9-F1149</f>
        <v>0.210773611450513</v>
      </c>
      <c r="H1149" s="20" t="n">
        <f aca="false">IF(G1149&gt;=1,G1149,0)</f>
        <v>0</v>
      </c>
      <c r="I1149" s="5" t="s">
        <v>74</v>
      </c>
      <c r="J1149" s="5" t="s">
        <v>1707</v>
      </c>
    </row>
    <row r="1150" customFormat="false" ht="15" hidden="false" customHeight="false" outlineLevel="0" collapsed="false">
      <c r="A1150" s="5" t="s">
        <v>227</v>
      </c>
      <c r="B1150" s="5" t="s">
        <v>169</v>
      </c>
      <c r="C1150" s="5" t="n">
        <v>92</v>
      </c>
      <c r="D1150" s="5" t="s">
        <v>611</v>
      </c>
      <c r="E1150" s="5" t="n">
        <v>6</v>
      </c>
      <c r="F1150" s="20" t="n">
        <v>8.78922638854949</v>
      </c>
      <c r="G1150" s="20" t="n">
        <f aca="false">9-F1150</f>
        <v>0.210773611450513</v>
      </c>
      <c r="H1150" s="20" t="n">
        <f aca="false">IF(G1150&gt;=1,G1150,0)</f>
        <v>0</v>
      </c>
      <c r="I1150" s="5" t="s">
        <v>74</v>
      </c>
      <c r="J1150" s="5" t="s">
        <v>1708</v>
      </c>
    </row>
    <row r="1151" customFormat="false" ht="15" hidden="false" customHeight="false" outlineLevel="0" collapsed="false">
      <c r="A1151" s="5" t="s">
        <v>227</v>
      </c>
      <c r="B1151" s="5" t="s">
        <v>169</v>
      </c>
      <c r="C1151" s="5" t="n">
        <v>93</v>
      </c>
      <c r="D1151" s="5" t="s">
        <v>611</v>
      </c>
      <c r="E1151" s="5" t="n">
        <v>6</v>
      </c>
      <c r="F1151" s="20" t="n">
        <v>8.78922638854949</v>
      </c>
      <c r="G1151" s="20" t="n">
        <f aca="false">9-F1151</f>
        <v>0.210773611450513</v>
      </c>
      <c r="H1151" s="20" t="n">
        <f aca="false">IF(G1151&gt;=1,G1151,0)</f>
        <v>0</v>
      </c>
      <c r="I1151" s="5" t="s">
        <v>74</v>
      </c>
      <c r="J1151" s="5" t="s">
        <v>1709</v>
      </c>
    </row>
    <row r="1152" customFormat="false" ht="15" hidden="false" customHeight="false" outlineLevel="0" collapsed="false">
      <c r="A1152" s="5" t="s">
        <v>227</v>
      </c>
      <c r="B1152" s="5" t="s">
        <v>169</v>
      </c>
      <c r="C1152" s="5" t="n">
        <v>94</v>
      </c>
      <c r="D1152" s="5" t="s">
        <v>611</v>
      </c>
      <c r="E1152" s="5" t="n">
        <v>6</v>
      </c>
      <c r="F1152" s="20" t="n">
        <v>8.78922638854949</v>
      </c>
      <c r="G1152" s="20" t="n">
        <f aca="false">9-F1152</f>
        <v>0.210773611450513</v>
      </c>
      <c r="H1152" s="20" t="n">
        <f aca="false">IF(G1152&gt;=1,G1152,0)</f>
        <v>0</v>
      </c>
      <c r="I1152" s="5" t="s">
        <v>74</v>
      </c>
      <c r="J1152" s="5" t="s">
        <v>1710</v>
      </c>
    </row>
    <row r="1153" customFormat="false" ht="15" hidden="false" customHeight="false" outlineLevel="0" collapsed="false">
      <c r="A1153" s="5" t="s">
        <v>227</v>
      </c>
      <c r="B1153" s="5" t="s">
        <v>169</v>
      </c>
      <c r="C1153" s="5" t="n">
        <v>95</v>
      </c>
      <c r="D1153" s="5" t="s">
        <v>611</v>
      </c>
      <c r="E1153" s="5" t="n">
        <v>6</v>
      </c>
      <c r="F1153" s="20" t="n">
        <v>8.78922638854949</v>
      </c>
      <c r="G1153" s="20" t="n">
        <f aca="false">9-F1153</f>
        <v>0.210773611450513</v>
      </c>
      <c r="H1153" s="20" t="n">
        <f aca="false">IF(G1153&gt;=1,G1153,0)</f>
        <v>0</v>
      </c>
      <c r="I1153" s="5" t="s">
        <v>74</v>
      </c>
      <c r="J1153" s="5" t="s">
        <v>1711</v>
      </c>
    </row>
    <row r="1154" customFormat="false" ht="15" hidden="false" customHeight="false" outlineLevel="0" collapsed="false">
      <c r="A1154" s="5" t="s">
        <v>227</v>
      </c>
      <c r="B1154" s="5" t="s">
        <v>169</v>
      </c>
      <c r="C1154" s="5" t="n">
        <v>96</v>
      </c>
      <c r="D1154" s="5" t="s">
        <v>611</v>
      </c>
      <c r="E1154" s="5" t="n">
        <v>6</v>
      </c>
      <c r="F1154" s="20" t="n">
        <v>8.78922638854949</v>
      </c>
      <c r="G1154" s="20" t="n">
        <f aca="false">9-F1154</f>
        <v>0.210773611450513</v>
      </c>
      <c r="H1154" s="20" t="n">
        <f aca="false">IF(G1154&gt;=1,G1154,0)</f>
        <v>0</v>
      </c>
      <c r="I1154" s="5" t="s">
        <v>74</v>
      </c>
      <c r="J1154" s="5" t="s">
        <v>1712</v>
      </c>
    </row>
    <row r="1155" customFormat="false" ht="15" hidden="false" customHeight="false" outlineLevel="0" collapsed="false">
      <c r="A1155" s="5" t="s">
        <v>227</v>
      </c>
      <c r="B1155" s="5" t="s">
        <v>169</v>
      </c>
      <c r="C1155" s="5" t="n">
        <v>97</v>
      </c>
      <c r="D1155" s="5" t="s">
        <v>611</v>
      </c>
      <c r="E1155" s="5" t="n">
        <v>6</v>
      </c>
      <c r="F1155" s="20" t="n">
        <v>8.78922638854949</v>
      </c>
      <c r="G1155" s="20" t="n">
        <f aca="false">9-F1155</f>
        <v>0.210773611450513</v>
      </c>
      <c r="H1155" s="20" t="n">
        <f aca="false">IF(G1155&gt;=1,G1155,0)</f>
        <v>0</v>
      </c>
      <c r="I1155" s="5" t="s">
        <v>74</v>
      </c>
      <c r="J1155" s="5" t="s">
        <v>1713</v>
      </c>
    </row>
    <row r="1156" customFormat="false" ht="15" hidden="false" customHeight="false" outlineLevel="0" collapsed="false">
      <c r="A1156" s="5" t="s">
        <v>227</v>
      </c>
      <c r="B1156" s="5" t="s">
        <v>169</v>
      </c>
      <c r="C1156" s="5" t="n">
        <v>98</v>
      </c>
      <c r="D1156" s="5" t="s">
        <v>611</v>
      </c>
      <c r="E1156" s="5" t="n">
        <v>6</v>
      </c>
      <c r="F1156" s="20" t="n">
        <v>8.78922638854948</v>
      </c>
      <c r="G1156" s="20" t="n">
        <f aca="false">9-F1156</f>
        <v>0.210773611450525</v>
      </c>
      <c r="H1156" s="20" t="n">
        <f aca="false">IF(G1156&gt;=1,G1156,0)</f>
        <v>0</v>
      </c>
      <c r="I1156" s="5" t="s">
        <v>74</v>
      </c>
      <c r="J1156" s="5" t="s">
        <v>1714</v>
      </c>
    </row>
    <row r="1157" customFormat="false" ht="15" hidden="false" customHeight="false" outlineLevel="0" collapsed="false">
      <c r="A1157" s="5" t="s">
        <v>227</v>
      </c>
      <c r="B1157" s="5" t="s">
        <v>169</v>
      </c>
      <c r="C1157" s="5" t="n">
        <v>99</v>
      </c>
      <c r="D1157" s="5" t="s">
        <v>611</v>
      </c>
      <c r="E1157" s="5" t="n">
        <v>6</v>
      </c>
      <c r="F1157" s="20" t="n">
        <v>8.78922638854948</v>
      </c>
      <c r="G1157" s="20" t="n">
        <f aca="false">9-F1157</f>
        <v>0.210773611450525</v>
      </c>
      <c r="H1157" s="20" t="n">
        <f aca="false">IF(G1157&gt;=1,G1157,0)</f>
        <v>0</v>
      </c>
      <c r="I1157" s="5" t="s">
        <v>74</v>
      </c>
      <c r="J1157" s="5" t="s">
        <v>1715</v>
      </c>
    </row>
    <row r="1158" customFormat="false" ht="15" hidden="false" customHeight="false" outlineLevel="0" collapsed="false">
      <c r="A1158" s="5" t="s">
        <v>227</v>
      </c>
      <c r="B1158" s="5" t="s">
        <v>169</v>
      </c>
      <c r="C1158" s="5" t="n">
        <v>100</v>
      </c>
      <c r="D1158" s="5" t="s">
        <v>611</v>
      </c>
      <c r="E1158" s="5" t="n">
        <v>6</v>
      </c>
      <c r="F1158" s="20" t="n">
        <v>8.78922638854948</v>
      </c>
      <c r="G1158" s="20" t="n">
        <f aca="false">9-F1158</f>
        <v>0.210773611450525</v>
      </c>
      <c r="H1158" s="20" t="n">
        <f aca="false">IF(G1158&gt;=1,G1158,0)</f>
        <v>0</v>
      </c>
      <c r="I1158" s="5" t="s">
        <v>74</v>
      </c>
      <c r="J1158" s="5" t="s">
        <v>1716</v>
      </c>
    </row>
    <row r="1159" customFormat="false" ht="15" hidden="false" customHeight="false" outlineLevel="0" collapsed="false">
      <c r="A1159" s="5" t="s">
        <v>227</v>
      </c>
      <c r="B1159" s="5" t="s">
        <v>169</v>
      </c>
      <c r="C1159" s="5" t="n">
        <v>101</v>
      </c>
      <c r="D1159" s="5" t="s">
        <v>611</v>
      </c>
      <c r="E1159" s="5" t="n">
        <v>6</v>
      </c>
      <c r="F1159" s="20" t="n">
        <v>8.78922638854948</v>
      </c>
      <c r="G1159" s="20" t="n">
        <f aca="false">9-F1159</f>
        <v>0.210773611450525</v>
      </c>
      <c r="H1159" s="20" t="n">
        <f aca="false">IF(G1159&gt;=1,G1159,0)</f>
        <v>0</v>
      </c>
      <c r="I1159" s="5" t="s">
        <v>74</v>
      </c>
      <c r="J1159" s="5" t="s">
        <v>1717</v>
      </c>
    </row>
    <row r="1160" customFormat="false" ht="15" hidden="false" customHeight="false" outlineLevel="0" collapsed="false">
      <c r="A1160" s="5" t="s">
        <v>227</v>
      </c>
      <c r="B1160" s="5" t="s">
        <v>169</v>
      </c>
      <c r="C1160" s="5" t="n">
        <v>102</v>
      </c>
      <c r="D1160" s="5" t="s">
        <v>611</v>
      </c>
      <c r="E1160" s="5" t="n">
        <v>6</v>
      </c>
      <c r="F1160" s="20" t="n">
        <v>8.78922638854947</v>
      </c>
      <c r="G1160" s="20" t="n">
        <f aca="false">9-F1160</f>
        <v>0.210773611450527</v>
      </c>
      <c r="H1160" s="20" t="n">
        <f aca="false">IF(G1160&gt;=1,G1160,0)</f>
        <v>0</v>
      </c>
      <c r="I1160" s="5" t="s">
        <v>74</v>
      </c>
      <c r="J1160" s="5" t="s">
        <v>1718</v>
      </c>
    </row>
    <row r="1161" customFormat="false" ht="15" hidden="false" customHeight="false" outlineLevel="0" collapsed="false">
      <c r="A1161" s="5" t="s">
        <v>227</v>
      </c>
      <c r="B1161" s="5" t="s">
        <v>169</v>
      </c>
      <c r="C1161" s="5" t="n">
        <v>103</v>
      </c>
      <c r="D1161" s="5" t="s">
        <v>611</v>
      </c>
      <c r="E1161" s="5" t="n">
        <v>6</v>
      </c>
      <c r="F1161" s="20" t="n">
        <v>8.78922638854947</v>
      </c>
      <c r="G1161" s="20" t="n">
        <f aca="false">9-F1161</f>
        <v>0.210773611450527</v>
      </c>
      <c r="H1161" s="20" t="n">
        <f aca="false">IF(G1161&gt;=1,G1161,0)</f>
        <v>0</v>
      </c>
      <c r="I1161" s="5" t="s">
        <v>74</v>
      </c>
      <c r="J1161" s="5" t="s">
        <v>1719</v>
      </c>
    </row>
    <row r="1162" customFormat="false" ht="15" hidden="false" customHeight="false" outlineLevel="0" collapsed="false">
      <c r="A1162" s="5" t="s">
        <v>227</v>
      </c>
      <c r="B1162" s="5" t="s">
        <v>169</v>
      </c>
      <c r="C1162" s="5" t="n">
        <v>104</v>
      </c>
      <c r="D1162" s="5" t="s">
        <v>611</v>
      </c>
      <c r="E1162" s="5" t="n">
        <v>6</v>
      </c>
      <c r="F1162" s="20" t="n">
        <v>8.78922638854947</v>
      </c>
      <c r="G1162" s="20" t="n">
        <f aca="false">9-F1162</f>
        <v>0.210773611450527</v>
      </c>
      <c r="H1162" s="20" t="n">
        <f aca="false">IF(G1162&gt;=1,G1162,0)</f>
        <v>0</v>
      </c>
      <c r="I1162" s="5" t="s">
        <v>74</v>
      </c>
      <c r="J1162" s="5" t="s">
        <v>1720</v>
      </c>
    </row>
    <row r="1163" customFormat="false" ht="15" hidden="false" customHeight="false" outlineLevel="0" collapsed="false">
      <c r="A1163" s="5" t="s">
        <v>227</v>
      </c>
      <c r="B1163" s="5" t="s">
        <v>169</v>
      </c>
      <c r="C1163" s="5" t="n">
        <v>105</v>
      </c>
      <c r="D1163" s="5" t="s">
        <v>611</v>
      </c>
      <c r="E1163" s="5" t="n">
        <v>6</v>
      </c>
      <c r="F1163" s="20" t="n">
        <v>8.78922638854947</v>
      </c>
      <c r="G1163" s="20" t="n">
        <f aca="false">9-F1163</f>
        <v>0.210773611450527</v>
      </c>
      <c r="H1163" s="20" t="n">
        <f aca="false">IF(G1163&gt;=1,G1163,0)</f>
        <v>0</v>
      </c>
      <c r="I1163" s="5" t="s">
        <v>74</v>
      </c>
      <c r="J1163" s="5" t="s">
        <v>1721</v>
      </c>
    </row>
    <row r="1164" customFormat="false" ht="15" hidden="false" customHeight="false" outlineLevel="0" collapsed="false">
      <c r="A1164" s="5" t="s">
        <v>227</v>
      </c>
      <c r="B1164" s="5" t="s">
        <v>169</v>
      </c>
      <c r="C1164" s="5" t="n">
        <v>106</v>
      </c>
      <c r="D1164" s="5" t="s">
        <v>611</v>
      </c>
      <c r="E1164" s="5" t="n">
        <v>6</v>
      </c>
      <c r="F1164" s="20" t="n">
        <v>8.78922638854947</v>
      </c>
      <c r="G1164" s="20" t="n">
        <f aca="false">9-F1164</f>
        <v>0.210773611450527</v>
      </c>
      <c r="H1164" s="20" t="n">
        <f aca="false">IF(G1164&gt;=1,G1164,0)</f>
        <v>0</v>
      </c>
      <c r="I1164" s="5" t="s">
        <v>74</v>
      </c>
      <c r="J1164" s="5" t="s">
        <v>1722</v>
      </c>
    </row>
    <row r="1165" customFormat="false" ht="15" hidden="false" customHeight="false" outlineLevel="0" collapsed="false">
      <c r="A1165" s="5" t="s">
        <v>227</v>
      </c>
      <c r="B1165" s="5" t="s">
        <v>169</v>
      </c>
      <c r="C1165" s="5" t="n">
        <v>107</v>
      </c>
      <c r="D1165" s="5" t="s">
        <v>611</v>
      </c>
      <c r="E1165" s="5" t="n">
        <v>6</v>
      </c>
      <c r="F1165" s="20" t="n">
        <v>8.78922638854946</v>
      </c>
      <c r="G1165" s="20" t="n">
        <f aca="false">9-F1165</f>
        <v>0.210773611450538</v>
      </c>
      <c r="H1165" s="20" t="n">
        <f aca="false">IF(G1165&gt;=1,G1165,0)</f>
        <v>0</v>
      </c>
      <c r="I1165" s="5" t="s">
        <v>74</v>
      </c>
      <c r="J1165" s="5" t="s">
        <v>1723</v>
      </c>
    </row>
    <row r="1166" customFormat="false" ht="15" hidden="false" customHeight="false" outlineLevel="0" collapsed="false">
      <c r="A1166" s="5" t="s">
        <v>227</v>
      </c>
      <c r="B1166" s="5" t="s">
        <v>169</v>
      </c>
      <c r="C1166" s="5" t="n">
        <v>108</v>
      </c>
      <c r="D1166" s="5" t="s">
        <v>611</v>
      </c>
      <c r="E1166" s="5" t="n">
        <v>6</v>
      </c>
      <c r="F1166" s="20" t="n">
        <v>8.78922638854946</v>
      </c>
      <c r="G1166" s="20" t="n">
        <f aca="false">9-F1166</f>
        <v>0.210773611450541</v>
      </c>
      <c r="H1166" s="20" t="n">
        <f aca="false">IF(G1166&gt;=1,G1166,0)</f>
        <v>0</v>
      </c>
      <c r="I1166" s="5" t="s">
        <v>74</v>
      </c>
      <c r="J1166" s="5" t="s">
        <v>1724</v>
      </c>
    </row>
    <row r="1167" customFormat="false" ht="15" hidden="false" customHeight="false" outlineLevel="0" collapsed="false">
      <c r="A1167" s="5" t="s">
        <v>227</v>
      </c>
      <c r="B1167" s="5" t="s">
        <v>169</v>
      </c>
      <c r="C1167" s="5" t="n">
        <v>109</v>
      </c>
      <c r="D1167" s="5" t="s">
        <v>611</v>
      </c>
      <c r="E1167" s="5" t="n">
        <v>6</v>
      </c>
      <c r="F1167" s="20" t="n">
        <v>8.78922638854946</v>
      </c>
      <c r="G1167" s="20" t="n">
        <f aca="false">9-F1167</f>
        <v>0.210773611450541</v>
      </c>
      <c r="H1167" s="20" t="n">
        <f aca="false">IF(G1167&gt;=1,G1167,0)</f>
        <v>0</v>
      </c>
      <c r="I1167" s="5" t="s">
        <v>74</v>
      </c>
      <c r="J1167" s="5" t="s">
        <v>1725</v>
      </c>
    </row>
    <row r="1168" customFormat="false" ht="15" hidden="false" customHeight="false" outlineLevel="0" collapsed="false">
      <c r="A1168" s="5" t="s">
        <v>227</v>
      </c>
      <c r="B1168" s="5" t="s">
        <v>169</v>
      </c>
      <c r="C1168" s="5" t="n">
        <v>110</v>
      </c>
      <c r="D1168" s="5" t="s">
        <v>611</v>
      </c>
      <c r="E1168" s="5" t="n">
        <v>6</v>
      </c>
      <c r="F1168" s="20" t="n">
        <v>8.78922638854946</v>
      </c>
      <c r="G1168" s="20" t="n">
        <f aca="false">9-F1168</f>
        <v>0.210773611450541</v>
      </c>
      <c r="H1168" s="20" t="n">
        <f aca="false">IF(G1168&gt;=1,G1168,0)</f>
        <v>0</v>
      </c>
      <c r="I1168" s="5" t="s">
        <v>74</v>
      </c>
      <c r="J1168" s="5" t="s">
        <v>1726</v>
      </c>
    </row>
    <row r="1169" customFormat="false" ht="15" hidden="false" customHeight="false" outlineLevel="0" collapsed="false">
      <c r="A1169" s="5" t="s">
        <v>227</v>
      </c>
      <c r="B1169" s="5" t="s">
        <v>169</v>
      </c>
      <c r="C1169" s="5" t="n">
        <v>111</v>
      </c>
      <c r="D1169" s="5" t="s">
        <v>611</v>
      </c>
      <c r="E1169" s="5" t="n">
        <v>6</v>
      </c>
      <c r="F1169" s="20" t="n">
        <v>8.78922638854946</v>
      </c>
      <c r="G1169" s="20" t="n">
        <f aca="false">9-F1169</f>
        <v>0.210773611450541</v>
      </c>
      <c r="H1169" s="20" t="n">
        <f aca="false">IF(G1169&gt;=1,G1169,0)</f>
        <v>0</v>
      </c>
      <c r="I1169" s="5" t="s">
        <v>74</v>
      </c>
      <c r="J1169" s="5" t="s">
        <v>1727</v>
      </c>
    </row>
    <row r="1170" customFormat="false" ht="15" hidden="false" customHeight="false" outlineLevel="0" collapsed="false">
      <c r="A1170" s="5" t="s">
        <v>227</v>
      </c>
      <c r="B1170" s="5" t="s">
        <v>169</v>
      </c>
      <c r="C1170" s="5" t="n">
        <v>112</v>
      </c>
      <c r="D1170" s="5" t="s">
        <v>611</v>
      </c>
      <c r="E1170" s="5" t="n">
        <v>6</v>
      </c>
      <c r="F1170" s="20" t="n">
        <v>8.78922638854946</v>
      </c>
      <c r="G1170" s="20" t="n">
        <f aca="false">9-F1170</f>
        <v>0.210773611450541</v>
      </c>
      <c r="H1170" s="20" t="n">
        <f aca="false">IF(G1170&gt;=1,G1170,0)</f>
        <v>0</v>
      </c>
      <c r="I1170" s="5" t="s">
        <v>74</v>
      </c>
      <c r="J1170" s="5" t="s">
        <v>1728</v>
      </c>
    </row>
    <row r="1171" customFormat="false" ht="15" hidden="false" customHeight="false" outlineLevel="0" collapsed="false">
      <c r="A1171" s="5" t="s">
        <v>227</v>
      </c>
      <c r="B1171" s="5" t="s">
        <v>169</v>
      </c>
      <c r="C1171" s="5" t="n">
        <v>113</v>
      </c>
      <c r="D1171" s="5" t="s">
        <v>611</v>
      </c>
      <c r="E1171" s="5" t="n">
        <v>6</v>
      </c>
      <c r="F1171" s="20" t="n">
        <v>8.78922638854946</v>
      </c>
      <c r="G1171" s="20" t="n">
        <f aca="false">9-F1171</f>
        <v>0.210773611450541</v>
      </c>
      <c r="H1171" s="20" t="n">
        <f aca="false">IF(G1171&gt;=1,G1171,0)</f>
        <v>0</v>
      </c>
      <c r="I1171" s="5" t="s">
        <v>74</v>
      </c>
      <c r="J1171" s="5" t="s">
        <v>1729</v>
      </c>
    </row>
    <row r="1172" customFormat="false" ht="15" hidden="false" customHeight="false" outlineLevel="0" collapsed="false">
      <c r="A1172" s="5" t="s">
        <v>227</v>
      </c>
      <c r="B1172" s="5" t="s">
        <v>169</v>
      </c>
      <c r="C1172" s="5" t="n">
        <v>114</v>
      </c>
      <c r="D1172" s="5" t="s">
        <v>611</v>
      </c>
      <c r="E1172" s="5" t="n">
        <v>6</v>
      </c>
      <c r="F1172" s="20" t="n">
        <v>8.78922638854946</v>
      </c>
      <c r="G1172" s="20" t="n">
        <f aca="false">9-F1172</f>
        <v>0.210773611450541</v>
      </c>
      <c r="H1172" s="20" t="n">
        <f aca="false">IF(G1172&gt;=1,G1172,0)</f>
        <v>0</v>
      </c>
      <c r="I1172" s="5" t="s">
        <v>74</v>
      </c>
      <c r="J1172" s="5" t="s">
        <v>1730</v>
      </c>
    </row>
    <row r="1173" customFormat="false" ht="15" hidden="false" customHeight="false" outlineLevel="0" collapsed="false">
      <c r="A1173" s="5" t="s">
        <v>227</v>
      </c>
      <c r="B1173" s="5" t="s">
        <v>169</v>
      </c>
      <c r="C1173" s="5" t="n">
        <v>115</v>
      </c>
      <c r="D1173" s="5" t="s">
        <v>611</v>
      </c>
      <c r="E1173" s="5" t="n">
        <v>6</v>
      </c>
      <c r="F1173" s="20" t="n">
        <v>8.78922638854946</v>
      </c>
      <c r="G1173" s="20" t="n">
        <f aca="false">9-F1173</f>
        <v>0.210773611450541</v>
      </c>
      <c r="H1173" s="20" t="n">
        <f aca="false">IF(G1173&gt;=1,G1173,0)</f>
        <v>0</v>
      </c>
      <c r="I1173" s="5" t="s">
        <v>74</v>
      </c>
      <c r="J1173" s="5" t="s">
        <v>1731</v>
      </c>
    </row>
    <row r="1174" customFormat="false" ht="15" hidden="false" customHeight="false" outlineLevel="0" collapsed="false">
      <c r="A1174" s="5" t="s">
        <v>227</v>
      </c>
      <c r="B1174" s="5" t="s">
        <v>169</v>
      </c>
      <c r="C1174" s="5" t="n">
        <v>116</v>
      </c>
      <c r="D1174" s="5" t="s">
        <v>1732</v>
      </c>
      <c r="E1174" s="5" t="n">
        <v>6</v>
      </c>
      <c r="F1174" s="20" t="n">
        <v>8.91221515114495</v>
      </c>
      <c r="G1174" s="20" t="n">
        <f aca="false">9-F1174</f>
        <v>0.0877848488550459</v>
      </c>
      <c r="H1174" s="20" t="n">
        <f aca="false">IF(G1174&gt;=1,G1174,0)</f>
        <v>0</v>
      </c>
      <c r="I1174" s="5" t="s">
        <v>1076</v>
      </c>
      <c r="J1174" s="5" t="s">
        <v>1733</v>
      </c>
    </row>
    <row r="1175" customFormat="false" ht="15" hidden="false" customHeight="false" outlineLevel="0" collapsed="false">
      <c r="A1175" s="5" t="s">
        <v>227</v>
      </c>
      <c r="B1175" s="5" t="s">
        <v>169</v>
      </c>
      <c r="C1175" s="5" t="n">
        <v>117</v>
      </c>
      <c r="D1175" s="5" t="s">
        <v>1075</v>
      </c>
      <c r="E1175" s="5" t="n">
        <v>7</v>
      </c>
      <c r="F1175" s="20" t="n">
        <v>8.90475391374041</v>
      </c>
      <c r="G1175" s="20" t="n">
        <f aca="false">9-F1175</f>
        <v>0.0952460862595892</v>
      </c>
      <c r="H1175" s="20" t="n">
        <f aca="false">IF(G1175&gt;=1,G1175,0)</f>
        <v>0</v>
      </c>
      <c r="I1175" s="5" t="s">
        <v>1076</v>
      </c>
      <c r="J1175" s="5" t="s">
        <v>1734</v>
      </c>
    </row>
    <row r="1176" customFormat="false" ht="15" hidden="false" customHeight="false" outlineLevel="0" collapsed="false">
      <c r="A1176" s="5" t="s">
        <v>227</v>
      </c>
      <c r="B1176" s="5" t="s">
        <v>169</v>
      </c>
      <c r="C1176" s="5" t="n">
        <v>118</v>
      </c>
      <c r="D1176" s="5" t="s">
        <v>1075</v>
      </c>
      <c r="E1176" s="5" t="n">
        <v>7</v>
      </c>
      <c r="F1176" s="20" t="n">
        <v>8.90475391374041</v>
      </c>
      <c r="G1176" s="20" t="n">
        <f aca="false">9-F1176</f>
        <v>0.0952460862595892</v>
      </c>
      <c r="H1176" s="20" t="n">
        <f aca="false">IF(G1176&gt;=1,G1176,0)</f>
        <v>0</v>
      </c>
      <c r="I1176" s="5" t="s">
        <v>1076</v>
      </c>
      <c r="J1176" s="5" t="s">
        <v>1735</v>
      </c>
    </row>
    <row r="1177" customFormat="false" ht="15" hidden="false" customHeight="false" outlineLevel="0" collapsed="false">
      <c r="A1177" s="5" t="s">
        <v>227</v>
      </c>
      <c r="B1177" s="5" t="s">
        <v>169</v>
      </c>
      <c r="C1177" s="5" t="n">
        <v>119</v>
      </c>
      <c r="D1177" s="5" t="s">
        <v>1075</v>
      </c>
      <c r="E1177" s="5" t="n">
        <v>7</v>
      </c>
      <c r="F1177" s="20" t="n">
        <v>8.9047539137404</v>
      </c>
      <c r="G1177" s="20" t="n">
        <f aca="false">9-F1177</f>
        <v>0.0952460862596016</v>
      </c>
      <c r="H1177" s="20" t="n">
        <f aca="false">IF(G1177&gt;=1,G1177,0)</f>
        <v>0</v>
      </c>
      <c r="I1177" s="5" t="s">
        <v>1076</v>
      </c>
      <c r="J1177" s="5" t="s">
        <v>1736</v>
      </c>
    </row>
    <row r="1178" customFormat="false" ht="15" hidden="false" customHeight="false" outlineLevel="0" collapsed="false">
      <c r="A1178" s="5" t="s">
        <v>227</v>
      </c>
      <c r="B1178" s="5" t="s">
        <v>169</v>
      </c>
      <c r="C1178" s="5" t="n">
        <v>120</v>
      </c>
      <c r="D1178" s="5" t="s">
        <v>1075</v>
      </c>
      <c r="E1178" s="5" t="n">
        <v>7</v>
      </c>
      <c r="F1178" s="20" t="n">
        <v>8.9047539137404</v>
      </c>
      <c r="G1178" s="20" t="n">
        <f aca="false">9-F1178</f>
        <v>0.0952460862596034</v>
      </c>
      <c r="H1178" s="20" t="n">
        <f aca="false">IF(G1178&gt;=1,G1178,0)</f>
        <v>0</v>
      </c>
      <c r="I1178" s="5" t="s">
        <v>1076</v>
      </c>
      <c r="J1178" s="5" t="s">
        <v>1737</v>
      </c>
    </row>
    <row r="1179" customFormat="false" ht="15" hidden="false" customHeight="false" outlineLevel="0" collapsed="false">
      <c r="A1179" s="5" t="s">
        <v>227</v>
      </c>
      <c r="B1179" s="5" t="s">
        <v>169</v>
      </c>
      <c r="C1179" s="5" t="n">
        <v>121</v>
      </c>
      <c r="D1179" s="5" t="s">
        <v>1075</v>
      </c>
      <c r="E1179" s="5" t="n">
        <v>7</v>
      </c>
      <c r="F1179" s="20" t="n">
        <v>8.90475391374038</v>
      </c>
      <c r="G1179" s="20" t="n">
        <f aca="false">9-F1179</f>
        <v>0.0952460862596176</v>
      </c>
      <c r="H1179" s="20" t="n">
        <f aca="false">IF(G1179&gt;=1,G1179,0)</f>
        <v>0</v>
      </c>
      <c r="I1179" s="5" t="s">
        <v>1076</v>
      </c>
      <c r="J1179" s="5" t="s">
        <v>1738</v>
      </c>
    </row>
    <row r="1180" customFormat="false" ht="15" hidden="false" customHeight="false" outlineLevel="0" collapsed="false">
      <c r="A1180" s="5" t="s">
        <v>227</v>
      </c>
      <c r="B1180" s="5" t="s">
        <v>169</v>
      </c>
      <c r="C1180" s="5" t="n">
        <v>122</v>
      </c>
      <c r="D1180" s="5" t="s">
        <v>1075</v>
      </c>
      <c r="E1180" s="5" t="n">
        <v>7</v>
      </c>
      <c r="F1180" s="20" t="n">
        <v>8.90475391374038</v>
      </c>
      <c r="G1180" s="20" t="n">
        <f aca="false">9-F1180</f>
        <v>0.0952460862596194</v>
      </c>
      <c r="H1180" s="20" t="n">
        <f aca="false">IF(G1180&gt;=1,G1180,0)</f>
        <v>0</v>
      </c>
      <c r="I1180" s="5" t="s">
        <v>1076</v>
      </c>
      <c r="J1180" s="5" t="s">
        <v>1739</v>
      </c>
    </row>
    <row r="1181" customFormat="false" ht="15" hidden="false" customHeight="false" outlineLevel="0" collapsed="false">
      <c r="A1181" s="5" t="s">
        <v>227</v>
      </c>
      <c r="B1181" s="5" t="s">
        <v>169</v>
      </c>
      <c r="C1181" s="5" t="n">
        <v>123</v>
      </c>
      <c r="D1181" s="5" t="s">
        <v>1075</v>
      </c>
      <c r="E1181" s="5" t="n">
        <v>7</v>
      </c>
      <c r="F1181" s="20" t="n">
        <v>8.90475391374038</v>
      </c>
      <c r="G1181" s="20" t="n">
        <f aca="false">9-F1181</f>
        <v>0.0952460862596194</v>
      </c>
      <c r="H1181" s="20" t="n">
        <f aca="false">IF(G1181&gt;=1,G1181,0)</f>
        <v>0</v>
      </c>
      <c r="I1181" s="5" t="s">
        <v>1076</v>
      </c>
      <c r="J1181" s="5" t="s">
        <v>1740</v>
      </c>
    </row>
    <row r="1182" customFormat="false" ht="15" hidden="false" customHeight="false" outlineLevel="0" collapsed="false">
      <c r="A1182" s="5" t="s">
        <v>227</v>
      </c>
      <c r="B1182" s="5" t="s">
        <v>169</v>
      </c>
      <c r="C1182" s="5" t="n">
        <v>124</v>
      </c>
      <c r="D1182" s="5" t="s">
        <v>1075</v>
      </c>
      <c r="E1182" s="5" t="n">
        <v>7</v>
      </c>
      <c r="F1182" s="20" t="n">
        <v>8.90475391374038</v>
      </c>
      <c r="G1182" s="20" t="n">
        <f aca="false">9-F1182</f>
        <v>0.0952460862596194</v>
      </c>
      <c r="H1182" s="20" t="n">
        <f aca="false">IF(G1182&gt;=1,G1182,0)</f>
        <v>0</v>
      </c>
      <c r="I1182" s="5" t="s">
        <v>1076</v>
      </c>
      <c r="J1182" s="5" t="s">
        <v>1741</v>
      </c>
    </row>
    <row r="1183" customFormat="false" ht="15" hidden="false" customHeight="false" outlineLevel="0" collapsed="false">
      <c r="A1183" s="5" t="s">
        <v>227</v>
      </c>
      <c r="B1183" s="5" t="s">
        <v>169</v>
      </c>
      <c r="C1183" s="5" t="n">
        <v>125</v>
      </c>
      <c r="D1183" s="5" t="s">
        <v>1075</v>
      </c>
      <c r="E1183" s="5" t="n">
        <v>7</v>
      </c>
      <c r="F1183" s="20" t="n">
        <v>8.90475391374038</v>
      </c>
      <c r="G1183" s="20" t="n">
        <f aca="false">9-F1183</f>
        <v>0.0952460862596194</v>
      </c>
      <c r="H1183" s="20" t="n">
        <f aca="false">IF(G1183&gt;=1,G1183,0)</f>
        <v>0</v>
      </c>
      <c r="I1183" s="5" t="s">
        <v>1076</v>
      </c>
      <c r="J1183" s="5" t="s">
        <v>1742</v>
      </c>
    </row>
    <row r="1184" customFormat="false" ht="15" hidden="false" customHeight="false" outlineLevel="0" collapsed="false">
      <c r="A1184" s="5" t="s">
        <v>227</v>
      </c>
      <c r="B1184" s="5" t="s">
        <v>169</v>
      </c>
      <c r="C1184" s="5" t="n">
        <v>126</v>
      </c>
      <c r="D1184" s="5" t="s">
        <v>1075</v>
      </c>
      <c r="E1184" s="5" t="n">
        <v>7</v>
      </c>
      <c r="F1184" s="20" t="n">
        <v>8.90475391374038</v>
      </c>
      <c r="G1184" s="20" t="n">
        <f aca="false">9-F1184</f>
        <v>0.0952460862596194</v>
      </c>
      <c r="H1184" s="20" t="n">
        <f aca="false">IF(G1184&gt;=1,G1184,0)</f>
        <v>0</v>
      </c>
      <c r="I1184" s="5" t="s">
        <v>1076</v>
      </c>
      <c r="J1184" s="5" t="s">
        <v>1743</v>
      </c>
    </row>
    <row r="1185" customFormat="false" ht="15" hidden="false" customHeight="false" outlineLevel="0" collapsed="false">
      <c r="A1185" s="5" t="s">
        <v>227</v>
      </c>
      <c r="B1185" s="5" t="s">
        <v>169</v>
      </c>
      <c r="C1185" s="5" t="n">
        <v>127</v>
      </c>
      <c r="D1185" s="5" t="s">
        <v>1075</v>
      </c>
      <c r="E1185" s="5" t="n">
        <v>7</v>
      </c>
      <c r="F1185" s="20" t="n">
        <v>8.90475391374038</v>
      </c>
      <c r="G1185" s="20" t="n">
        <f aca="false">9-F1185</f>
        <v>0.0952460862596194</v>
      </c>
      <c r="H1185" s="20" t="n">
        <f aca="false">IF(G1185&gt;=1,G1185,0)</f>
        <v>0</v>
      </c>
      <c r="I1185" s="5" t="s">
        <v>1076</v>
      </c>
      <c r="J1185" s="5" t="s">
        <v>1744</v>
      </c>
    </row>
    <row r="1186" customFormat="false" ht="15" hidden="false" customHeight="false" outlineLevel="0" collapsed="false">
      <c r="A1186" s="5" t="s">
        <v>227</v>
      </c>
      <c r="B1186" s="5" t="s">
        <v>169</v>
      </c>
      <c r="C1186" s="5" t="n">
        <v>128</v>
      </c>
      <c r="D1186" s="5" t="s">
        <v>1075</v>
      </c>
      <c r="E1186" s="5" t="n">
        <v>7</v>
      </c>
      <c r="F1186" s="20" t="n">
        <v>8.90475391374038</v>
      </c>
      <c r="G1186" s="20" t="n">
        <f aca="false">9-F1186</f>
        <v>0.0952460862596194</v>
      </c>
      <c r="H1186" s="20" t="n">
        <f aca="false">IF(G1186&gt;=1,G1186,0)</f>
        <v>0</v>
      </c>
      <c r="I1186" s="5" t="s">
        <v>1076</v>
      </c>
      <c r="J1186" s="5" t="s">
        <v>1745</v>
      </c>
    </row>
    <row r="1187" customFormat="false" ht="15" hidden="false" customHeight="false" outlineLevel="0" collapsed="false">
      <c r="A1187" s="5" t="s">
        <v>227</v>
      </c>
      <c r="B1187" s="5" t="s">
        <v>169</v>
      </c>
      <c r="C1187" s="5" t="n">
        <v>129</v>
      </c>
      <c r="D1187" s="5" t="s">
        <v>1075</v>
      </c>
      <c r="E1187" s="5" t="n">
        <v>7</v>
      </c>
      <c r="F1187" s="20" t="n">
        <v>8.90475391374038</v>
      </c>
      <c r="G1187" s="20" t="n">
        <f aca="false">9-F1187</f>
        <v>0.0952460862596194</v>
      </c>
      <c r="H1187" s="20" t="n">
        <f aca="false">IF(G1187&gt;=1,G1187,0)</f>
        <v>0</v>
      </c>
      <c r="I1187" s="5" t="s">
        <v>1076</v>
      </c>
      <c r="J1187" s="5" t="s">
        <v>1746</v>
      </c>
    </row>
    <row r="1188" customFormat="false" ht="15" hidden="false" customHeight="false" outlineLevel="0" collapsed="false">
      <c r="A1188" s="5" t="s">
        <v>227</v>
      </c>
      <c r="B1188" s="5" t="s">
        <v>169</v>
      </c>
      <c r="C1188" s="5" t="n">
        <v>130</v>
      </c>
      <c r="D1188" s="5" t="s">
        <v>1075</v>
      </c>
      <c r="E1188" s="5" t="n">
        <v>7</v>
      </c>
      <c r="F1188" s="20" t="n">
        <v>8.90475391374038</v>
      </c>
      <c r="G1188" s="20" t="n">
        <f aca="false">9-F1188</f>
        <v>0.0952460862596194</v>
      </c>
      <c r="H1188" s="20" t="n">
        <f aca="false">IF(G1188&gt;=1,G1188,0)</f>
        <v>0</v>
      </c>
      <c r="I1188" s="5" t="s">
        <v>1076</v>
      </c>
      <c r="J1188" s="5" t="s">
        <v>1747</v>
      </c>
    </row>
    <row r="1189" customFormat="false" ht="15" hidden="false" customHeight="false" outlineLevel="0" collapsed="false">
      <c r="A1189" s="5" t="s">
        <v>227</v>
      </c>
      <c r="B1189" s="5" t="s">
        <v>169</v>
      </c>
      <c r="C1189" s="5" t="n">
        <v>131</v>
      </c>
      <c r="D1189" s="5" t="s">
        <v>1075</v>
      </c>
      <c r="E1189" s="5" t="n">
        <v>7</v>
      </c>
      <c r="F1189" s="20" t="n">
        <v>8.90475391374038</v>
      </c>
      <c r="G1189" s="20" t="n">
        <f aca="false">9-F1189</f>
        <v>0.0952460862596194</v>
      </c>
      <c r="H1189" s="20" t="n">
        <f aca="false">IF(G1189&gt;=1,G1189,0)</f>
        <v>0</v>
      </c>
      <c r="I1189" s="5" t="s">
        <v>1076</v>
      </c>
      <c r="J1189" s="5" t="s">
        <v>1748</v>
      </c>
    </row>
    <row r="1190" customFormat="false" ht="15" hidden="false" customHeight="false" outlineLevel="0" collapsed="false">
      <c r="A1190" s="5" t="s">
        <v>227</v>
      </c>
      <c r="B1190" s="5" t="s">
        <v>169</v>
      </c>
      <c r="C1190" s="5" t="n">
        <v>132</v>
      </c>
      <c r="D1190" s="5" t="s">
        <v>1075</v>
      </c>
      <c r="E1190" s="5" t="n">
        <v>7</v>
      </c>
      <c r="F1190" s="20" t="n">
        <v>8.90475391374038</v>
      </c>
      <c r="G1190" s="20" t="n">
        <f aca="false">9-F1190</f>
        <v>0.0952460862596194</v>
      </c>
      <c r="H1190" s="20" t="n">
        <f aca="false">IF(G1190&gt;=1,G1190,0)</f>
        <v>0</v>
      </c>
      <c r="I1190" s="5" t="s">
        <v>1076</v>
      </c>
      <c r="J1190" s="5" t="s">
        <v>1749</v>
      </c>
    </row>
    <row r="1191" customFormat="false" ht="15" hidden="false" customHeight="false" outlineLevel="0" collapsed="false">
      <c r="A1191" s="5" t="s">
        <v>227</v>
      </c>
      <c r="B1191" s="5" t="s">
        <v>169</v>
      </c>
      <c r="C1191" s="5" t="n">
        <v>133</v>
      </c>
      <c r="D1191" s="5" t="s">
        <v>1075</v>
      </c>
      <c r="E1191" s="5" t="n">
        <v>7</v>
      </c>
      <c r="F1191" s="20" t="n">
        <v>8.90475391374038</v>
      </c>
      <c r="G1191" s="20" t="n">
        <f aca="false">9-F1191</f>
        <v>0.0952460862596229</v>
      </c>
      <c r="H1191" s="20" t="n">
        <f aca="false">IF(G1191&gt;=1,G1191,0)</f>
        <v>0</v>
      </c>
      <c r="I1191" s="5" t="s">
        <v>1076</v>
      </c>
      <c r="J1191" s="5" t="s">
        <v>1750</v>
      </c>
    </row>
    <row r="1192" customFormat="false" ht="15" hidden="false" customHeight="false" outlineLevel="0" collapsed="false">
      <c r="A1192" s="5" t="s">
        <v>227</v>
      </c>
      <c r="B1192" s="5" t="s">
        <v>169</v>
      </c>
      <c r="C1192" s="5" t="n">
        <v>134</v>
      </c>
      <c r="D1192" s="5" t="s">
        <v>1075</v>
      </c>
      <c r="E1192" s="5" t="n">
        <v>7</v>
      </c>
      <c r="F1192" s="20" t="n">
        <v>8.90475391374038</v>
      </c>
      <c r="G1192" s="20" t="n">
        <f aca="false">9-F1192</f>
        <v>0.0952460862596247</v>
      </c>
      <c r="H1192" s="20" t="n">
        <f aca="false">IF(G1192&gt;=1,G1192,0)</f>
        <v>0</v>
      </c>
      <c r="I1192" s="5" t="s">
        <v>1076</v>
      </c>
      <c r="J1192" s="5" t="s">
        <v>1751</v>
      </c>
    </row>
    <row r="1193" customFormat="false" ht="15" hidden="false" customHeight="false" outlineLevel="0" collapsed="false">
      <c r="A1193" s="5" t="s">
        <v>227</v>
      </c>
      <c r="B1193" s="5" t="s">
        <v>169</v>
      </c>
      <c r="C1193" s="5" t="n">
        <v>135</v>
      </c>
      <c r="D1193" s="5" t="s">
        <v>1075</v>
      </c>
      <c r="E1193" s="5" t="n">
        <v>7</v>
      </c>
      <c r="F1193" s="20" t="n">
        <v>8.90475391374038</v>
      </c>
      <c r="G1193" s="20" t="n">
        <f aca="false">9-F1193</f>
        <v>0.0952460862596247</v>
      </c>
      <c r="H1193" s="20" t="n">
        <f aca="false">IF(G1193&gt;=1,G1193,0)</f>
        <v>0</v>
      </c>
      <c r="I1193" s="5" t="s">
        <v>1076</v>
      </c>
      <c r="J1193" s="5" t="s">
        <v>1752</v>
      </c>
    </row>
    <row r="1194" customFormat="false" ht="15" hidden="false" customHeight="false" outlineLevel="0" collapsed="false">
      <c r="A1194" s="5" t="s">
        <v>227</v>
      </c>
      <c r="B1194" s="5" t="s">
        <v>169</v>
      </c>
      <c r="C1194" s="5" t="n">
        <v>136</v>
      </c>
      <c r="D1194" s="5" t="s">
        <v>1075</v>
      </c>
      <c r="E1194" s="5" t="n">
        <v>7</v>
      </c>
      <c r="F1194" s="20" t="n">
        <v>8.90475391374038</v>
      </c>
      <c r="G1194" s="20" t="n">
        <f aca="false">9-F1194</f>
        <v>0.0952460862596247</v>
      </c>
      <c r="H1194" s="20" t="n">
        <f aca="false">IF(G1194&gt;=1,G1194,0)</f>
        <v>0</v>
      </c>
      <c r="I1194" s="5" t="s">
        <v>1076</v>
      </c>
      <c r="J1194" s="5" t="s">
        <v>1753</v>
      </c>
    </row>
    <row r="1195" customFormat="false" ht="15" hidden="false" customHeight="false" outlineLevel="0" collapsed="false">
      <c r="A1195" s="5" t="s">
        <v>227</v>
      </c>
      <c r="B1195" s="5" t="s">
        <v>169</v>
      </c>
      <c r="C1195" s="5" t="n">
        <v>137</v>
      </c>
      <c r="D1195" s="5" t="s">
        <v>1075</v>
      </c>
      <c r="E1195" s="5" t="n">
        <v>7</v>
      </c>
      <c r="F1195" s="20" t="n">
        <v>8.90475391374038</v>
      </c>
      <c r="G1195" s="20" t="n">
        <f aca="false">9-F1195</f>
        <v>0.0952460862596247</v>
      </c>
      <c r="H1195" s="20" t="n">
        <f aca="false">IF(G1195&gt;=1,G1195,0)</f>
        <v>0</v>
      </c>
      <c r="I1195" s="5" t="s">
        <v>1076</v>
      </c>
      <c r="J1195" s="5" t="s">
        <v>1754</v>
      </c>
    </row>
    <row r="1196" customFormat="false" ht="15" hidden="false" customHeight="false" outlineLevel="0" collapsed="false">
      <c r="A1196" s="5" t="s">
        <v>227</v>
      </c>
      <c r="B1196" s="5" t="s">
        <v>169</v>
      </c>
      <c r="C1196" s="5" t="n">
        <v>138</v>
      </c>
      <c r="D1196" s="5" t="s">
        <v>1075</v>
      </c>
      <c r="E1196" s="5" t="n">
        <v>7</v>
      </c>
      <c r="F1196" s="20" t="n">
        <v>8.90475391374038</v>
      </c>
      <c r="G1196" s="20" t="n">
        <f aca="false">9-F1196</f>
        <v>0.0952460862596247</v>
      </c>
      <c r="H1196" s="20" t="n">
        <f aca="false">IF(G1196&gt;=1,G1196,0)</f>
        <v>0</v>
      </c>
      <c r="I1196" s="5" t="s">
        <v>1076</v>
      </c>
      <c r="J1196" s="5" t="s">
        <v>1755</v>
      </c>
    </row>
    <row r="1197" customFormat="false" ht="15" hidden="false" customHeight="false" outlineLevel="0" collapsed="false">
      <c r="A1197" s="5" t="s">
        <v>227</v>
      </c>
      <c r="B1197" s="5" t="s">
        <v>169</v>
      </c>
      <c r="C1197" s="5" t="n">
        <v>139</v>
      </c>
      <c r="D1197" s="5" t="s">
        <v>1075</v>
      </c>
      <c r="E1197" s="5" t="n">
        <v>7</v>
      </c>
      <c r="F1197" s="20" t="n">
        <v>8.90475391374037</v>
      </c>
      <c r="G1197" s="20" t="n">
        <f aca="false">9-F1197</f>
        <v>0.0952460862596265</v>
      </c>
      <c r="H1197" s="20" t="n">
        <f aca="false">IF(G1197&gt;=1,G1197,0)</f>
        <v>0</v>
      </c>
      <c r="I1197" s="5" t="s">
        <v>1076</v>
      </c>
      <c r="J1197" s="5" t="s">
        <v>1756</v>
      </c>
    </row>
    <row r="1198" customFormat="false" ht="15" hidden="false" customHeight="false" outlineLevel="0" collapsed="false">
      <c r="A1198" s="5" t="s">
        <v>227</v>
      </c>
      <c r="B1198" s="5" t="s">
        <v>169</v>
      </c>
      <c r="C1198" s="5" t="n">
        <v>140</v>
      </c>
      <c r="D1198" s="5" t="s">
        <v>1075</v>
      </c>
      <c r="E1198" s="5" t="n">
        <v>7</v>
      </c>
      <c r="F1198" s="20" t="n">
        <v>8.90475391374037</v>
      </c>
      <c r="G1198" s="20" t="n">
        <f aca="false">9-F1198</f>
        <v>0.0952460862596265</v>
      </c>
      <c r="H1198" s="20" t="n">
        <f aca="false">IF(G1198&gt;=1,G1198,0)</f>
        <v>0</v>
      </c>
      <c r="I1198" s="5" t="s">
        <v>1076</v>
      </c>
      <c r="J1198" s="5" t="s">
        <v>1757</v>
      </c>
    </row>
    <row r="1199" customFormat="false" ht="15" hidden="false" customHeight="false" outlineLevel="0" collapsed="false">
      <c r="A1199" s="5" t="s">
        <v>227</v>
      </c>
      <c r="B1199" s="5" t="s">
        <v>169</v>
      </c>
      <c r="C1199" s="5" t="n">
        <v>141</v>
      </c>
      <c r="D1199" s="5" t="s">
        <v>1075</v>
      </c>
      <c r="E1199" s="5" t="n">
        <v>7</v>
      </c>
      <c r="F1199" s="20" t="n">
        <v>8.90475391374037</v>
      </c>
      <c r="G1199" s="20" t="n">
        <f aca="false">9-F1199</f>
        <v>0.0952460862596265</v>
      </c>
      <c r="H1199" s="20" t="n">
        <f aca="false">IF(G1199&gt;=1,G1199,0)</f>
        <v>0</v>
      </c>
      <c r="I1199" s="5" t="s">
        <v>1076</v>
      </c>
      <c r="J1199" s="5" t="s">
        <v>1758</v>
      </c>
    </row>
    <row r="1200" customFormat="false" ht="15" hidden="false" customHeight="false" outlineLevel="0" collapsed="false">
      <c r="A1200" s="5" t="s">
        <v>227</v>
      </c>
      <c r="B1200" s="5" t="s">
        <v>169</v>
      </c>
      <c r="C1200" s="5" t="n">
        <v>142</v>
      </c>
      <c r="D1200" s="5" t="s">
        <v>1075</v>
      </c>
      <c r="E1200" s="5" t="n">
        <v>7</v>
      </c>
      <c r="F1200" s="20" t="n">
        <v>8.90475391374037</v>
      </c>
      <c r="G1200" s="20" t="n">
        <f aca="false">9-F1200</f>
        <v>0.0952460862596265</v>
      </c>
      <c r="H1200" s="20" t="n">
        <f aca="false">IF(G1200&gt;=1,G1200,0)</f>
        <v>0</v>
      </c>
      <c r="I1200" s="5" t="s">
        <v>1076</v>
      </c>
      <c r="J1200" s="5" t="s">
        <v>1759</v>
      </c>
    </row>
    <row r="1201" customFormat="false" ht="15" hidden="false" customHeight="false" outlineLevel="0" collapsed="false">
      <c r="A1201" s="5" t="s">
        <v>227</v>
      </c>
      <c r="B1201" s="5" t="s">
        <v>169</v>
      </c>
      <c r="C1201" s="5" t="n">
        <v>143</v>
      </c>
      <c r="D1201" s="5" t="s">
        <v>1075</v>
      </c>
      <c r="E1201" s="5" t="n">
        <v>7</v>
      </c>
      <c r="F1201" s="20" t="n">
        <v>8.90475391374037</v>
      </c>
      <c r="G1201" s="20" t="n">
        <f aca="false">9-F1201</f>
        <v>0.0952460862596265</v>
      </c>
      <c r="H1201" s="20" t="n">
        <f aca="false">IF(G1201&gt;=1,G1201,0)</f>
        <v>0</v>
      </c>
      <c r="I1201" s="5" t="s">
        <v>1076</v>
      </c>
      <c r="J1201" s="5" t="s">
        <v>1760</v>
      </c>
    </row>
    <row r="1202" customFormat="false" ht="15" hidden="false" customHeight="false" outlineLevel="0" collapsed="false">
      <c r="A1202" s="5" t="s">
        <v>227</v>
      </c>
      <c r="B1202" s="5" t="s">
        <v>169</v>
      </c>
      <c r="C1202" s="5" t="n">
        <v>144</v>
      </c>
      <c r="D1202" s="5" t="s">
        <v>1075</v>
      </c>
      <c r="E1202" s="5" t="n">
        <v>7</v>
      </c>
      <c r="F1202" s="20" t="n">
        <v>8.90475391374037</v>
      </c>
      <c r="G1202" s="20" t="n">
        <f aca="false">9-F1202</f>
        <v>0.0952460862596265</v>
      </c>
      <c r="H1202" s="20" t="n">
        <f aca="false">IF(G1202&gt;=1,G1202,0)</f>
        <v>0</v>
      </c>
      <c r="I1202" s="5" t="s">
        <v>1076</v>
      </c>
      <c r="J1202" s="5" t="s">
        <v>1761</v>
      </c>
    </row>
    <row r="1203" customFormat="false" ht="15" hidden="false" customHeight="false" outlineLevel="0" collapsed="false">
      <c r="A1203" s="5" t="s">
        <v>227</v>
      </c>
      <c r="B1203" s="5" t="s">
        <v>169</v>
      </c>
      <c r="C1203" s="5" t="n">
        <v>145</v>
      </c>
      <c r="D1203" s="5" t="s">
        <v>1075</v>
      </c>
      <c r="E1203" s="5" t="n">
        <v>7</v>
      </c>
      <c r="F1203" s="20" t="n">
        <v>8.90475391374037</v>
      </c>
      <c r="G1203" s="20" t="n">
        <f aca="false">9-F1203</f>
        <v>0.0952460862596301</v>
      </c>
      <c r="H1203" s="20" t="n">
        <f aca="false">IF(G1203&gt;=1,G1203,0)</f>
        <v>0</v>
      </c>
      <c r="I1203" s="5" t="s">
        <v>1076</v>
      </c>
      <c r="J1203" s="5" t="s">
        <v>1762</v>
      </c>
    </row>
    <row r="1204" customFormat="false" ht="15" hidden="false" customHeight="false" outlineLevel="0" collapsed="false">
      <c r="A1204" s="5" t="s">
        <v>227</v>
      </c>
      <c r="B1204" s="5" t="s">
        <v>169</v>
      </c>
      <c r="C1204" s="5" t="n">
        <v>146</v>
      </c>
      <c r="D1204" s="5" t="s">
        <v>1075</v>
      </c>
      <c r="E1204" s="5" t="n">
        <v>7</v>
      </c>
      <c r="F1204" s="20" t="n">
        <v>8.90475391374037</v>
      </c>
      <c r="G1204" s="20" t="n">
        <f aca="false">9-F1204</f>
        <v>0.0952460862596301</v>
      </c>
      <c r="H1204" s="20" t="n">
        <f aca="false">IF(G1204&gt;=1,G1204,0)</f>
        <v>0</v>
      </c>
      <c r="I1204" s="5" t="s">
        <v>1076</v>
      </c>
      <c r="J1204" s="5" t="s">
        <v>1762</v>
      </c>
    </row>
    <row r="1205" customFormat="false" ht="15" hidden="false" customHeight="false" outlineLevel="0" collapsed="false">
      <c r="A1205" s="5" t="s">
        <v>227</v>
      </c>
      <c r="B1205" s="5" t="s">
        <v>169</v>
      </c>
      <c r="C1205" s="5" t="n">
        <v>147</v>
      </c>
      <c r="D1205" s="5" t="s">
        <v>1075</v>
      </c>
      <c r="E1205" s="5" t="n">
        <v>7</v>
      </c>
      <c r="F1205" s="20" t="n">
        <v>8.90475391374037</v>
      </c>
      <c r="G1205" s="20" t="n">
        <f aca="false">9-F1205</f>
        <v>0.0952460862596318</v>
      </c>
      <c r="H1205" s="20" t="n">
        <f aca="false">IF(G1205&gt;=1,G1205,0)</f>
        <v>0</v>
      </c>
      <c r="I1205" s="5" t="s">
        <v>1076</v>
      </c>
      <c r="J1205" s="5" t="s">
        <v>1763</v>
      </c>
    </row>
    <row r="1206" customFormat="false" ht="15" hidden="false" customHeight="false" outlineLevel="0" collapsed="false">
      <c r="A1206" s="5" t="s">
        <v>227</v>
      </c>
      <c r="B1206" s="5" t="s">
        <v>169</v>
      </c>
      <c r="C1206" s="5" t="n">
        <v>148</v>
      </c>
      <c r="D1206" s="5" t="s">
        <v>1075</v>
      </c>
      <c r="E1206" s="5" t="n">
        <v>7</v>
      </c>
      <c r="F1206" s="20" t="n">
        <v>8.90475391374037</v>
      </c>
      <c r="G1206" s="20" t="n">
        <f aca="false">9-F1206</f>
        <v>0.0952460862596318</v>
      </c>
      <c r="H1206" s="20" t="n">
        <f aca="false">IF(G1206&gt;=1,G1206,0)</f>
        <v>0</v>
      </c>
      <c r="I1206" s="5" t="s">
        <v>1076</v>
      </c>
      <c r="J1206" s="5" t="s">
        <v>1764</v>
      </c>
    </row>
    <row r="1207" customFormat="false" ht="15" hidden="false" customHeight="false" outlineLevel="0" collapsed="false">
      <c r="A1207" s="5" t="s">
        <v>227</v>
      </c>
      <c r="B1207" s="5" t="s">
        <v>169</v>
      </c>
      <c r="C1207" s="5" t="n">
        <v>149</v>
      </c>
      <c r="D1207" s="5" t="s">
        <v>1075</v>
      </c>
      <c r="E1207" s="5" t="n">
        <v>7</v>
      </c>
      <c r="F1207" s="20" t="n">
        <v>8.90475391374037</v>
      </c>
      <c r="G1207" s="20" t="n">
        <f aca="false">9-F1207</f>
        <v>0.0952460862596318</v>
      </c>
      <c r="H1207" s="20" t="n">
        <f aca="false">IF(G1207&gt;=1,G1207,0)</f>
        <v>0</v>
      </c>
      <c r="I1207" s="5" t="s">
        <v>1076</v>
      </c>
      <c r="J1207" s="5" t="s">
        <v>1765</v>
      </c>
    </row>
    <row r="1208" customFormat="false" ht="15" hidden="false" customHeight="false" outlineLevel="0" collapsed="false">
      <c r="A1208" s="5" t="s">
        <v>227</v>
      </c>
      <c r="B1208" s="5" t="s">
        <v>169</v>
      </c>
      <c r="C1208" s="5" t="n">
        <v>150</v>
      </c>
      <c r="D1208" s="5" t="s">
        <v>1075</v>
      </c>
      <c r="E1208" s="5" t="n">
        <v>7</v>
      </c>
      <c r="F1208" s="20" t="n">
        <v>8.90475391374037</v>
      </c>
      <c r="G1208" s="20" t="n">
        <f aca="false">9-F1208</f>
        <v>0.0952460862596318</v>
      </c>
      <c r="H1208" s="20" t="n">
        <f aca="false">IF(G1208&gt;=1,G1208,0)</f>
        <v>0</v>
      </c>
      <c r="I1208" s="5" t="s">
        <v>1076</v>
      </c>
      <c r="J1208" s="5" t="s">
        <v>1766</v>
      </c>
    </row>
    <row r="1209" customFormat="false" ht="15" hidden="false" customHeight="false" outlineLevel="0" collapsed="false">
      <c r="A1209" s="5" t="s">
        <v>227</v>
      </c>
      <c r="B1209" s="5" t="s">
        <v>169</v>
      </c>
      <c r="C1209" s="5" t="n">
        <v>151</v>
      </c>
      <c r="D1209" s="5" t="s">
        <v>1075</v>
      </c>
      <c r="E1209" s="5" t="n">
        <v>7</v>
      </c>
      <c r="F1209" s="20" t="n">
        <v>8.90475391374037</v>
      </c>
      <c r="G1209" s="20" t="n">
        <f aca="false">9-F1209</f>
        <v>0.0952460862596318</v>
      </c>
      <c r="H1209" s="20" t="n">
        <f aca="false">IF(G1209&gt;=1,G1209,0)</f>
        <v>0</v>
      </c>
      <c r="I1209" s="5" t="s">
        <v>1076</v>
      </c>
      <c r="J1209" s="5" t="s">
        <v>1767</v>
      </c>
    </row>
    <row r="1210" customFormat="false" ht="15" hidden="false" customHeight="false" outlineLevel="0" collapsed="false">
      <c r="A1210" s="5" t="s">
        <v>227</v>
      </c>
      <c r="B1210" s="5" t="s">
        <v>169</v>
      </c>
      <c r="C1210" s="5" t="n">
        <v>152</v>
      </c>
      <c r="D1210" s="5" t="s">
        <v>1075</v>
      </c>
      <c r="E1210" s="5" t="n">
        <v>7</v>
      </c>
      <c r="F1210" s="20" t="n">
        <v>8.90475391374037</v>
      </c>
      <c r="G1210" s="20" t="n">
        <f aca="false">9-F1210</f>
        <v>0.0952460862596318</v>
      </c>
      <c r="H1210" s="20" t="n">
        <f aca="false">IF(G1210&gt;=1,G1210,0)</f>
        <v>0</v>
      </c>
      <c r="I1210" s="5" t="s">
        <v>1076</v>
      </c>
      <c r="J1210" s="5" t="s">
        <v>1768</v>
      </c>
    </row>
    <row r="1211" customFormat="false" ht="15" hidden="false" customHeight="false" outlineLevel="0" collapsed="false">
      <c r="A1211" s="5" t="s">
        <v>227</v>
      </c>
      <c r="B1211" s="5" t="s">
        <v>169</v>
      </c>
      <c r="C1211" s="5" t="n">
        <v>153</v>
      </c>
      <c r="D1211" s="5" t="s">
        <v>1075</v>
      </c>
      <c r="E1211" s="5" t="n">
        <v>7</v>
      </c>
      <c r="F1211" s="20" t="n">
        <v>8.90475391374037</v>
      </c>
      <c r="G1211" s="20" t="n">
        <f aca="false">9-F1211</f>
        <v>0.0952460862596318</v>
      </c>
      <c r="H1211" s="20" t="n">
        <f aca="false">IF(G1211&gt;=1,G1211,0)</f>
        <v>0</v>
      </c>
      <c r="I1211" s="5" t="s">
        <v>1076</v>
      </c>
      <c r="J1211" s="5" t="s">
        <v>1769</v>
      </c>
    </row>
    <row r="1212" customFormat="false" ht="15" hidden="false" customHeight="false" outlineLevel="0" collapsed="false">
      <c r="A1212" s="5" t="s">
        <v>227</v>
      </c>
      <c r="B1212" s="5" t="s">
        <v>169</v>
      </c>
      <c r="C1212" s="5" t="n">
        <v>154</v>
      </c>
      <c r="D1212" s="5" t="s">
        <v>1075</v>
      </c>
      <c r="E1212" s="5" t="n">
        <v>7</v>
      </c>
      <c r="F1212" s="20" t="n">
        <v>8.90475391374037</v>
      </c>
      <c r="G1212" s="20" t="n">
        <f aca="false">9-F1212</f>
        <v>0.0952460862596318</v>
      </c>
      <c r="H1212" s="20" t="n">
        <f aca="false">IF(G1212&gt;=1,G1212,0)</f>
        <v>0</v>
      </c>
      <c r="I1212" s="5" t="s">
        <v>1076</v>
      </c>
      <c r="J1212" s="5" t="s">
        <v>1770</v>
      </c>
    </row>
    <row r="1213" customFormat="false" ht="15" hidden="false" customHeight="false" outlineLevel="0" collapsed="false">
      <c r="A1213" s="5" t="s">
        <v>227</v>
      </c>
      <c r="B1213" s="5" t="s">
        <v>169</v>
      </c>
      <c r="C1213" s="5" t="n">
        <v>155</v>
      </c>
      <c r="D1213" s="5" t="s">
        <v>1075</v>
      </c>
      <c r="E1213" s="5" t="n">
        <v>7</v>
      </c>
      <c r="F1213" s="20" t="n">
        <v>8.90475391374037</v>
      </c>
      <c r="G1213" s="20" t="n">
        <f aca="false">9-F1213</f>
        <v>0.0952460862596318</v>
      </c>
      <c r="H1213" s="20" t="n">
        <f aca="false">IF(G1213&gt;=1,G1213,0)</f>
        <v>0</v>
      </c>
      <c r="I1213" s="5" t="s">
        <v>1076</v>
      </c>
      <c r="J1213" s="5" t="s">
        <v>1771</v>
      </c>
    </row>
    <row r="1214" customFormat="false" ht="15" hidden="false" customHeight="false" outlineLevel="0" collapsed="false">
      <c r="A1214" s="5" t="s">
        <v>227</v>
      </c>
      <c r="B1214" s="5" t="s">
        <v>169</v>
      </c>
      <c r="C1214" s="5" t="n">
        <v>156</v>
      </c>
      <c r="D1214" s="5" t="s">
        <v>1075</v>
      </c>
      <c r="E1214" s="5" t="n">
        <v>7</v>
      </c>
      <c r="F1214" s="20" t="n">
        <v>8.90475391374037</v>
      </c>
      <c r="G1214" s="20" t="n">
        <f aca="false">9-F1214</f>
        <v>0.0952460862596318</v>
      </c>
      <c r="H1214" s="20" t="n">
        <f aca="false">IF(G1214&gt;=1,G1214,0)</f>
        <v>0</v>
      </c>
      <c r="I1214" s="5" t="s">
        <v>1076</v>
      </c>
      <c r="J1214" s="5" t="s">
        <v>1772</v>
      </c>
    </row>
    <row r="1215" customFormat="false" ht="15" hidden="false" customHeight="false" outlineLevel="0" collapsed="false">
      <c r="A1215" s="5" t="s">
        <v>227</v>
      </c>
      <c r="B1215" s="5" t="s">
        <v>169</v>
      </c>
      <c r="C1215" s="5" t="n">
        <v>157</v>
      </c>
      <c r="D1215" s="5" t="s">
        <v>1075</v>
      </c>
      <c r="E1215" s="5" t="n">
        <v>7</v>
      </c>
      <c r="F1215" s="20" t="n">
        <v>8.90475391374036</v>
      </c>
      <c r="G1215" s="20" t="n">
        <f aca="false">9-F1215</f>
        <v>0.0952460862596407</v>
      </c>
      <c r="H1215" s="20" t="n">
        <f aca="false">IF(G1215&gt;=1,G1215,0)</f>
        <v>0</v>
      </c>
      <c r="I1215" s="5" t="s">
        <v>1076</v>
      </c>
      <c r="J1215" s="5" t="s">
        <v>1773</v>
      </c>
    </row>
    <row r="1216" customFormat="false" ht="15" hidden="false" customHeight="false" outlineLevel="0" collapsed="false">
      <c r="A1216" s="5" t="s">
        <v>227</v>
      </c>
      <c r="B1216" s="5" t="s">
        <v>169</v>
      </c>
      <c r="C1216" s="5" t="n">
        <v>158</v>
      </c>
      <c r="D1216" s="5" t="s">
        <v>1075</v>
      </c>
      <c r="E1216" s="5" t="n">
        <v>7</v>
      </c>
      <c r="F1216" s="20" t="n">
        <v>8.90475391374036</v>
      </c>
      <c r="G1216" s="20" t="n">
        <f aca="false">9-F1216</f>
        <v>0.0952460862596407</v>
      </c>
      <c r="H1216" s="20" t="n">
        <f aca="false">IF(G1216&gt;=1,G1216,0)</f>
        <v>0</v>
      </c>
      <c r="I1216" s="5" t="s">
        <v>1076</v>
      </c>
      <c r="J1216" s="5" t="s">
        <v>1773</v>
      </c>
    </row>
    <row r="1217" customFormat="false" ht="15" hidden="false" customHeight="false" outlineLevel="0" collapsed="false">
      <c r="A1217" s="5" t="s">
        <v>227</v>
      </c>
      <c r="B1217" s="5" t="s">
        <v>169</v>
      </c>
      <c r="C1217" s="5" t="n">
        <v>159</v>
      </c>
      <c r="D1217" s="5" t="s">
        <v>1075</v>
      </c>
      <c r="E1217" s="5" t="n">
        <v>7</v>
      </c>
      <c r="F1217" s="20" t="n">
        <v>8.90475391374036</v>
      </c>
      <c r="G1217" s="20" t="n">
        <f aca="false">9-F1217</f>
        <v>0.0952460862596407</v>
      </c>
      <c r="H1217" s="20" t="n">
        <f aca="false">IF(G1217&gt;=1,G1217,0)</f>
        <v>0</v>
      </c>
      <c r="I1217" s="5" t="s">
        <v>1076</v>
      </c>
      <c r="J1217" s="5" t="s">
        <v>1774</v>
      </c>
    </row>
    <row r="1218" customFormat="false" ht="15" hidden="false" customHeight="false" outlineLevel="0" collapsed="false">
      <c r="A1218" s="5" t="s">
        <v>227</v>
      </c>
      <c r="B1218" s="5" t="s">
        <v>169</v>
      </c>
      <c r="C1218" s="5" t="n">
        <v>160</v>
      </c>
      <c r="D1218" s="5" t="s">
        <v>1075</v>
      </c>
      <c r="E1218" s="5" t="n">
        <v>7</v>
      </c>
      <c r="F1218" s="20" t="n">
        <v>8.90475391374036</v>
      </c>
      <c r="G1218" s="20" t="n">
        <f aca="false">9-F1218</f>
        <v>0.0952460862596407</v>
      </c>
      <c r="H1218" s="20" t="n">
        <f aca="false">IF(G1218&gt;=1,G1218,0)</f>
        <v>0</v>
      </c>
      <c r="I1218" s="5" t="s">
        <v>1076</v>
      </c>
      <c r="J1218" s="5" t="s">
        <v>1774</v>
      </c>
    </row>
    <row r="1219" customFormat="false" ht="15" hidden="false" customHeight="false" outlineLevel="0" collapsed="false">
      <c r="A1219" s="5" t="s">
        <v>227</v>
      </c>
      <c r="B1219" s="5" t="s">
        <v>169</v>
      </c>
      <c r="C1219" s="5" t="n">
        <v>161</v>
      </c>
      <c r="D1219" s="5" t="s">
        <v>1075</v>
      </c>
      <c r="E1219" s="5" t="n">
        <v>7</v>
      </c>
      <c r="F1219" s="20" t="n">
        <v>8.90475391374036</v>
      </c>
      <c r="G1219" s="20" t="n">
        <f aca="false">9-F1219</f>
        <v>0.0952460862596407</v>
      </c>
      <c r="H1219" s="20" t="n">
        <f aca="false">IF(G1219&gt;=1,G1219,0)</f>
        <v>0</v>
      </c>
      <c r="I1219" s="5" t="s">
        <v>1076</v>
      </c>
      <c r="J1219" s="5" t="s">
        <v>1775</v>
      </c>
    </row>
    <row r="1220" customFormat="false" ht="15" hidden="false" customHeight="false" outlineLevel="0" collapsed="false">
      <c r="A1220" s="5" t="s">
        <v>227</v>
      </c>
      <c r="B1220" s="5" t="s">
        <v>169</v>
      </c>
      <c r="C1220" s="5" t="n">
        <v>162</v>
      </c>
      <c r="D1220" s="5" t="s">
        <v>1075</v>
      </c>
      <c r="E1220" s="5" t="n">
        <v>7</v>
      </c>
      <c r="F1220" s="20" t="n">
        <v>8.90475391374036</v>
      </c>
      <c r="G1220" s="20" t="n">
        <f aca="false">9-F1220</f>
        <v>0.0952460862596407</v>
      </c>
      <c r="H1220" s="20" t="n">
        <f aca="false">IF(G1220&gt;=1,G1220,0)</f>
        <v>0</v>
      </c>
      <c r="I1220" s="5" t="s">
        <v>1076</v>
      </c>
      <c r="J1220" s="5" t="s">
        <v>1776</v>
      </c>
    </row>
    <row r="1221" customFormat="false" ht="15" hidden="false" customHeight="false" outlineLevel="0" collapsed="false">
      <c r="A1221" s="5" t="s">
        <v>227</v>
      </c>
      <c r="B1221" s="5" t="s">
        <v>169</v>
      </c>
      <c r="C1221" s="5" t="n">
        <v>163</v>
      </c>
      <c r="D1221" s="5" t="s">
        <v>1075</v>
      </c>
      <c r="E1221" s="5" t="n">
        <v>7</v>
      </c>
      <c r="F1221" s="20" t="n">
        <v>8.90475391374036</v>
      </c>
      <c r="G1221" s="20" t="n">
        <f aca="false">9-F1221</f>
        <v>0.0952460862596407</v>
      </c>
      <c r="H1221" s="20" t="n">
        <f aca="false">IF(G1221&gt;=1,G1221,0)</f>
        <v>0</v>
      </c>
      <c r="I1221" s="5" t="s">
        <v>1076</v>
      </c>
      <c r="J1221" s="5" t="s">
        <v>1777</v>
      </c>
    </row>
    <row r="1222" customFormat="false" ht="15" hidden="false" customHeight="false" outlineLevel="0" collapsed="false">
      <c r="A1222" s="5" t="s">
        <v>227</v>
      </c>
      <c r="B1222" s="5" t="s">
        <v>169</v>
      </c>
      <c r="C1222" s="5" t="n">
        <v>164</v>
      </c>
      <c r="D1222" s="5" t="s">
        <v>1075</v>
      </c>
      <c r="E1222" s="5" t="n">
        <v>7</v>
      </c>
      <c r="F1222" s="20" t="n">
        <v>8.90475391374036</v>
      </c>
      <c r="G1222" s="20" t="n">
        <f aca="false">9-F1222</f>
        <v>0.0952460862596407</v>
      </c>
      <c r="H1222" s="20" t="n">
        <f aca="false">IF(G1222&gt;=1,G1222,0)</f>
        <v>0</v>
      </c>
      <c r="I1222" s="5" t="s">
        <v>1076</v>
      </c>
      <c r="J1222" s="5" t="s">
        <v>1778</v>
      </c>
    </row>
    <row r="1223" customFormat="false" ht="15" hidden="false" customHeight="false" outlineLevel="0" collapsed="false">
      <c r="A1223" s="5" t="s">
        <v>227</v>
      </c>
      <c r="B1223" s="5" t="s">
        <v>169</v>
      </c>
      <c r="C1223" s="5" t="n">
        <v>165</v>
      </c>
      <c r="D1223" s="5" t="s">
        <v>1075</v>
      </c>
      <c r="E1223" s="5" t="n">
        <v>7</v>
      </c>
      <c r="F1223" s="20" t="n">
        <v>8.90475391374036</v>
      </c>
      <c r="G1223" s="20" t="n">
        <f aca="false">9-F1223</f>
        <v>0.0952460862596407</v>
      </c>
      <c r="H1223" s="20" t="n">
        <f aca="false">IF(G1223&gt;=1,G1223,0)</f>
        <v>0</v>
      </c>
      <c r="I1223" s="5" t="s">
        <v>1076</v>
      </c>
      <c r="J1223" s="5" t="s">
        <v>1779</v>
      </c>
    </row>
    <row r="1224" customFormat="false" ht="15" hidden="false" customHeight="false" outlineLevel="0" collapsed="false">
      <c r="A1224" s="5" t="s">
        <v>227</v>
      </c>
      <c r="B1224" s="5" t="s">
        <v>169</v>
      </c>
      <c r="C1224" s="5" t="n">
        <v>166</v>
      </c>
      <c r="D1224" s="5" t="s">
        <v>1075</v>
      </c>
      <c r="E1224" s="5" t="n">
        <v>7</v>
      </c>
      <c r="F1224" s="20" t="n">
        <v>8.90475391374036</v>
      </c>
      <c r="G1224" s="20" t="n">
        <f aca="false">9-F1224</f>
        <v>0.0952460862596407</v>
      </c>
      <c r="H1224" s="20" t="n">
        <f aca="false">IF(G1224&gt;=1,G1224,0)</f>
        <v>0</v>
      </c>
      <c r="I1224" s="5" t="s">
        <v>1076</v>
      </c>
      <c r="J1224" s="5" t="s">
        <v>1780</v>
      </c>
    </row>
    <row r="1225" customFormat="false" ht="15" hidden="false" customHeight="false" outlineLevel="0" collapsed="false">
      <c r="A1225" s="5" t="s">
        <v>227</v>
      </c>
      <c r="B1225" s="5" t="s">
        <v>169</v>
      </c>
      <c r="C1225" s="5" t="n">
        <v>167</v>
      </c>
      <c r="D1225" s="5" t="s">
        <v>1075</v>
      </c>
      <c r="E1225" s="5" t="n">
        <v>7</v>
      </c>
      <c r="F1225" s="20" t="n">
        <v>8.90475391374036</v>
      </c>
      <c r="G1225" s="20" t="n">
        <f aca="false">9-F1225</f>
        <v>0.0952460862596407</v>
      </c>
      <c r="H1225" s="20" t="n">
        <f aca="false">IF(G1225&gt;=1,G1225,0)</f>
        <v>0</v>
      </c>
      <c r="I1225" s="5" t="s">
        <v>1076</v>
      </c>
      <c r="J1225" s="5" t="s">
        <v>1781</v>
      </c>
    </row>
    <row r="1226" customFormat="false" ht="15" hidden="false" customHeight="false" outlineLevel="0" collapsed="false">
      <c r="A1226" s="5" t="s">
        <v>227</v>
      </c>
      <c r="B1226" s="5" t="s">
        <v>169</v>
      </c>
      <c r="C1226" s="5" t="n">
        <v>168</v>
      </c>
      <c r="D1226" s="5" t="s">
        <v>1075</v>
      </c>
      <c r="E1226" s="5" t="n">
        <v>7</v>
      </c>
      <c r="F1226" s="20" t="n">
        <v>8.90475391374036</v>
      </c>
      <c r="G1226" s="20" t="n">
        <f aca="false">9-F1226</f>
        <v>0.0952460862596407</v>
      </c>
      <c r="H1226" s="20" t="n">
        <f aca="false">IF(G1226&gt;=1,G1226,0)</f>
        <v>0</v>
      </c>
      <c r="I1226" s="5" t="s">
        <v>1076</v>
      </c>
      <c r="J1226" s="5" t="s">
        <v>1781</v>
      </c>
    </row>
    <row r="1227" customFormat="false" ht="15" hidden="false" customHeight="false" outlineLevel="0" collapsed="false">
      <c r="A1227" s="5" t="s">
        <v>227</v>
      </c>
      <c r="B1227" s="5" t="s">
        <v>169</v>
      </c>
      <c r="C1227" s="5" t="n">
        <v>169</v>
      </c>
      <c r="D1227" s="5" t="s">
        <v>1075</v>
      </c>
      <c r="E1227" s="5" t="n">
        <v>7</v>
      </c>
      <c r="F1227" s="20" t="n">
        <v>8.90475391374036</v>
      </c>
      <c r="G1227" s="20" t="n">
        <f aca="false">9-F1227</f>
        <v>0.0952460862596425</v>
      </c>
      <c r="H1227" s="20" t="n">
        <f aca="false">IF(G1227&gt;=1,G1227,0)</f>
        <v>0</v>
      </c>
      <c r="I1227" s="5" t="s">
        <v>1076</v>
      </c>
      <c r="J1227" s="5" t="s">
        <v>1782</v>
      </c>
    </row>
    <row r="1228" customFormat="false" ht="15" hidden="false" customHeight="false" outlineLevel="0" collapsed="false">
      <c r="A1228" s="5" t="s">
        <v>227</v>
      </c>
      <c r="B1228" s="5" t="s">
        <v>169</v>
      </c>
      <c r="C1228" s="5" t="n">
        <v>170</v>
      </c>
      <c r="D1228" s="5" t="s">
        <v>1075</v>
      </c>
      <c r="E1228" s="5" t="n">
        <v>7</v>
      </c>
      <c r="F1228" s="20" t="n">
        <v>8.90475391374036</v>
      </c>
      <c r="G1228" s="20" t="n">
        <f aca="false">9-F1228</f>
        <v>0.0952460862596425</v>
      </c>
      <c r="H1228" s="20" t="n">
        <f aca="false">IF(G1228&gt;=1,G1228,0)</f>
        <v>0</v>
      </c>
      <c r="I1228" s="5" t="s">
        <v>1076</v>
      </c>
      <c r="J1228" s="5" t="s">
        <v>1783</v>
      </c>
    </row>
    <row r="1229" customFormat="false" ht="15" hidden="false" customHeight="false" outlineLevel="0" collapsed="false">
      <c r="A1229" s="5" t="s">
        <v>227</v>
      </c>
      <c r="B1229" s="5" t="s">
        <v>169</v>
      </c>
      <c r="C1229" s="5" t="n">
        <v>171</v>
      </c>
      <c r="D1229" s="5" t="s">
        <v>1075</v>
      </c>
      <c r="E1229" s="5" t="n">
        <v>7</v>
      </c>
      <c r="F1229" s="20" t="n">
        <v>8.90475391374036</v>
      </c>
      <c r="G1229" s="20" t="n">
        <f aca="false">9-F1229</f>
        <v>0.0952460862596425</v>
      </c>
      <c r="H1229" s="20" t="n">
        <f aca="false">IF(G1229&gt;=1,G1229,0)</f>
        <v>0</v>
      </c>
      <c r="I1229" s="5" t="s">
        <v>1076</v>
      </c>
      <c r="J1229" s="5" t="s">
        <v>1784</v>
      </c>
    </row>
    <row r="1230" customFormat="false" ht="15" hidden="false" customHeight="false" outlineLevel="0" collapsed="false">
      <c r="A1230" s="5" t="s">
        <v>227</v>
      </c>
      <c r="B1230" s="5" t="s">
        <v>169</v>
      </c>
      <c r="C1230" s="5" t="n">
        <v>172</v>
      </c>
      <c r="D1230" s="5" t="s">
        <v>1075</v>
      </c>
      <c r="E1230" s="5" t="n">
        <v>7</v>
      </c>
      <c r="F1230" s="20" t="n">
        <v>8.90475391374036</v>
      </c>
      <c r="G1230" s="20" t="n">
        <f aca="false">9-F1230</f>
        <v>0.0952460862596425</v>
      </c>
      <c r="H1230" s="20" t="n">
        <f aca="false">IF(G1230&gt;=1,G1230,0)</f>
        <v>0</v>
      </c>
      <c r="I1230" s="5" t="s">
        <v>1076</v>
      </c>
      <c r="J1230" s="5" t="s">
        <v>1785</v>
      </c>
    </row>
    <row r="1231" customFormat="false" ht="15" hidden="false" customHeight="false" outlineLevel="0" collapsed="false">
      <c r="A1231" s="5" t="s">
        <v>227</v>
      </c>
      <c r="B1231" s="5" t="s">
        <v>169</v>
      </c>
      <c r="C1231" s="5" t="n">
        <v>173</v>
      </c>
      <c r="D1231" s="5" t="s">
        <v>1075</v>
      </c>
      <c r="E1231" s="5" t="n">
        <v>7</v>
      </c>
      <c r="F1231" s="20" t="n">
        <v>8.90475391374036</v>
      </c>
      <c r="G1231" s="20" t="n">
        <f aca="false">9-F1231</f>
        <v>0.0952460862596425</v>
      </c>
      <c r="H1231" s="20" t="n">
        <f aca="false">IF(G1231&gt;=1,G1231,0)</f>
        <v>0</v>
      </c>
      <c r="I1231" s="5" t="s">
        <v>1076</v>
      </c>
      <c r="J1231" s="5" t="s">
        <v>1786</v>
      </c>
    </row>
    <row r="1232" customFormat="false" ht="15" hidden="false" customHeight="false" outlineLevel="0" collapsed="false">
      <c r="A1232" s="5" t="s">
        <v>227</v>
      </c>
      <c r="B1232" s="5" t="s">
        <v>169</v>
      </c>
      <c r="C1232" s="5" t="n">
        <v>174</v>
      </c>
      <c r="D1232" s="5" t="s">
        <v>1075</v>
      </c>
      <c r="E1232" s="5" t="n">
        <v>7</v>
      </c>
      <c r="F1232" s="20" t="n">
        <v>8.90475391374036</v>
      </c>
      <c r="G1232" s="20" t="n">
        <f aca="false">9-F1232</f>
        <v>0.0952460862596425</v>
      </c>
      <c r="H1232" s="20" t="n">
        <f aca="false">IF(G1232&gt;=1,G1232,0)</f>
        <v>0</v>
      </c>
      <c r="I1232" s="5" t="s">
        <v>1076</v>
      </c>
      <c r="J1232" s="5" t="s">
        <v>1787</v>
      </c>
    </row>
    <row r="1233" customFormat="false" ht="15" hidden="false" customHeight="false" outlineLevel="0" collapsed="false">
      <c r="A1233" s="5" t="s">
        <v>227</v>
      </c>
      <c r="B1233" s="5" t="s">
        <v>169</v>
      </c>
      <c r="C1233" s="5" t="n">
        <v>175</v>
      </c>
      <c r="D1233" s="5" t="s">
        <v>1075</v>
      </c>
      <c r="E1233" s="5" t="n">
        <v>7</v>
      </c>
      <c r="F1233" s="20" t="n">
        <v>8.90475391374036</v>
      </c>
      <c r="G1233" s="20" t="n">
        <f aca="false">9-F1233</f>
        <v>0.0952460862596425</v>
      </c>
      <c r="H1233" s="20" t="n">
        <f aca="false">IF(G1233&gt;=1,G1233,0)</f>
        <v>0</v>
      </c>
      <c r="I1233" s="5" t="s">
        <v>1076</v>
      </c>
      <c r="J1233" s="5" t="s">
        <v>1788</v>
      </c>
    </row>
    <row r="1234" customFormat="false" ht="15" hidden="false" customHeight="false" outlineLevel="0" collapsed="false">
      <c r="A1234" s="5" t="s">
        <v>227</v>
      </c>
      <c r="B1234" s="5" t="s">
        <v>169</v>
      </c>
      <c r="C1234" s="5" t="n">
        <v>176</v>
      </c>
      <c r="D1234" s="5" t="s">
        <v>1075</v>
      </c>
      <c r="E1234" s="5" t="n">
        <v>7</v>
      </c>
      <c r="F1234" s="20" t="n">
        <v>8.90475391374036</v>
      </c>
      <c r="G1234" s="20" t="n">
        <f aca="false">9-F1234</f>
        <v>0.0952460862596425</v>
      </c>
      <c r="H1234" s="20" t="n">
        <f aca="false">IF(G1234&gt;=1,G1234,0)</f>
        <v>0</v>
      </c>
      <c r="I1234" s="5" t="s">
        <v>1076</v>
      </c>
      <c r="J1234" s="5" t="s">
        <v>1789</v>
      </c>
    </row>
    <row r="1235" customFormat="false" ht="15" hidden="false" customHeight="false" outlineLevel="0" collapsed="false">
      <c r="A1235" s="5" t="s">
        <v>227</v>
      </c>
      <c r="B1235" s="5" t="s">
        <v>169</v>
      </c>
      <c r="C1235" s="5" t="n">
        <v>177</v>
      </c>
      <c r="D1235" s="5" t="s">
        <v>1075</v>
      </c>
      <c r="E1235" s="5" t="n">
        <v>7</v>
      </c>
      <c r="F1235" s="20" t="n">
        <v>8.90475391374036</v>
      </c>
      <c r="G1235" s="20" t="n">
        <f aca="false">9-F1235</f>
        <v>0.0952460862596425</v>
      </c>
      <c r="H1235" s="20" t="n">
        <f aca="false">IF(G1235&gt;=1,G1235,0)</f>
        <v>0</v>
      </c>
      <c r="I1235" s="5" t="s">
        <v>1076</v>
      </c>
      <c r="J1235" s="5" t="s">
        <v>1790</v>
      </c>
    </row>
    <row r="1236" customFormat="false" ht="15" hidden="false" customHeight="false" outlineLevel="0" collapsed="false">
      <c r="A1236" s="5" t="s">
        <v>227</v>
      </c>
      <c r="B1236" s="5" t="s">
        <v>169</v>
      </c>
      <c r="C1236" s="5" t="n">
        <v>178</v>
      </c>
      <c r="D1236" s="5" t="s">
        <v>1075</v>
      </c>
      <c r="E1236" s="5" t="n">
        <v>7</v>
      </c>
      <c r="F1236" s="20" t="n">
        <v>8.90475391374036</v>
      </c>
      <c r="G1236" s="20" t="n">
        <f aca="false">9-F1236</f>
        <v>0.0952460862596425</v>
      </c>
      <c r="H1236" s="20" t="n">
        <f aca="false">IF(G1236&gt;=1,G1236,0)</f>
        <v>0</v>
      </c>
      <c r="I1236" s="5" t="s">
        <v>1076</v>
      </c>
      <c r="J1236" s="5" t="s">
        <v>1791</v>
      </c>
    </row>
    <row r="1237" customFormat="false" ht="15" hidden="false" customHeight="false" outlineLevel="0" collapsed="false">
      <c r="A1237" s="5" t="s">
        <v>227</v>
      </c>
      <c r="B1237" s="5" t="s">
        <v>169</v>
      </c>
      <c r="C1237" s="5" t="n">
        <v>179</v>
      </c>
      <c r="D1237" s="5" t="s">
        <v>1075</v>
      </c>
      <c r="E1237" s="5" t="n">
        <v>7</v>
      </c>
      <c r="F1237" s="20" t="n">
        <v>8.90475391374036</v>
      </c>
      <c r="G1237" s="20" t="n">
        <f aca="false">9-F1237</f>
        <v>0.0952460862596425</v>
      </c>
      <c r="H1237" s="20" t="n">
        <f aca="false">IF(G1237&gt;=1,G1237,0)</f>
        <v>0</v>
      </c>
      <c r="I1237" s="5" t="s">
        <v>1076</v>
      </c>
      <c r="J1237" s="5" t="s">
        <v>1792</v>
      </c>
    </row>
    <row r="1238" customFormat="false" ht="15" hidden="false" customHeight="false" outlineLevel="0" collapsed="false">
      <c r="A1238" s="5" t="s">
        <v>227</v>
      </c>
      <c r="B1238" s="5" t="s">
        <v>169</v>
      </c>
      <c r="C1238" s="5" t="n">
        <v>180</v>
      </c>
      <c r="D1238" s="5" t="s">
        <v>1075</v>
      </c>
      <c r="E1238" s="5" t="n">
        <v>7</v>
      </c>
      <c r="F1238" s="20" t="n">
        <v>8.90475391374036</v>
      </c>
      <c r="G1238" s="20" t="n">
        <f aca="false">9-F1238</f>
        <v>0.0952460862596425</v>
      </c>
      <c r="H1238" s="20" t="n">
        <f aca="false">IF(G1238&gt;=1,G1238,0)</f>
        <v>0</v>
      </c>
      <c r="I1238" s="5" t="s">
        <v>1076</v>
      </c>
      <c r="J1238" s="5" t="s">
        <v>1793</v>
      </c>
    </row>
    <row r="1239" customFormat="false" ht="15" hidden="false" customHeight="false" outlineLevel="0" collapsed="false">
      <c r="A1239" s="5" t="s">
        <v>227</v>
      </c>
      <c r="B1239" s="5" t="s">
        <v>169</v>
      </c>
      <c r="C1239" s="5" t="n">
        <v>181</v>
      </c>
      <c r="D1239" s="5" t="s">
        <v>1075</v>
      </c>
      <c r="E1239" s="5" t="n">
        <v>7</v>
      </c>
      <c r="F1239" s="20" t="n">
        <v>8.90475391374036</v>
      </c>
      <c r="G1239" s="20" t="n">
        <f aca="false">9-F1239</f>
        <v>0.0952460862596425</v>
      </c>
      <c r="H1239" s="20" t="n">
        <f aca="false">IF(G1239&gt;=1,G1239,0)</f>
        <v>0</v>
      </c>
      <c r="I1239" s="5" t="s">
        <v>1076</v>
      </c>
      <c r="J1239" s="5" t="s">
        <v>1794</v>
      </c>
    </row>
    <row r="1240" customFormat="false" ht="15" hidden="false" customHeight="false" outlineLevel="0" collapsed="false">
      <c r="A1240" s="5" t="s">
        <v>227</v>
      </c>
      <c r="B1240" s="5" t="s">
        <v>169</v>
      </c>
      <c r="C1240" s="5" t="n">
        <v>182</v>
      </c>
      <c r="D1240" s="5" t="s">
        <v>1075</v>
      </c>
      <c r="E1240" s="5" t="n">
        <v>7</v>
      </c>
      <c r="F1240" s="20" t="n">
        <v>8.90475391374036</v>
      </c>
      <c r="G1240" s="20" t="n">
        <f aca="false">9-F1240</f>
        <v>0.0952460862596425</v>
      </c>
      <c r="H1240" s="20" t="n">
        <f aca="false">IF(G1240&gt;=1,G1240,0)</f>
        <v>0</v>
      </c>
      <c r="I1240" s="5" t="s">
        <v>1076</v>
      </c>
      <c r="J1240" s="5" t="s">
        <v>1795</v>
      </c>
    </row>
    <row r="1241" customFormat="false" ht="15" hidden="false" customHeight="false" outlineLevel="0" collapsed="false">
      <c r="A1241" s="5" t="s">
        <v>227</v>
      </c>
      <c r="B1241" s="5" t="s">
        <v>169</v>
      </c>
      <c r="C1241" s="5" t="n">
        <v>183</v>
      </c>
      <c r="D1241" s="5" t="s">
        <v>1075</v>
      </c>
      <c r="E1241" s="5" t="n">
        <v>7</v>
      </c>
      <c r="F1241" s="20" t="n">
        <v>8.90475391374036</v>
      </c>
      <c r="G1241" s="20" t="n">
        <f aca="false">9-F1241</f>
        <v>0.0952460862596425</v>
      </c>
      <c r="H1241" s="20" t="n">
        <f aca="false">IF(G1241&gt;=1,G1241,0)</f>
        <v>0</v>
      </c>
      <c r="I1241" s="5" t="s">
        <v>1076</v>
      </c>
      <c r="J1241" s="5" t="s">
        <v>1796</v>
      </c>
    </row>
    <row r="1242" customFormat="false" ht="15" hidden="false" customHeight="false" outlineLevel="0" collapsed="false">
      <c r="A1242" s="5" t="s">
        <v>227</v>
      </c>
      <c r="B1242" s="5" t="s">
        <v>169</v>
      </c>
      <c r="C1242" s="5" t="n">
        <v>184</v>
      </c>
      <c r="D1242" s="5" t="s">
        <v>1075</v>
      </c>
      <c r="E1242" s="5" t="n">
        <v>7</v>
      </c>
      <c r="F1242" s="20" t="n">
        <v>8.90475391374036</v>
      </c>
      <c r="G1242" s="20" t="n">
        <f aca="false">9-F1242</f>
        <v>0.0952460862596425</v>
      </c>
      <c r="H1242" s="20" t="n">
        <f aca="false">IF(G1242&gt;=1,G1242,0)</f>
        <v>0</v>
      </c>
      <c r="I1242" s="5" t="s">
        <v>1076</v>
      </c>
      <c r="J1242" s="5" t="s">
        <v>1797</v>
      </c>
    </row>
    <row r="1243" customFormat="false" ht="15" hidden="false" customHeight="false" outlineLevel="0" collapsed="false">
      <c r="A1243" s="5" t="s">
        <v>227</v>
      </c>
      <c r="B1243" s="5" t="s">
        <v>169</v>
      </c>
      <c r="C1243" s="5" t="n">
        <v>185</v>
      </c>
      <c r="D1243" s="5" t="s">
        <v>1075</v>
      </c>
      <c r="E1243" s="5" t="n">
        <v>7</v>
      </c>
      <c r="F1243" s="20" t="n">
        <v>8.90475391374036</v>
      </c>
      <c r="G1243" s="20" t="n">
        <f aca="false">9-F1243</f>
        <v>0.0952460862596425</v>
      </c>
      <c r="H1243" s="20" t="n">
        <f aca="false">IF(G1243&gt;=1,G1243,0)</f>
        <v>0</v>
      </c>
      <c r="I1243" s="5" t="s">
        <v>1076</v>
      </c>
      <c r="J1243" s="5" t="s">
        <v>1798</v>
      </c>
    </row>
    <row r="1244" customFormat="false" ht="15" hidden="false" customHeight="false" outlineLevel="0" collapsed="false">
      <c r="A1244" s="5" t="s">
        <v>227</v>
      </c>
      <c r="B1244" s="5" t="s">
        <v>169</v>
      </c>
      <c r="C1244" s="5" t="n">
        <v>186</v>
      </c>
      <c r="D1244" s="5" t="s">
        <v>1075</v>
      </c>
      <c r="E1244" s="5" t="n">
        <v>7</v>
      </c>
      <c r="F1244" s="20" t="n">
        <v>8.90475391374036</v>
      </c>
      <c r="G1244" s="20" t="n">
        <f aca="false">9-F1244</f>
        <v>0.0952460862596425</v>
      </c>
      <c r="H1244" s="20" t="n">
        <f aca="false">IF(G1244&gt;=1,G1244,0)</f>
        <v>0</v>
      </c>
      <c r="I1244" s="5" t="s">
        <v>1076</v>
      </c>
      <c r="J1244" s="5" t="s">
        <v>1799</v>
      </c>
    </row>
    <row r="1245" customFormat="false" ht="15" hidden="false" customHeight="false" outlineLevel="0" collapsed="false">
      <c r="A1245" s="5" t="s">
        <v>227</v>
      </c>
      <c r="B1245" s="5" t="s">
        <v>169</v>
      </c>
      <c r="C1245" s="5" t="n">
        <v>187</v>
      </c>
      <c r="D1245" s="5" t="s">
        <v>1075</v>
      </c>
      <c r="E1245" s="5" t="n">
        <v>7</v>
      </c>
      <c r="F1245" s="20" t="n">
        <v>8.90475391374036</v>
      </c>
      <c r="G1245" s="20" t="n">
        <f aca="false">9-F1245</f>
        <v>0.0952460862596425</v>
      </c>
      <c r="H1245" s="20" t="n">
        <f aca="false">IF(G1245&gt;=1,G1245,0)</f>
        <v>0</v>
      </c>
      <c r="I1245" s="5" t="s">
        <v>1076</v>
      </c>
      <c r="J1245" s="5" t="s">
        <v>1800</v>
      </c>
    </row>
    <row r="1246" customFormat="false" ht="15" hidden="false" customHeight="false" outlineLevel="0" collapsed="false">
      <c r="A1246" s="5" t="s">
        <v>227</v>
      </c>
      <c r="B1246" s="5" t="s">
        <v>169</v>
      </c>
      <c r="C1246" s="5" t="n">
        <v>188</v>
      </c>
      <c r="D1246" s="5" t="s">
        <v>1075</v>
      </c>
      <c r="E1246" s="5" t="n">
        <v>7</v>
      </c>
      <c r="F1246" s="20" t="n">
        <v>8.90475391374036</v>
      </c>
      <c r="G1246" s="20" t="n">
        <f aca="false">9-F1246</f>
        <v>0.0952460862596425</v>
      </c>
      <c r="H1246" s="20" t="n">
        <f aca="false">IF(G1246&gt;=1,G1246,0)</f>
        <v>0</v>
      </c>
      <c r="I1246" s="5" t="s">
        <v>1076</v>
      </c>
      <c r="J1246" s="5" t="s">
        <v>1801</v>
      </c>
    </row>
    <row r="1247" customFormat="false" ht="15" hidden="false" customHeight="false" outlineLevel="0" collapsed="false">
      <c r="A1247" s="5" t="s">
        <v>227</v>
      </c>
      <c r="B1247" s="5" t="s">
        <v>169</v>
      </c>
      <c r="C1247" s="5" t="n">
        <v>189</v>
      </c>
      <c r="D1247" s="5" t="s">
        <v>1075</v>
      </c>
      <c r="E1247" s="5" t="n">
        <v>7</v>
      </c>
      <c r="F1247" s="20" t="n">
        <v>8.90475391374036</v>
      </c>
      <c r="G1247" s="20" t="n">
        <f aca="false">9-F1247</f>
        <v>0.0952460862596425</v>
      </c>
      <c r="H1247" s="20" t="n">
        <f aca="false">IF(G1247&gt;=1,G1247,0)</f>
        <v>0</v>
      </c>
      <c r="I1247" s="5" t="s">
        <v>1076</v>
      </c>
      <c r="J1247" s="5" t="s">
        <v>1802</v>
      </c>
    </row>
    <row r="1248" customFormat="false" ht="15" hidden="false" customHeight="false" outlineLevel="0" collapsed="false">
      <c r="A1248" s="5" t="s">
        <v>227</v>
      </c>
      <c r="B1248" s="5" t="s">
        <v>169</v>
      </c>
      <c r="C1248" s="5" t="n">
        <v>190</v>
      </c>
      <c r="D1248" s="5" t="s">
        <v>1075</v>
      </c>
      <c r="E1248" s="5" t="n">
        <v>7</v>
      </c>
      <c r="F1248" s="20" t="n">
        <v>8.90475391374036</v>
      </c>
      <c r="G1248" s="20" t="n">
        <f aca="false">9-F1248</f>
        <v>0.0952460862596425</v>
      </c>
      <c r="H1248" s="20" t="n">
        <f aca="false">IF(G1248&gt;=1,G1248,0)</f>
        <v>0</v>
      </c>
      <c r="I1248" s="5" t="s">
        <v>1076</v>
      </c>
      <c r="J1248" s="5" t="s">
        <v>1803</v>
      </c>
    </row>
    <row r="1249" customFormat="false" ht="15" hidden="false" customHeight="false" outlineLevel="0" collapsed="false">
      <c r="A1249" s="5" t="s">
        <v>227</v>
      </c>
      <c r="B1249" s="5" t="s">
        <v>169</v>
      </c>
      <c r="C1249" s="5" t="n">
        <v>191</v>
      </c>
      <c r="D1249" s="5" t="s">
        <v>1075</v>
      </c>
      <c r="E1249" s="5" t="n">
        <v>7</v>
      </c>
      <c r="F1249" s="20" t="n">
        <v>8.90475391374036</v>
      </c>
      <c r="G1249" s="20" t="n">
        <f aca="false">9-F1249</f>
        <v>0.0952460862596425</v>
      </c>
      <c r="H1249" s="20" t="n">
        <f aca="false">IF(G1249&gt;=1,G1249,0)</f>
        <v>0</v>
      </c>
      <c r="I1249" s="5" t="s">
        <v>1076</v>
      </c>
      <c r="J1249" s="5" t="s">
        <v>1804</v>
      </c>
    </row>
    <row r="1250" customFormat="false" ht="15" hidden="false" customHeight="false" outlineLevel="0" collapsed="false">
      <c r="A1250" s="5" t="s">
        <v>227</v>
      </c>
      <c r="B1250" s="5" t="s">
        <v>169</v>
      </c>
      <c r="C1250" s="5" t="n">
        <v>192</v>
      </c>
      <c r="D1250" s="5" t="s">
        <v>1805</v>
      </c>
      <c r="E1250" s="5" t="n">
        <v>8</v>
      </c>
      <c r="F1250" s="20" t="n">
        <v>8.71124128778625</v>
      </c>
      <c r="G1250" s="20" t="n">
        <f aca="false">9-F1250</f>
        <v>0.288758712213747</v>
      </c>
      <c r="H1250" s="20" t="n">
        <f aca="false">IF(G1250&gt;=1,G1250,0)</f>
        <v>0</v>
      </c>
      <c r="I1250" s="5" t="s">
        <v>1073</v>
      </c>
      <c r="J1250" s="5" t="s">
        <v>1806</v>
      </c>
    </row>
    <row r="1251" customFormat="false" ht="15" hidden="false" customHeight="false" outlineLevel="0" collapsed="false">
      <c r="A1251" s="5" t="s">
        <v>227</v>
      </c>
      <c r="B1251" s="5" t="s">
        <v>169</v>
      </c>
      <c r="C1251" s="5" t="n">
        <v>193</v>
      </c>
      <c r="D1251" s="5" t="s">
        <v>1807</v>
      </c>
      <c r="E1251" s="5" t="n">
        <v>8</v>
      </c>
      <c r="F1251" s="20" t="n">
        <v>8.70000000000002</v>
      </c>
      <c r="G1251" s="20" t="n">
        <f aca="false">9-F1251</f>
        <v>0.299999999999985</v>
      </c>
      <c r="H1251" s="20" t="n">
        <f aca="false">IF(G1251&gt;=1,G1251,0)</f>
        <v>0</v>
      </c>
      <c r="I1251" s="5" t="s">
        <v>77</v>
      </c>
      <c r="J1251" s="5" t="s">
        <v>1808</v>
      </c>
    </row>
    <row r="1252" customFormat="false" ht="15" hidden="false" customHeight="false" outlineLevel="0" collapsed="false">
      <c r="A1252" s="5" t="s">
        <v>227</v>
      </c>
      <c r="B1252" s="5" t="s">
        <v>169</v>
      </c>
      <c r="C1252" s="5" t="n">
        <v>194</v>
      </c>
      <c r="D1252" s="5" t="s">
        <v>1154</v>
      </c>
      <c r="E1252" s="5" t="n">
        <v>9</v>
      </c>
      <c r="F1252" s="20" t="n">
        <v>8.79253876259544</v>
      </c>
      <c r="G1252" s="20" t="n">
        <f aca="false">9-F1252</f>
        <v>0.207461237404559</v>
      </c>
      <c r="H1252" s="20" t="n">
        <f aca="false">IF(G1252&gt;=1,G1252,0)</f>
        <v>0</v>
      </c>
      <c r="I1252" s="5" t="s">
        <v>922</v>
      </c>
      <c r="J1252" s="5" t="s">
        <v>1809</v>
      </c>
    </row>
    <row r="1253" customFormat="false" ht="15" hidden="false" customHeight="false" outlineLevel="0" collapsed="false">
      <c r="A1253" s="5" t="s">
        <v>227</v>
      </c>
      <c r="B1253" s="5" t="s">
        <v>169</v>
      </c>
      <c r="C1253" s="5" t="n">
        <v>195</v>
      </c>
      <c r="D1253" s="5" t="s">
        <v>1154</v>
      </c>
      <c r="E1253" s="5" t="n">
        <v>9</v>
      </c>
      <c r="F1253" s="20" t="n">
        <v>8.79253876259544</v>
      </c>
      <c r="G1253" s="20" t="n">
        <f aca="false">9-F1253</f>
        <v>0.207461237404562</v>
      </c>
      <c r="H1253" s="20" t="n">
        <f aca="false">IF(G1253&gt;=1,G1253,0)</f>
        <v>0</v>
      </c>
      <c r="I1253" s="5" t="s">
        <v>922</v>
      </c>
      <c r="J1253" s="5" t="s">
        <v>1810</v>
      </c>
    </row>
    <row r="1254" customFormat="false" ht="15" hidden="false" customHeight="false" outlineLevel="0" collapsed="false">
      <c r="A1254" s="5" t="s">
        <v>227</v>
      </c>
      <c r="B1254" s="5" t="s">
        <v>169</v>
      </c>
      <c r="C1254" s="5" t="n">
        <v>196</v>
      </c>
      <c r="D1254" s="5" t="s">
        <v>1154</v>
      </c>
      <c r="E1254" s="5" t="n">
        <v>9</v>
      </c>
      <c r="F1254" s="20" t="n">
        <v>8.79253876259544</v>
      </c>
      <c r="G1254" s="20" t="n">
        <f aca="false">9-F1254</f>
        <v>0.207461237404564</v>
      </c>
      <c r="H1254" s="20" t="n">
        <f aca="false">IF(G1254&gt;=1,G1254,0)</f>
        <v>0</v>
      </c>
      <c r="I1254" s="5" t="s">
        <v>922</v>
      </c>
      <c r="J1254" s="5" t="s">
        <v>1811</v>
      </c>
    </row>
    <row r="1255" customFormat="false" ht="15" hidden="false" customHeight="false" outlineLevel="0" collapsed="false">
      <c r="A1255" s="5" t="s">
        <v>227</v>
      </c>
      <c r="B1255" s="5" t="s">
        <v>169</v>
      </c>
      <c r="C1255" s="5" t="n">
        <v>197</v>
      </c>
      <c r="D1255" s="5" t="s">
        <v>1812</v>
      </c>
      <c r="E1255" s="5" t="n">
        <v>9</v>
      </c>
      <c r="F1255" s="20" t="n">
        <v>8.84179815638671</v>
      </c>
      <c r="G1255" s="20" t="n">
        <f aca="false">9-F1255</f>
        <v>0.158201843613286</v>
      </c>
      <c r="H1255" s="20" t="n">
        <f aca="false">IF(G1255&gt;=1,G1255,0)</f>
        <v>0</v>
      </c>
      <c r="I1255" s="5" t="s">
        <v>939</v>
      </c>
      <c r="J1255" s="5" t="s">
        <v>1813</v>
      </c>
    </row>
    <row r="1256" customFormat="false" ht="15" hidden="false" customHeight="false" outlineLevel="0" collapsed="false">
      <c r="A1256" s="5" t="s">
        <v>227</v>
      </c>
      <c r="B1256" s="5" t="s">
        <v>169</v>
      </c>
      <c r="C1256" s="5" t="n">
        <v>198</v>
      </c>
      <c r="D1256" s="5" t="s">
        <v>646</v>
      </c>
      <c r="E1256" s="5" t="n">
        <v>9</v>
      </c>
      <c r="F1256" s="20" t="n">
        <v>8.74742272671741</v>
      </c>
      <c r="G1256" s="20" t="n">
        <f aca="false">9-F1256</f>
        <v>0.252577273282594</v>
      </c>
      <c r="H1256" s="20" t="n">
        <f aca="false">IF(G1256&gt;=1,G1256,0)</f>
        <v>0</v>
      </c>
      <c r="I1256" s="5" t="s">
        <v>74</v>
      </c>
      <c r="J1256" s="5" t="s">
        <v>1814</v>
      </c>
    </row>
    <row r="1257" customFormat="false" ht="15" hidden="false" customHeight="false" outlineLevel="0" collapsed="false">
      <c r="A1257" s="5" t="s">
        <v>227</v>
      </c>
      <c r="B1257" s="5" t="s">
        <v>169</v>
      </c>
      <c r="C1257" s="5" t="n">
        <v>199</v>
      </c>
      <c r="D1257" s="5" t="s">
        <v>646</v>
      </c>
      <c r="E1257" s="5" t="n">
        <v>9</v>
      </c>
      <c r="F1257" s="20" t="n">
        <v>8.74742272671741</v>
      </c>
      <c r="G1257" s="20" t="n">
        <f aca="false">9-F1257</f>
        <v>0.252577273282595</v>
      </c>
      <c r="H1257" s="20" t="n">
        <f aca="false">IF(G1257&gt;=1,G1257,0)</f>
        <v>0</v>
      </c>
      <c r="I1257" s="5" t="s">
        <v>74</v>
      </c>
      <c r="J1257" s="5" t="s">
        <v>1815</v>
      </c>
    </row>
    <row r="1258" customFormat="false" ht="15" hidden="false" customHeight="false" outlineLevel="0" collapsed="false">
      <c r="A1258" s="5" t="s">
        <v>227</v>
      </c>
      <c r="B1258" s="5" t="s">
        <v>169</v>
      </c>
      <c r="C1258" s="5" t="n">
        <v>200</v>
      </c>
      <c r="D1258" s="5" t="s">
        <v>646</v>
      </c>
      <c r="E1258" s="5" t="n">
        <v>9</v>
      </c>
      <c r="F1258" s="20" t="n">
        <v>8.74742272671739</v>
      </c>
      <c r="G1258" s="20" t="n">
        <f aca="false">9-F1258</f>
        <v>0.252577273282606</v>
      </c>
      <c r="H1258" s="20" t="n">
        <f aca="false">IF(G1258&gt;=1,G1258,0)</f>
        <v>0</v>
      </c>
      <c r="I1258" s="5" t="s">
        <v>74</v>
      </c>
      <c r="J1258" s="5" t="s">
        <v>1816</v>
      </c>
    </row>
    <row r="1259" customFormat="false" ht="15" hidden="false" customHeight="false" outlineLevel="0" collapsed="false">
      <c r="A1259" s="5" t="s">
        <v>227</v>
      </c>
      <c r="B1259" s="5" t="s">
        <v>169</v>
      </c>
      <c r="C1259" s="5" t="n">
        <v>201</v>
      </c>
      <c r="D1259" s="5" t="s">
        <v>646</v>
      </c>
      <c r="E1259" s="5" t="n">
        <v>9</v>
      </c>
      <c r="F1259" s="20" t="n">
        <v>8.74742272671739</v>
      </c>
      <c r="G1259" s="20" t="n">
        <f aca="false">9-F1259</f>
        <v>0.252577273282615</v>
      </c>
      <c r="H1259" s="20" t="n">
        <f aca="false">IF(G1259&gt;=1,G1259,0)</f>
        <v>0</v>
      </c>
      <c r="I1259" s="5" t="s">
        <v>74</v>
      </c>
      <c r="J1259" s="5" t="s">
        <v>1817</v>
      </c>
    </row>
    <row r="1260" customFormat="false" ht="15" hidden="false" customHeight="false" outlineLevel="0" collapsed="false">
      <c r="A1260" s="5" t="s">
        <v>227</v>
      </c>
      <c r="B1260" s="5" t="s">
        <v>169</v>
      </c>
      <c r="C1260" s="5" t="n">
        <v>202</v>
      </c>
      <c r="D1260" s="5" t="s">
        <v>646</v>
      </c>
      <c r="E1260" s="5" t="n">
        <v>9</v>
      </c>
      <c r="F1260" s="20" t="n">
        <v>8.74742272671739</v>
      </c>
      <c r="G1260" s="20" t="n">
        <f aca="false">9-F1260</f>
        <v>0.252577273282615</v>
      </c>
      <c r="H1260" s="20" t="n">
        <f aca="false">IF(G1260&gt;=1,G1260,0)</f>
        <v>0</v>
      </c>
      <c r="I1260" s="5" t="s">
        <v>74</v>
      </c>
      <c r="J1260" s="5" t="s">
        <v>1818</v>
      </c>
    </row>
    <row r="1261" customFormat="false" ht="15" hidden="false" customHeight="false" outlineLevel="0" collapsed="false">
      <c r="A1261" s="5" t="s">
        <v>227</v>
      </c>
      <c r="B1261" s="5" t="s">
        <v>169</v>
      </c>
      <c r="C1261" s="5" t="n">
        <v>203</v>
      </c>
      <c r="D1261" s="5" t="s">
        <v>646</v>
      </c>
      <c r="E1261" s="5" t="n">
        <v>9</v>
      </c>
      <c r="F1261" s="20" t="n">
        <v>8.74742272671736</v>
      </c>
      <c r="G1261" s="20" t="n">
        <f aca="false">9-F1261</f>
        <v>0.252577273282643</v>
      </c>
      <c r="H1261" s="20" t="n">
        <f aca="false">IF(G1261&gt;=1,G1261,0)</f>
        <v>0</v>
      </c>
      <c r="I1261" s="5" t="s">
        <v>74</v>
      </c>
      <c r="J1261" s="5" t="s">
        <v>1819</v>
      </c>
    </row>
    <row r="1262" customFormat="false" ht="15" hidden="false" customHeight="false" outlineLevel="0" collapsed="false">
      <c r="A1262" s="5" t="s">
        <v>227</v>
      </c>
      <c r="B1262" s="5" t="s">
        <v>169</v>
      </c>
      <c r="C1262" s="5" t="n">
        <v>204</v>
      </c>
      <c r="D1262" s="5" t="s">
        <v>646</v>
      </c>
      <c r="E1262" s="5" t="n">
        <v>9</v>
      </c>
      <c r="F1262" s="20" t="n">
        <v>8.74742272671736</v>
      </c>
      <c r="G1262" s="20" t="n">
        <f aca="false">9-F1262</f>
        <v>0.252577273282643</v>
      </c>
      <c r="H1262" s="20" t="n">
        <f aca="false">IF(G1262&gt;=1,G1262,0)</f>
        <v>0</v>
      </c>
      <c r="I1262" s="5" t="s">
        <v>74</v>
      </c>
      <c r="J1262" s="5" t="s">
        <v>1820</v>
      </c>
    </row>
    <row r="1263" customFormat="false" ht="15" hidden="false" customHeight="false" outlineLevel="0" collapsed="false">
      <c r="A1263" s="5" t="s">
        <v>227</v>
      </c>
      <c r="B1263" s="5" t="s">
        <v>169</v>
      </c>
      <c r="C1263" s="5" t="n">
        <v>205</v>
      </c>
      <c r="D1263" s="5" t="s">
        <v>646</v>
      </c>
      <c r="E1263" s="5" t="n">
        <v>9</v>
      </c>
      <c r="F1263" s="20" t="n">
        <v>8.74742272671736</v>
      </c>
      <c r="G1263" s="20" t="n">
        <f aca="false">9-F1263</f>
        <v>0.252577273282645</v>
      </c>
      <c r="H1263" s="20" t="n">
        <f aca="false">IF(G1263&gt;=1,G1263,0)</f>
        <v>0</v>
      </c>
      <c r="I1263" s="5" t="s">
        <v>74</v>
      </c>
      <c r="J1263" s="5" t="s">
        <v>1821</v>
      </c>
    </row>
    <row r="1264" customFormat="false" ht="15" hidden="false" customHeight="false" outlineLevel="0" collapsed="false">
      <c r="A1264" s="5" t="s">
        <v>227</v>
      </c>
      <c r="B1264" s="5" t="s">
        <v>169</v>
      </c>
      <c r="C1264" s="5" t="n">
        <v>206</v>
      </c>
      <c r="D1264" s="5" t="s">
        <v>646</v>
      </c>
      <c r="E1264" s="5" t="n">
        <v>9</v>
      </c>
      <c r="F1264" s="20" t="n">
        <v>8.74742272671735</v>
      </c>
      <c r="G1264" s="20" t="n">
        <f aca="false">9-F1264</f>
        <v>0.25257727328265</v>
      </c>
      <c r="H1264" s="20" t="n">
        <f aca="false">IF(G1264&gt;=1,G1264,0)</f>
        <v>0</v>
      </c>
      <c r="I1264" s="5" t="s">
        <v>74</v>
      </c>
      <c r="J1264" s="5" t="s">
        <v>1822</v>
      </c>
    </row>
    <row r="1265" customFormat="false" ht="15" hidden="false" customHeight="false" outlineLevel="0" collapsed="false">
      <c r="A1265" s="5" t="s">
        <v>227</v>
      </c>
      <c r="B1265" s="5" t="s">
        <v>169</v>
      </c>
      <c r="C1265" s="5" t="n">
        <v>207</v>
      </c>
      <c r="D1265" s="5" t="s">
        <v>646</v>
      </c>
      <c r="E1265" s="5" t="n">
        <v>9</v>
      </c>
      <c r="F1265" s="20" t="n">
        <v>8.74742272671735</v>
      </c>
      <c r="G1265" s="20" t="n">
        <f aca="false">9-F1265</f>
        <v>0.25257727328265</v>
      </c>
      <c r="H1265" s="20" t="n">
        <f aca="false">IF(G1265&gt;=1,G1265,0)</f>
        <v>0</v>
      </c>
      <c r="I1265" s="5" t="s">
        <v>74</v>
      </c>
      <c r="J1265" s="5" t="s">
        <v>1823</v>
      </c>
    </row>
    <row r="1266" customFormat="false" ht="15" hidden="false" customHeight="false" outlineLevel="0" collapsed="false">
      <c r="A1266" s="5" t="s">
        <v>227</v>
      </c>
      <c r="B1266" s="5" t="s">
        <v>169</v>
      </c>
      <c r="C1266" s="5" t="n">
        <v>208</v>
      </c>
      <c r="D1266" s="5" t="s">
        <v>646</v>
      </c>
      <c r="E1266" s="5" t="n">
        <v>9</v>
      </c>
      <c r="F1266" s="20" t="n">
        <v>8.74742272671735</v>
      </c>
      <c r="G1266" s="20" t="n">
        <f aca="false">9-F1266</f>
        <v>0.252577273282652</v>
      </c>
      <c r="H1266" s="20" t="n">
        <f aca="false">IF(G1266&gt;=1,G1266,0)</f>
        <v>0</v>
      </c>
      <c r="I1266" s="5" t="s">
        <v>74</v>
      </c>
      <c r="J1266" s="5" t="s">
        <v>1824</v>
      </c>
    </row>
    <row r="1267" customFormat="false" ht="15" hidden="false" customHeight="false" outlineLevel="0" collapsed="false">
      <c r="A1267" s="5" t="s">
        <v>227</v>
      </c>
      <c r="B1267" s="5" t="s">
        <v>169</v>
      </c>
      <c r="C1267" s="5" t="n">
        <v>209</v>
      </c>
      <c r="D1267" s="5" t="s">
        <v>646</v>
      </c>
      <c r="E1267" s="5" t="n">
        <v>9</v>
      </c>
      <c r="F1267" s="20" t="n">
        <v>8.74742272671735</v>
      </c>
      <c r="G1267" s="20" t="n">
        <f aca="false">9-F1267</f>
        <v>0.252577273282652</v>
      </c>
      <c r="H1267" s="20" t="n">
        <f aca="false">IF(G1267&gt;=1,G1267,0)</f>
        <v>0</v>
      </c>
      <c r="I1267" s="5" t="s">
        <v>74</v>
      </c>
      <c r="J1267" s="5" t="s">
        <v>1825</v>
      </c>
    </row>
    <row r="1268" customFormat="false" ht="15" hidden="false" customHeight="false" outlineLevel="0" collapsed="false">
      <c r="A1268" s="5" t="s">
        <v>227</v>
      </c>
      <c r="B1268" s="5" t="s">
        <v>169</v>
      </c>
      <c r="C1268" s="5" t="n">
        <v>210</v>
      </c>
      <c r="D1268" s="5" t="s">
        <v>646</v>
      </c>
      <c r="E1268" s="5" t="n">
        <v>9</v>
      </c>
      <c r="F1268" s="20" t="n">
        <v>8.74742272671734</v>
      </c>
      <c r="G1268" s="20" t="n">
        <f aca="false">9-F1268</f>
        <v>0.252577273282656</v>
      </c>
      <c r="H1268" s="20" t="n">
        <f aca="false">IF(G1268&gt;=1,G1268,0)</f>
        <v>0</v>
      </c>
      <c r="I1268" s="5" t="s">
        <v>74</v>
      </c>
      <c r="J1268" s="5" t="s">
        <v>1826</v>
      </c>
    </row>
    <row r="1269" customFormat="false" ht="15" hidden="false" customHeight="false" outlineLevel="0" collapsed="false">
      <c r="A1269" s="5" t="s">
        <v>227</v>
      </c>
      <c r="B1269" s="5" t="s">
        <v>169</v>
      </c>
      <c r="C1269" s="5" t="n">
        <v>211</v>
      </c>
      <c r="D1269" s="5" t="s">
        <v>646</v>
      </c>
      <c r="E1269" s="5" t="n">
        <v>9</v>
      </c>
      <c r="F1269" s="20" t="n">
        <v>8.74742272671734</v>
      </c>
      <c r="G1269" s="20" t="n">
        <f aca="false">9-F1269</f>
        <v>0.252577273282663</v>
      </c>
      <c r="H1269" s="20" t="n">
        <f aca="false">IF(G1269&gt;=1,G1269,0)</f>
        <v>0</v>
      </c>
      <c r="I1269" s="5" t="s">
        <v>74</v>
      </c>
      <c r="J1269" s="5" t="s">
        <v>1827</v>
      </c>
    </row>
    <row r="1270" customFormat="false" ht="15" hidden="false" customHeight="false" outlineLevel="0" collapsed="false">
      <c r="A1270" s="5" t="s">
        <v>227</v>
      </c>
      <c r="B1270" s="5" t="s">
        <v>169</v>
      </c>
      <c r="C1270" s="5" t="n">
        <v>212</v>
      </c>
      <c r="D1270" s="5" t="s">
        <v>646</v>
      </c>
      <c r="E1270" s="5" t="n">
        <v>9</v>
      </c>
      <c r="F1270" s="20" t="n">
        <v>8.74742272671733</v>
      </c>
      <c r="G1270" s="20" t="n">
        <f aca="false">9-F1270</f>
        <v>0.252577273282666</v>
      </c>
      <c r="H1270" s="20" t="n">
        <f aca="false">IF(G1270&gt;=1,G1270,0)</f>
        <v>0</v>
      </c>
      <c r="I1270" s="5" t="s">
        <v>74</v>
      </c>
      <c r="J1270" s="5" t="s">
        <v>1828</v>
      </c>
    </row>
    <row r="1271" customFormat="false" ht="15" hidden="false" customHeight="false" outlineLevel="0" collapsed="false">
      <c r="A1271" s="5" t="s">
        <v>227</v>
      </c>
      <c r="B1271" s="5" t="s">
        <v>169</v>
      </c>
      <c r="C1271" s="5" t="n">
        <v>213</v>
      </c>
      <c r="D1271" s="5" t="s">
        <v>646</v>
      </c>
      <c r="E1271" s="5" t="n">
        <v>9</v>
      </c>
      <c r="F1271" s="20" t="n">
        <v>8.74742272671733</v>
      </c>
      <c r="G1271" s="20" t="n">
        <f aca="false">9-F1271</f>
        <v>0.252577273282673</v>
      </c>
      <c r="H1271" s="20" t="n">
        <f aca="false">IF(G1271&gt;=1,G1271,0)</f>
        <v>0</v>
      </c>
      <c r="I1271" s="5" t="s">
        <v>74</v>
      </c>
      <c r="J1271" s="5" t="s">
        <v>1829</v>
      </c>
    </row>
    <row r="1272" customFormat="false" ht="15" hidden="false" customHeight="false" outlineLevel="0" collapsed="false">
      <c r="A1272" s="5" t="s">
        <v>227</v>
      </c>
      <c r="B1272" s="5" t="s">
        <v>169</v>
      </c>
      <c r="C1272" s="5" t="n">
        <v>214</v>
      </c>
      <c r="D1272" s="5" t="s">
        <v>646</v>
      </c>
      <c r="E1272" s="5" t="n">
        <v>9</v>
      </c>
      <c r="F1272" s="20" t="n">
        <v>8.74742272671733</v>
      </c>
      <c r="G1272" s="20" t="n">
        <f aca="false">9-F1272</f>
        <v>0.252577273282673</v>
      </c>
      <c r="H1272" s="20" t="n">
        <f aca="false">IF(G1272&gt;=1,G1272,0)</f>
        <v>0</v>
      </c>
      <c r="I1272" s="5" t="s">
        <v>74</v>
      </c>
      <c r="J1272" s="5" t="s">
        <v>1830</v>
      </c>
    </row>
    <row r="1273" customFormat="false" ht="15" hidden="false" customHeight="false" outlineLevel="0" collapsed="false">
      <c r="A1273" s="5" t="s">
        <v>227</v>
      </c>
      <c r="B1273" s="5" t="s">
        <v>169</v>
      </c>
      <c r="C1273" s="5" t="n">
        <v>215</v>
      </c>
      <c r="D1273" s="5" t="s">
        <v>646</v>
      </c>
      <c r="E1273" s="5" t="n">
        <v>9</v>
      </c>
      <c r="F1273" s="20" t="n">
        <v>8.74742272671733</v>
      </c>
      <c r="G1273" s="20" t="n">
        <f aca="false">9-F1273</f>
        <v>0.252577273282675</v>
      </c>
      <c r="H1273" s="20" t="n">
        <f aca="false">IF(G1273&gt;=1,G1273,0)</f>
        <v>0</v>
      </c>
      <c r="I1273" s="5" t="s">
        <v>74</v>
      </c>
      <c r="J1273" s="5" t="s">
        <v>1831</v>
      </c>
    </row>
    <row r="1274" customFormat="false" ht="15" hidden="false" customHeight="false" outlineLevel="0" collapsed="false">
      <c r="A1274" s="5" t="s">
        <v>227</v>
      </c>
      <c r="B1274" s="5" t="s">
        <v>169</v>
      </c>
      <c r="C1274" s="5" t="n">
        <v>216</v>
      </c>
      <c r="D1274" s="5" t="s">
        <v>646</v>
      </c>
      <c r="E1274" s="5" t="n">
        <v>9</v>
      </c>
      <c r="F1274" s="20" t="n">
        <v>8.74742272671732</v>
      </c>
      <c r="G1274" s="20" t="n">
        <f aca="false">9-F1274</f>
        <v>0.252577273282682</v>
      </c>
      <c r="H1274" s="20" t="n">
        <f aca="false">IF(G1274&gt;=1,G1274,0)</f>
        <v>0</v>
      </c>
      <c r="I1274" s="5" t="s">
        <v>74</v>
      </c>
      <c r="J1274" s="5" t="s">
        <v>1832</v>
      </c>
    </row>
    <row r="1275" customFormat="false" ht="15" hidden="false" customHeight="false" outlineLevel="0" collapsed="false">
      <c r="A1275" s="5" t="s">
        <v>227</v>
      </c>
      <c r="B1275" s="5" t="s">
        <v>169</v>
      </c>
      <c r="C1275" s="5" t="n">
        <v>217</v>
      </c>
      <c r="D1275" s="5" t="s">
        <v>646</v>
      </c>
      <c r="E1275" s="5" t="n">
        <v>9</v>
      </c>
      <c r="F1275" s="20" t="n">
        <v>8.74742272671732</v>
      </c>
      <c r="G1275" s="20" t="n">
        <f aca="false">9-F1275</f>
        <v>0.252577273282684</v>
      </c>
      <c r="H1275" s="20" t="n">
        <f aca="false">IF(G1275&gt;=1,G1275,0)</f>
        <v>0</v>
      </c>
      <c r="I1275" s="5" t="s">
        <v>74</v>
      </c>
      <c r="J1275" s="5" t="s">
        <v>1833</v>
      </c>
    </row>
    <row r="1276" customFormat="false" ht="15" hidden="false" customHeight="false" outlineLevel="0" collapsed="false">
      <c r="A1276" s="5" t="s">
        <v>227</v>
      </c>
      <c r="B1276" s="5" t="s">
        <v>169</v>
      </c>
      <c r="C1276" s="5" t="n">
        <v>218</v>
      </c>
      <c r="D1276" s="5" t="s">
        <v>646</v>
      </c>
      <c r="E1276" s="5" t="n">
        <v>9</v>
      </c>
      <c r="F1276" s="20" t="n">
        <v>8.74742272671731</v>
      </c>
      <c r="G1276" s="20" t="n">
        <f aca="false">9-F1276</f>
        <v>0.252577273282686</v>
      </c>
      <c r="H1276" s="20" t="n">
        <f aca="false">IF(G1276&gt;=1,G1276,0)</f>
        <v>0</v>
      </c>
      <c r="I1276" s="5" t="s">
        <v>74</v>
      </c>
      <c r="J1276" s="5" t="s">
        <v>1834</v>
      </c>
    </row>
    <row r="1277" customFormat="false" ht="15" hidden="false" customHeight="false" outlineLevel="0" collapsed="false">
      <c r="A1277" s="5" t="s">
        <v>227</v>
      </c>
      <c r="B1277" s="5" t="s">
        <v>169</v>
      </c>
      <c r="C1277" s="5" t="n">
        <v>219</v>
      </c>
      <c r="D1277" s="5" t="s">
        <v>646</v>
      </c>
      <c r="E1277" s="5" t="n">
        <v>9</v>
      </c>
      <c r="F1277" s="20" t="n">
        <v>8.74742272671731</v>
      </c>
      <c r="G1277" s="20" t="n">
        <f aca="false">9-F1277</f>
        <v>0.252577273282686</v>
      </c>
      <c r="H1277" s="20" t="n">
        <f aca="false">IF(G1277&gt;=1,G1277,0)</f>
        <v>0</v>
      </c>
      <c r="I1277" s="5" t="s">
        <v>74</v>
      </c>
      <c r="J1277" s="5" t="s">
        <v>1835</v>
      </c>
    </row>
    <row r="1278" customFormat="false" ht="15" hidden="false" customHeight="false" outlineLevel="0" collapsed="false">
      <c r="A1278" s="5" t="s">
        <v>227</v>
      </c>
      <c r="B1278" s="5" t="s">
        <v>169</v>
      </c>
      <c r="C1278" s="5" t="n">
        <v>220</v>
      </c>
      <c r="D1278" s="5" t="s">
        <v>646</v>
      </c>
      <c r="E1278" s="5" t="n">
        <v>9</v>
      </c>
      <c r="F1278" s="20" t="n">
        <v>8.74742272671731</v>
      </c>
      <c r="G1278" s="20" t="n">
        <f aca="false">9-F1278</f>
        <v>0.252577273282689</v>
      </c>
      <c r="H1278" s="20" t="n">
        <f aca="false">IF(G1278&gt;=1,G1278,0)</f>
        <v>0</v>
      </c>
      <c r="I1278" s="5" t="s">
        <v>74</v>
      </c>
      <c r="J1278" s="5" t="s">
        <v>1836</v>
      </c>
    </row>
    <row r="1279" customFormat="false" ht="15" hidden="false" customHeight="false" outlineLevel="0" collapsed="false">
      <c r="A1279" s="5" t="s">
        <v>227</v>
      </c>
      <c r="B1279" s="5" t="s">
        <v>169</v>
      </c>
      <c r="C1279" s="5" t="n">
        <v>221</v>
      </c>
      <c r="D1279" s="5" t="s">
        <v>646</v>
      </c>
      <c r="E1279" s="5" t="n">
        <v>9</v>
      </c>
      <c r="F1279" s="20" t="n">
        <v>8.74742272671731</v>
      </c>
      <c r="G1279" s="20" t="n">
        <f aca="false">9-F1279</f>
        <v>0.252577273282689</v>
      </c>
      <c r="H1279" s="20" t="n">
        <f aca="false">IF(G1279&gt;=1,G1279,0)</f>
        <v>0</v>
      </c>
      <c r="I1279" s="5" t="s">
        <v>74</v>
      </c>
      <c r="J1279" s="5" t="s">
        <v>1837</v>
      </c>
    </row>
    <row r="1280" customFormat="false" ht="15" hidden="false" customHeight="false" outlineLevel="0" collapsed="false">
      <c r="A1280" s="5" t="s">
        <v>227</v>
      </c>
      <c r="B1280" s="5" t="s">
        <v>169</v>
      </c>
      <c r="C1280" s="5" t="n">
        <v>222</v>
      </c>
      <c r="D1280" s="5" t="s">
        <v>646</v>
      </c>
      <c r="E1280" s="5" t="n">
        <v>9</v>
      </c>
      <c r="F1280" s="20" t="n">
        <v>8.74742272671731</v>
      </c>
      <c r="G1280" s="20" t="n">
        <f aca="false">9-F1280</f>
        <v>0.252577273282691</v>
      </c>
      <c r="H1280" s="20" t="n">
        <f aca="false">IF(G1280&gt;=1,G1280,0)</f>
        <v>0</v>
      </c>
      <c r="I1280" s="5" t="s">
        <v>74</v>
      </c>
      <c r="J1280" s="5" t="s">
        <v>1838</v>
      </c>
    </row>
    <row r="1281" customFormat="false" ht="15" hidden="false" customHeight="false" outlineLevel="0" collapsed="false">
      <c r="A1281" s="5" t="s">
        <v>227</v>
      </c>
      <c r="B1281" s="5" t="s">
        <v>169</v>
      </c>
      <c r="C1281" s="5" t="n">
        <v>223</v>
      </c>
      <c r="D1281" s="5" t="s">
        <v>1839</v>
      </c>
      <c r="E1281" s="5" t="n">
        <v>11</v>
      </c>
      <c r="F1281" s="20" t="n">
        <v>8.75773977226445</v>
      </c>
      <c r="G1281" s="20" t="n">
        <f aca="false">9-F1281</f>
        <v>0.242260227735549</v>
      </c>
      <c r="H1281" s="20" t="n">
        <f aca="false">IF(G1281&gt;=1,G1281,0)</f>
        <v>0</v>
      </c>
      <c r="I1281" s="5" t="s">
        <v>74</v>
      </c>
      <c r="J1281" s="5" t="s">
        <v>1840</v>
      </c>
    </row>
    <row r="1282" customFormat="false" ht="15" hidden="false" customHeight="false" outlineLevel="0" collapsed="false">
      <c r="A1282" s="5" t="s">
        <v>227</v>
      </c>
      <c r="B1282" s="5" t="s">
        <v>169</v>
      </c>
      <c r="C1282" s="5" t="n">
        <v>224</v>
      </c>
      <c r="D1282" s="5" t="s">
        <v>664</v>
      </c>
      <c r="E1282" s="5" t="n">
        <v>13</v>
      </c>
      <c r="F1282" s="20" t="n">
        <v>8.74110391374032</v>
      </c>
      <c r="G1282" s="20" t="n">
        <f aca="false">9-F1282</f>
        <v>0.258896086259684</v>
      </c>
      <c r="H1282" s="20" t="n">
        <f aca="false">IF(G1282&gt;=1,G1282,0)</f>
        <v>0</v>
      </c>
      <c r="I1282" s="5" t="s">
        <v>74</v>
      </c>
      <c r="J1282" s="5" t="s">
        <v>1841</v>
      </c>
    </row>
    <row r="1283" customFormat="false" ht="15" hidden="false" customHeight="false" outlineLevel="0" collapsed="false">
      <c r="A1283" s="5" t="s">
        <v>227</v>
      </c>
      <c r="B1283" s="5" t="s">
        <v>169</v>
      </c>
      <c r="C1283" s="5" t="n">
        <v>225</v>
      </c>
      <c r="D1283" s="5" t="s">
        <v>664</v>
      </c>
      <c r="E1283" s="5" t="n">
        <v>13</v>
      </c>
      <c r="F1283" s="20" t="n">
        <v>8.74110391374032</v>
      </c>
      <c r="G1283" s="20" t="n">
        <f aca="false">9-F1283</f>
        <v>0.258896086259684</v>
      </c>
      <c r="H1283" s="20" t="n">
        <f aca="false">IF(G1283&gt;=1,G1283,0)</f>
        <v>0</v>
      </c>
      <c r="I1283" s="5" t="s">
        <v>74</v>
      </c>
      <c r="J1283" s="5" t="s">
        <v>1842</v>
      </c>
    </row>
    <row r="1284" customFormat="false" ht="15" hidden="false" customHeight="false" outlineLevel="0" collapsed="false">
      <c r="A1284" s="5" t="s">
        <v>227</v>
      </c>
      <c r="B1284" s="5" t="s">
        <v>169</v>
      </c>
      <c r="C1284" s="5" t="n">
        <v>226</v>
      </c>
      <c r="D1284" s="5" t="s">
        <v>664</v>
      </c>
      <c r="E1284" s="5" t="n">
        <v>13</v>
      </c>
      <c r="F1284" s="20" t="n">
        <v>8.74110391374032</v>
      </c>
      <c r="G1284" s="20" t="n">
        <f aca="false">9-F1284</f>
        <v>0.258896086259684</v>
      </c>
      <c r="H1284" s="20" t="n">
        <f aca="false">IF(G1284&gt;=1,G1284,0)</f>
        <v>0</v>
      </c>
      <c r="I1284" s="5" t="s">
        <v>74</v>
      </c>
      <c r="J1284" s="5" t="s">
        <v>1843</v>
      </c>
    </row>
    <row r="1285" customFormat="false" ht="15" hidden="false" customHeight="false" outlineLevel="0" collapsed="false">
      <c r="A1285" s="5" t="s">
        <v>227</v>
      </c>
      <c r="B1285" s="5" t="s">
        <v>169</v>
      </c>
      <c r="C1285" s="5" t="n">
        <v>227</v>
      </c>
      <c r="D1285" s="5" t="s">
        <v>664</v>
      </c>
      <c r="E1285" s="5" t="n">
        <v>13</v>
      </c>
      <c r="F1285" s="20" t="n">
        <v>8.74110391374032</v>
      </c>
      <c r="G1285" s="20" t="n">
        <f aca="false">9-F1285</f>
        <v>0.258896086259684</v>
      </c>
      <c r="H1285" s="20" t="n">
        <f aca="false">IF(G1285&gt;=1,G1285,0)</f>
        <v>0</v>
      </c>
      <c r="I1285" s="5" t="s">
        <v>74</v>
      </c>
      <c r="J1285" s="5" t="s">
        <v>1844</v>
      </c>
    </row>
    <row r="1286" customFormat="false" ht="15" hidden="false" customHeight="false" outlineLevel="0" collapsed="false">
      <c r="A1286" s="5" t="s">
        <v>227</v>
      </c>
      <c r="B1286" s="5" t="s">
        <v>169</v>
      </c>
      <c r="C1286" s="5" t="n">
        <v>228</v>
      </c>
      <c r="D1286" s="5" t="s">
        <v>664</v>
      </c>
      <c r="E1286" s="5" t="n">
        <v>13</v>
      </c>
      <c r="F1286" s="20" t="n">
        <v>8.74110391374032</v>
      </c>
      <c r="G1286" s="20" t="n">
        <f aca="false">9-F1286</f>
        <v>0.258896086259684</v>
      </c>
      <c r="H1286" s="20" t="n">
        <f aca="false">IF(G1286&gt;=1,G1286,0)</f>
        <v>0</v>
      </c>
      <c r="I1286" s="5" t="s">
        <v>74</v>
      </c>
      <c r="J1286" s="5" t="s">
        <v>1845</v>
      </c>
    </row>
    <row r="1287" customFormat="false" ht="15" hidden="false" customHeight="false" outlineLevel="0" collapsed="false">
      <c r="A1287" s="5" t="s">
        <v>227</v>
      </c>
      <c r="B1287" s="5" t="s">
        <v>169</v>
      </c>
      <c r="C1287" s="5" t="n">
        <v>229</v>
      </c>
      <c r="D1287" s="5" t="s">
        <v>664</v>
      </c>
      <c r="E1287" s="5" t="n">
        <v>13</v>
      </c>
      <c r="F1287" s="20" t="n">
        <v>8.74110391374032</v>
      </c>
      <c r="G1287" s="20" t="n">
        <f aca="false">9-F1287</f>
        <v>0.258896086259684</v>
      </c>
      <c r="H1287" s="20" t="n">
        <f aca="false">IF(G1287&gt;=1,G1287,0)</f>
        <v>0</v>
      </c>
      <c r="I1287" s="5" t="s">
        <v>74</v>
      </c>
      <c r="J1287" s="5" t="s">
        <v>1846</v>
      </c>
    </row>
    <row r="1288" customFormat="false" ht="15" hidden="false" customHeight="false" outlineLevel="0" collapsed="false">
      <c r="A1288" s="5" t="s">
        <v>227</v>
      </c>
      <c r="B1288" s="5" t="s">
        <v>169</v>
      </c>
      <c r="C1288" s="5" t="n">
        <v>230</v>
      </c>
      <c r="D1288" s="5" t="s">
        <v>664</v>
      </c>
      <c r="E1288" s="5" t="n">
        <v>13</v>
      </c>
      <c r="F1288" s="20" t="n">
        <v>8.74110391374032</v>
      </c>
      <c r="G1288" s="20" t="n">
        <f aca="false">9-F1288</f>
        <v>0.258896086259684</v>
      </c>
      <c r="H1288" s="20" t="n">
        <f aca="false">IF(G1288&gt;=1,G1288,0)</f>
        <v>0</v>
      </c>
      <c r="I1288" s="5" t="s">
        <v>74</v>
      </c>
      <c r="J1288" s="5" t="s">
        <v>1847</v>
      </c>
    </row>
    <row r="1289" customFormat="false" ht="15" hidden="false" customHeight="false" outlineLevel="0" collapsed="false">
      <c r="A1289" s="5" t="s">
        <v>227</v>
      </c>
      <c r="B1289" s="5" t="s">
        <v>169</v>
      </c>
      <c r="C1289" s="5" t="n">
        <v>231</v>
      </c>
      <c r="D1289" s="5" t="s">
        <v>664</v>
      </c>
      <c r="E1289" s="5" t="n">
        <v>13</v>
      </c>
      <c r="F1289" s="20" t="n">
        <v>8.74110391374031</v>
      </c>
      <c r="G1289" s="20" t="n">
        <f aca="false">9-F1289</f>
        <v>0.258896086259686</v>
      </c>
      <c r="H1289" s="20" t="n">
        <f aca="false">IF(G1289&gt;=1,G1289,0)</f>
        <v>0</v>
      </c>
      <c r="I1289" s="5" t="s">
        <v>74</v>
      </c>
      <c r="J1289" s="5" t="s">
        <v>1848</v>
      </c>
    </row>
    <row r="1290" customFormat="false" ht="15" hidden="false" customHeight="false" outlineLevel="0" collapsed="false">
      <c r="A1290" s="5" t="s">
        <v>227</v>
      </c>
      <c r="B1290" s="5" t="s">
        <v>169</v>
      </c>
      <c r="C1290" s="5" t="n">
        <v>232</v>
      </c>
      <c r="D1290" s="5" t="s">
        <v>664</v>
      </c>
      <c r="E1290" s="5" t="n">
        <v>13</v>
      </c>
      <c r="F1290" s="20" t="n">
        <v>8.74110391374031</v>
      </c>
      <c r="G1290" s="20" t="n">
        <f aca="false">9-F1290</f>
        <v>0.258896086259686</v>
      </c>
      <c r="H1290" s="20" t="n">
        <f aca="false">IF(G1290&gt;=1,G1290,0)</f>
        <v>0</v>
      </c>
      <c r="I1290" s="5" t="s">
        <v>74</v>
      </c>
      <c r="J1290" s="5" t="s">
        <v>1849</v>
      </c>
    </row>
    <row r="1291" customFormat="false" ht="15" hidden="false" customHeight="false" outlineLevel="0" collapsed="false">
      <c r="A1291" s="5" t="s">
        <v>227</v>
      </c>
      <c r="B1291" s="5" t="s">
        <v>169</v>
      </c>
      <c r="C1291" s="5" t="n">
        <v>233</v>
      </c>
      <c r="D1291" s="5" t="s">
        <v>664</v>
      </c>
      <c r="E1291" s="5" t="n">
        <v>13</v>
      </c>
      <c r="F1291" s="20" t="n">
        <v>8.74110391374031</v>
      </c>
      <c r="G1291" s="20" t="n">
        <f aca="false">9-F1291</f>
        <v>0.258896086259686</v>
      </c>
      <c r="H1291" s="20" t="n">
        <f aca="false">IF(G1291&gt;=1,G1291,0)</f>
        <v>0</v>
      </c>
      <c r="I1291" s="5" t="s">
        <v>74</v>
      </c>
      <c r="J1291" s="5" t="s">
        <v>1850</v>
      </c>
    </row>
    <row r="1292" customFormat="false" ht="15" hidden="false" customHeight="false" outlineLevel="0" collapsed="false">
      <c r="A1292" s="5" t="s">
        <v>227</v>
      </c>
      <c r="B1292" s="5" t="s">
        <v>169</v>
      </c>
      <c r="C1292" s="5" t="n">
        <v>234</v>
      </c>
      <c r="D1292" s="5" t="s">
        <v>664</v>
      </c>
      <c r="E1292" s="5" t="n">
        <v>13</v>
      </c>
      <c r="F1292" s="20" t="n">
        <v>8.74110391374031</v>
      </c>
      <c r="G1292" s="20" t="n">
        <f aca="false">9-F1292</f>
        <v>0.258896086259686</v>
      </c>
      <c r="H1292" s="20" t="n">
        <f aca="false">IF(G1292&gt;=1,G1292,0)</f>
        <v>0</v>
      </c>
      <c r="I1292" s="5" t="s">
        <v>74</v>
      </c>
      <c r="J1292" s="5" t="s">
        <v>1851</v>
      </c>
    </row>
    <row r="1293" customFormat="false" ht="15" hidden="false" customHeight="false" outlineLevel="0" collapsed="false">
      <c r="A1293" s="5" t="s">
        <v>227</v>
      </c>
      <c r="B1293" s="5" t="s">
        <v>169</v>
      </c>
      <c r="C1293" s="5" t="n">
        <v>235</v>
      </c>
      <c r="D1293" s="5" t="s">
        <v>672</v>
      </c>
      <c r="E1293" s="5" t="n">
        <v>20</v>
      </c>
      <c r="F1293" s="20" t="n">
        <v>8.76030025190821</v>
      </c>
      <c r="G1293" s="20" t="n">
        <f aca="false">9-F1293</f>
        <v>0.239699748091795</v>
      </c>
      <c r="H1293" s="20" t="n">
        <f aca="false">IF(G1293&gt;=1,G1293,0)</f>
        <v>0</v>
      </c>
      <c r="I1293" s="5" t="s">
        <v>74</v>
      </c>
      <c r="J1293" s="5" t="s">
        <v>1852</v>
      </c>
    </row>
    <row r="1294" customFormat="false" ht="15" hidden="false" customHeight="false" outlineLevel="0" collapsed="false">
      <c r="A1294" s="5" t="s">
        <v>227</v>
      </c>
      <c r="B1294" s="5" t="s">
        <v>169</v>
      </c>
      <c r="C1294" s="5" t="n">
        <v>236</v>
      </c>
      <c r="D1294" s="5" t="s">
        <v>674</v>
      </c>
      <c r="E1294" s="5" t="n">
        <v>22</v>
      </c>
      <c r="F1294" s="20" t="n">
        <v>8.63585277709904</v>
      </c>
      <c r="G1294" s="20" t="n">
        <f aca="false">9-F1294</f>
        <v>0.364147222900964</v>
      </c>
      <c r="H1294" s="20" t="n">
        <f aca="false">IF(G1294&gt;=1,G1294,0)</f>
        <v>0</v>
      </c>
      <c r="I1294" s="5" t="s">
        <v>74</v>
      </c>
      <c r="J1294" s="5" t="s">
        <v>1853</v>
      </c>
    </row>
    <row r="1295" customFormat="false" ht="15" hidden="false" customHeight="false" outlineLevel="0" collapsed="false">
      <c r="A1295" s="5" t="s">
        <v>227</v>
      </c>
      <c r="B1295" s="5" t="s">
        <v>169</v>
      </c>
      <c r="C1295" s="5" t="n">
        <v>237</v>
      </c>
      <c r="D1295" s="5" t="s">
        <v>674</v>
      </c>
      <c r="E1295" s="5" t="n">
        <v>22</v>
      </c>
      <c r="F1295" s="20" t="n">
        <v>8.63585277709904</v>
      </c>
      <c r="G1295" s="20" t="n">
        <f aca="false">9-F1295</f>
        <v>0.364147222900964</v>
      </c>
      <c r="H1295" s="20" t="n">
        <f aca="false">IF(G1295&gt;=1,G1295,0)</f>
        <v>0</v>
      </c>
      <c r="I1295" s="5" t="s">
        <v>74</v>
      </c>
      <c r="J1295" s="5" t="s">
        <v>1854</v>
      </c>
    </row>
    <row r="1296" customFormat="false" ht="15" hidden="false" customHeight="false" outlineLevel="0" collapsed="false">
      <c r="A1296" s="5" t="s">
        <v>227</v>
      </c>
      <c r="B1296" s="5" t="s">
        <v>169</v>
      </c>
      <c r="C1296" s="5" t="n">
        <v>238</v>
      </c>
      <c r="D1296" s="5" t="s">
        <v>674</v>
      </c>
      <c r="E1296" s="5" t="n">
        <v>22</v>
      </c>
      <c r="F1296" s="20" t="n">
        <v>8.63585277709904</v>
      </c>
      <c r="G1296" s="20" t="n">
        <f aca="false">9-F1296</f>
        <v>0.364147222900964</v>
      </c>
      <c r="H1296" s="20" t="n">
        <f aca="false">IF(G1296&gt;=1,G1296,0)</f>
        <v>0</v>
      </c>
      <c r="I1296" s="5" t="s">
        <v>74</v>
      </c>
      <c r="J1296" s="5" t="s">
        <v>1855</v>
      </c>
    </row>
    <row r="1297" customFormat="false" ht="15" hidden="false" customHeight="false" outlineLevel="0" collapsed="false">
      <c r="A1297" s="5" t="s">
        <v>227</v>
      </c>
      <c r="B1297" s="5" t="s">
        <v>169</v>
      </c>
      <c r="C1297" s="5" t="n">
        <v>239</v>
      </c>
      <c r="D1297" s="5" t="s">
        <v>674</v>
      </c>
      <c r="E1297" s="5" t="n">
        <v>22</v>
      </c>
      <c r="F1297" s="20" t="n">
        <v>8.63585277709904</v>
      </c>
      <c r="G1297" s="20" t="n">
        <f aca="false">9-F1297</f>
        <v>0.364147222900964</v>
      </c>
      <c r="H1297" s="20" t="n">
        <f aca="false">IF(G1297&gt;=1,G1297,0)</f>
        <v>0</v>
      </c>
      <c r="I1297" s="5" t="s">
        <v>74</v>
      </c>
      <c r="J1297" s="5" t="s">
        <v>1856</v>
      </c>
    </row>
    <row r="1298" customFormat="false" ht="15" hidden="false" customHeight="false" outlineLevel="0" collapsed="false">
      <c r="A1298" s="5" t="s">
        <v>227</v>
      </c>
      <c r="B1298" s="5" t="s">
        <v>169</v>
      </c>
      <c r="C1298" s="5" t="n">
        <v>240</v>
      </c>
      <c r="D1298" s="5" t="s">
        <v>674</v>
      </c>
      <c r="E1298" s="5" t="n">
        <v>22</v>
      </c>
      <c r="F1298" s="20" t="n">
        <v>8.63585277709904</v>
      </c>
      <c r="G1298" s="20" t="n">
        <f aca="false">9-F1298</f>
        <v>0.364147222900964</v>
      </c>
      <c r="H1298" s="20" t="n">
        <f aca="false">IF(G1298&gt;=1,G1298,0)</f>
        <v>0</v>
      </c>
      <c r="I1298" s="5" t="s">
        <v>74</v>
      </c>
      <c r="J1298" s="5" t="s">
        <v>1857</v>
      </c>
    </row>
    <row r="1299" customFormat="false" ht="15" hidden="false" customHeight="false" outlineLevel="0" collapsed="false">
      <c r="A1299" s="5" t="s">
        <v>227</v>
      </c>
      <c r="B1299" s="5" t="s">
        <v>169</v>
      </c>
      <c r="C1299" s="5" t="n">
        <v>241</v>
      </c>
      <c r="D1299" s="5" t="s">
        <v>674</v>
      </c>
      <c r="E1299" s="5" t="n">
        <v>22</v>
      </c>
      <c r="F1299" s="20" t="n">
        <v>8.63585277709904</v>
      </c>
      <c r="G1299" s="20" t="n">
        <f aca="false">9-F1299</f>
        <v>0.364147222900964</v>
      </c>
      <c r="H1299" s="20" t="n">
        <f aca="false">IF(G1299&gt;=1,G1299,0)</f>
        <v>0</v>
      </c>
      <c r="I1299" s="5" t="s">
        <v>74</v>
      </c>
      <c r="J1299" s="5" t="s">
        <v>1858</v>
      </c>
    </row>
    <row r="1300" customFormat="false" ht="15" hidden="false" customHeight="false" outlineLevel="0" collapsed="false">
      <c r="A1300" s="5" t="s">
        <v>227</v>
      </c>
      <c r="B1300" s="5" t="s">
        <v>169</v>
      </c>
      <c r="C1300" s="5" t="n">
        <v>242</v>
      </c>
      <c r="D1300" s="5" t="s">
        <v>674</v>
      </c>
      <c r="E1300" s="5" t="n">
        <v>22</v>
      </c>
      <c r="F1300" s="20" t="n">
        <v>8.63585277709904</v>
      </c>
      <c r="G1300" s="20" t="n">
        <f aca="false">9-F1300</f>
        <v>0.364147222900964</v>
      </c>
      <c r="H1300" s="20" t="n">
        <f aca="false">IF(G1300&gt;=1,G1300,0)</f>
        <v>0</v>
      </c>
      <c r="I1300" s="5" t="s">
        <v>74</v>
      </c>
      <c r="J1300" s="5" t="s">
        <v>1859</v>
      </c>
    </row>
    <row r="1301" customFormat="false" ht="15" hidden="false" customHeight="false" outlineLevel="0" collapsed="false">
      <c r="A1301" s="5" t="s">
        <v>227</v>
      </c>
      <c r="B1301" s="5" t="s">
        <v>169</v>
      </c>
      <c r="C1301" s="5" t="n">
        <v>243</v>
      </c>
      <c r="D1301" s="5" t="s">
        <v>674</v>
      </c>
      <c r="E1301" s="5" t="n">
        <v>22</v>
      </c>
      <c r="F1301" s="20" t="n">
        <v>8.63585277709904</v>
      </c>
      <c r="G1301" s="20" t="n">
        <f aca="false">9-F1301</f>
        <v>0.364147222900964</v>
      </c>
      <c r="H1301" s="20" t="n">
        <f aca="false">IF(G1301&gt;=1,G1301,0)</f>
        <v>0</v>
      </c>
      <c r="I1301" s="5" t="s">
        <v>74</v>
      </c>
      <c r="J1301" s="5" t="s">
        <v>1860</v>
      </c>
    </row>
    <row r="1302" customFormat="false" ht="15" hidden="false" customHeight="false" outlineLevel="0" collapsed="false">
      <c r="A1302" s="5" t="s">
        <v>227</v>
      </c>
      <c r="B1302" s="5" t="s">
        <v>169</v>
      </c>
      <c r="C1302" s="5" t="n">
        <v>244</v>
      </c>
      <c r="D1302" s="5" t="s">
        <v>674</v>
      </c>
      <c r="E1302" s="5" t="n">
        <v>22</v>
      </c>
      <c r="F1302" s="20" t="n">
        <v>8.63585277709904</v>
      </c>
      <c r="G1302" s="20" t="n">
        <f aca="false">9-F1302</f>
        <v>0.364147222900964</v>
      </c>
      <c r="H1302" s="20" t="n">
        <f aca="false">IF(G1302&gt;=1,G1302,0)</f>
        <v>0</v>
      </c>
      <c r="I1302" s="5" t="s">
        <v>74</v>
      </c>
      <c r="J1302" s="5" t="s">
        <v>1861</v>
      </c>
    </row>
    <row r="1303" customFormat="false" ht="15" hidden="false" customHeight="false" outlineLevel="0" collapsed="false">
      <c r="A1303" s="5" t="s">
        <v>227</v>
      </c>
      <c r="B1303" s="5" t="s">
        <v>169</v>
      </c>
      <c r="C1303" s="5" t="n">
        <v>245</v>
      </c>
      <c r="D1303" s="5" t="s">
        <v>674</v>
      </c>
      <c r="E1303" s="5" t="n">
        <v>22</v>
      </c>
      <c r="F1303" s="20" t="n">
        <v>8.63585277709904</v>
      </c>
      <c r="G1303" s="20" t="n">
        <f aca="false">9-F1303</f>
        <v>0.364147222900964</v>
      </c>
      <c r="H1303" s="20" t="n">
        <f aca="false">IF(G1303&gt;=1,G1303,0)</f>
        <v>0</v>
      </c>
      <c r="I1303" s="5" t="s">
        <v>74</v>
      </c>
      <c r="J1303" s="5" t="s">
        <v>1862</v>
      </c>
    </row>
    <row r="1304" customFormat="false" ht="15" hidden="false" customHeight="false" outlineLevel="0" collapsed="false">
      <c r="A1304" s="5" t="s">
        <v>227</v>
      </c>
      <c r="B1304" s="5" t="s">
        <v>169</v>
      </c>
      <c r="C1304" s="5" t="n">
        <v>246</v>
      </c>
      <c r="D1304" s="5" t="s">
        <v>674</v>
      </c>
      <c r="E1304" s="5" t="n">
        <v>22</v>
      </c>
      <c r="F1304" s="20" t="n">
        <v>8.63585277709904</v>
      </c>
      <c r="G1304" s="20" t="n">
        <f aca="false">9-F1304</f>
        <v>0.364147222900964</v>
      </c>
      <c r="H1304" s="20" t="n">
        <f aca="false">IF(G1304&gt;=1,G1304,0)</f>
        <v>0</v>
      </c>
      <c r="I1304" s="5" t="s">
        <v>74</v>
      </c>
      <c r="J1304" s="5" t="s">
        <v>1863</v>
      </c>
    </row>
    <row r="1305" customFormat="false" ht="15" hidden="false" customHeight="false" outlineLevel="0" collapsed="false">
      <c r="A1305" s="5" t="s">
        <v>227</v>
      </c>
      <c r="B1305" s="5" t="s">
        <v>169</v>
      </c>
      <c r="C1305" s="5" t="n">
        <v>247</v>
      </c>
      <c r="D1305" s="5" t="s">
        <v>1864</v>
      </c>
      <c r="E1305" s="5" t="n">
        <v>12</v>
      </c>
      <c r="F1305" s="20" t="n">
        <v>4.71046515114493</v>
      </c>
      <c r="G1305" s="20" t="n">
        <f aca="false">9-F1305</f>
        <v>4.28953484885507</v>
      </c>
      <c r="H1305" s="20" t="n">
        <f aca="false">IF(G1305&gt;=1,G1305,0)</f>
        <v>4.28953484885507</v>
      </c>
      <c r="I1305" s="5" t="s">
        <v>74</v>
      </c>
      <c r="J1305" s="5" t="s">
        <v>1865</v>
      </c>
    </row>
    <row r="1306" customFormat="false" ht="15" hidden="false" customHeight="false" outlineLevel="0" collapsed="false">
      <c r="A1306" s="5" t="s">
        <v>227</v>
      </c>
      <c r="B1306" s="5" t="s">
        <v>170</v>
      </c>
      <c r="C1306" s="5" t="n">
        <v>1</v>
      </c>
      <c r="D1306" s="5" t="s">
        <v>1223</v>
      </c>
      <c r="E1306" s="5" t="n">
        <v>2</v>
      </c>
      <c r="F1306" s="20" t="n">
        <v>8.91367676547286</v>
      </c>
      <c r="G1306" s="20" t="n">
        <f aca="false">9-F1306</f>
        <v>0.0863232345271427</v>
      </c>
      <c r="H1306" s="20" t="n">
        <f aca="false">IF(G1306&gt;=1,G1306,0)</f>
        <v>0</v>
      </c>
      <c r="I1306" s="5" t="s">
        <v>774</v>
      </c>
      <c r="J1306" s="5" t="s">
        <v>1866</v>
      </c>
    </row>
    <row r="1307" customFormat="false" ht="15" hidden="false" customHeight="false" outlineLevel="0" collapsed="false">
      <c r="A1307" s="5" t="s">
        <v>227</v>
      </c>
      <c r="B1307" s="5" t="s">
        <v>170</v>
      </c>
      <c r="C1307" s="5" t="n">
        <v>2</v>
      </c>
      <c r="D1307" s="5" t="s">
        <v>1225</v>
      </c>
      <c r="E1307" s="5" t="n">
        <v>2</v>
      </c>
      <c r="F1307" s="20" t="n">
        <v>8.88356923859114</v>
      </c>
      <c r="G1307" s="20" t="n">
        <f aca="false">9-F1307</f>
        <v>0.116430761408859</v>
      </c>
      <c r="H1307" s="20" t="n">
        <f aca="false">IF(G1307&gt;=1,G1307,0)</f>
        <v>0</v>
      </c>
      <c r="I1307" s="5" t="s">
        <v>774</v>
      </c>
      <c r="J1307" s="5" t="s">
        <v>1867</v>
      </c>
    </row>
    <row r="1308" customFormat="false" ht="15" hidden="false" customHeight="false" outlineLevel="0" collapsed="false">
      <c r="A1308" s="5" t="s">
        <v>227</v>
      </c>
      <c r="B1308" s="5" t="s">
        <v>170</v>
      </c>
      <c r="C1308" s="5" t="n">
        <v>3</v>
      </c>
      <c r="D1308" s="5" t="s">
        <v>1227</v>
      </c>
      <c r="E1308" s="5" t="n">
        <v>2</v>
      </c>
      <c r="F1308" s="20" t="n">
        <v>8.85346171170941</v>
      </c>
      <c r="G1308" s="20" t="n">
        <f aca="false">9-F1308</f>
        <v>0.146538288290586</v>
      </c>
      <c r="H1308" s="20" t="n">
        <f aca="false">IF(G1308&gt;=1,G1308,0)</f>
        <v>0</v>
      </c>
      <c r="I1308" s="5" t="s">
        <v>774</v>
      </c>
      <c r="J1308" s="5" t="s">
        <v>1868</v>
      </c>
    </row>
    <row r="1309" customFormat="false" ht="15" hidden="false" customHeight="false" outlineLevel="0" collapsed="false">
      <c r="A1309" s="5" t="s">
        <v>227</v>
      </c>
      <c r="B1309" s="5" t="s">
        <v>170</v>
      </c>
      <c r="C1309" s="5" t="n">
        <v>4</v>
      </c>
      <c r="D1309" s="5" t="s">
        <v>1229</v>
      </c>
      <c r="E1309" s="5" t="n">
        <v>1</v>
      </c>
      <c r="F1309" s="20" t="n">
        <v>7.225</v>
      </c>
      <c r="G1309" s="20" t="n">
        <f aca="false">9-F1309</f>
        <v>1.775</v>
      </c>
      <c r="H1309" s="20" t="n">
        <f aca="false">IF(G1309&gt;=1,G1309,0)</f>
        <v>1.775</v>
      </c>
      <c r="I1309" s="5" t="s">
        <v>774</v>
      </c>
      <c r="J1309" s="5" t="s">
        <v>1869</v>
      </c>
    </row>
    <row r="1310" customFormat="false" ht="15" hidden="false" customHeight="false" outlineLevel="0" collapsed="false">
      <c r="A1310" s="5" t="s">
        <v>227</v>
      </c>
      <c r="B1310" s="5" t="s">
        <v>170</v>
      </c>
      <c r="C1310" s="5" t="n">
        <v>5</v>
      </c>
      <c r="D1310" s="5" t="s">
        <v>1231</v>
      </c>
      <c r="E1310" s="5" t="n">
        <v>1</v>
      </c>
      <c r="F1310" s="20" t="n">
        <v>7.225</v>
      </c>
      <c r="G1310" s="20" t="n">
        <f aca="false">9-F1310</f>
        <v>1.775</v>
      </c>
      <c r="H1310" s="20" t="n">
        <f aca="false">IF(G1310&gt;=1,G1310,0)</f>
        <v>1.775</v>
      </c>
      <c r="I1310" s="5" t="s">
        <v>774</v>
      </c>
      <c r="J1310" s="5" t="s">
        <v>1870</v>
      </c>
    </row>
    <row r="1311" customFormat="false" ht="15" hidden="false" customHeight="false" outlineLevel="0" collapsed="false">
      <c r="A1311" s="5" t="s">
        <v>227</v>
      </c>
      <c r="B1311" s="5" t="s">
        <v>170</v>
      </c>
      <c r="C1311" s="5" t="n">
        <v>6</v>
      </c>
      <c r="D1311" s="5" t="s">
        <v>1231</v>
      </c>
      <c r="E1311" s="5" t="n">
        <v>1</v>
      </c>
      <c r="F1311" s="20" t="n">
        <v>7.225</v>
      </c>
      <c r="G1311" s="20" t="n">
        <f aca="false">9-F1311</f>
        <v>1.775</v>
      </c>
      <c r="H1311" s="20" t="n">
        <f aca="false">IF(G1311&gt;=1,G1311,0)</f>
        <v>1.775</v>
      </c>
      <c r="I1311" s="5" t="s">
        <v>774</v>
      </c>
      <c r="J1311" s="5" t="s">
        <v>1871</v>
      </c>
    </row>
    <row r="1312" customFormat="false" ht="15" hidden="false" customHeight="false" outlineLevel="0" collapsed="false">
      <c r="A1312" s="5" t="s">
        <v>227</v>
      </c>
      <c r="B1312" s="5" t="s">
        <v>170</v>
      </c>
      <c r="C1312" s="5" t="n">
        <v>7</v>
      </c>
      <c r="D1312" s="5" t="s">
        <v>1231</v>
      </c>
      <c r="E1312" s="5" t="n">
        <v>1</v>
      </c>
      <c r="F1312" s="20" t="n">
        <v>7.225</v>
      </c>
      <c r="G1312" s="20" t="n">
        <f aca="false">9-F1312</f>
        <v>1.775</v>
      </c>
      <c r="H1312" s="20" t="n">
        <f aca="false">IF(G1312&gt;=1,G1312,0)</f>
        <v>1.775</v>
      </c>
      <c r="I1312" s="5" t="s">
        <v>774</v>
      </c>
      <c r="J1312" s="5" t="s">
        <v>1872</v>
      </c>
    </row>
    <row r="1313" customFormat="false" ht="15" hidden="false" customHeight="false" outlineLevel="0" collapsed="false">
      <c r="A1313" s="5" t="s">
        <v>227</v>
      </c>
      <c r="B1313" s="5" t="s">
        <v>170</v>
      </c>
      <c r="C1313" s="5" t="n">
        <v>8</v>
      </c>
      <c r="D1313" s="5" t="s">
        <v>1235</v>
      </c>
      <c r="E1313" s="5" t="n">
        <v>2</v>
      </c>
      <c r="F1313" s="20" t="n">
        <v>8.99011034913166</v>
      </c>
      <c r="G1313" s="20" t="n">
        <f aca="false">9-F1313</f>
        <v>0.00988965086834526</v>
      </c>
      <c r="H1313" s="20" t="n">
        <f aca="false">IF(G1313&gt;=1,G1313,0)</f>
        <v>0</v>
      </c>
      <c r="I1313" s="5" t="s">
        <v>774</v>
      </c>
      <c r="J1313" s="5" t="s">
        <v>1873</v>
      </c>
    </row>
    <row r="1314" customFormat="false" ht="15" hidden="false" customHeight="false" outlineLevel="0" collapsed="false">
      <c r="A1314" s="5" t="s">
        <v>227</v>
      </c>
      <c r="B1314" s="5" t="s">
        <v>170</v>
      </c>
      <c r="C1314" s="5" t="n">
        <v>9</v>
      </c>
      <c r="D1314" s="5" t="s">
        <v>1237</v>
      </c>
      <c r="E1314" s="5" t="n">
        <v>2</v>
      </c>
      <c r="F1314" s="20" t="n">
        <v>8.99011034913165</v>
      </c>
      <c r="G1314" s="20" t="n">
        <f aca="false">9-F1314</f>
        <v>0.00988965086834881</v>
      </c>
      <c r="H1314" s="20" t="n">
        <f aca="false">IF(G1314&gt;=1,G1314,0)</f>
        <v>0</v>
      </c>
      <c r="I1314" s="5" t="s">
        <v>774</v>
      </c>
      <c r="J1314" s="5" t="s">
        <v>1874</v>
      </c>
    </row>
    <row r="1315" customFormat="false" ht="15" hidden="false" customHeight="false" outlineLevel="0" collapsed="false">
      <c r="A1315" s="5" t="s">
        <v>227</v>
      </c>
      <c r="B1315" s="5" t="s">
        <v>170</v>
      </c>
      <c r="C1315" s="5" t="n">
        <v>10</v>
      </c>
      <c r="D1315" s="5" t="s">
        <v>1239</v>
      </c>
      <c r="E1315" s="5" t="n">
        <v>2</v>
      </c>
      <c r="F1315" s="20" t="n">
        <v>8.89858346741122</v>
      </c>
      <c r="G1315" s="20" t="n">
        <f aca="false">9-F1315</f>
        <v>0.101416532588784</v>
      </c>
      <c r="H1315" s="20" t="n">
        <f aca="false">IF(G1315&gt;=1,G1315,0)</f>
        <v>0</v>
      </c>
      <c r="I1315" s="5" t="s">
        <v>774</v>
      </c>
      <c r="J1315" s="5" t="s">
        <v>1875</v>
      </c>
    </row>
    <row r="1316" customFormat="false" ht="15" hidden="false" customHeight="false" outlineLevel="0" collapsed="false">
      <c r="A1316" s="5" t="s">
        <v>227</v>
      </c>
      <c r="B1316" s="5" t="s">
        <v>170</v>
      </c>
      <c r="C1316" s="5" t="n">
        <v>11</v>
      </c>
      <c r="D1316" s="5" t="s">
        <v>1241</v>
      </c>
      <c r="E1316" s="5" t="n">
        <v>1</v>
      </c>
      <c r="F1316" s="20" t="n">
        <v>7.09315837824399</v>
      </c>
      <c r="G1316" s="20" t="n">
        <f aca="false">9-F1316</f>
        <v>1.90684162175601</v>
      </c>
      <c r="H1316" s="20" t="n">
        <f aca="false">IF(G1316&gt;=1,G1316,0)</f>
        <v>1.90684162175601</v>
      </c>
      <c r="I1316" s="5" t="s">
        <v>774</v>
      </c>
      <c r="J1316" s="5" t="s">
        <v>1876</v>
      </c>
    </row>
    <row r="1317" customFormat="false" ht="15" hidden="false" customHeight="false" outlineLevel="0" collapsed="false">
      <c r="A1317" s="5" t="s">
        <v>227</v>
      </c>
      <c r="B1317" s="5" t="s">
        <v>170</v>
      </c>
      <c r="C1317" s="5" t="n">
        <v>12</v>
      </c>
      <c r="D1317" s="5" t="s">
        <v>1241</v>
      </c>
      <c r="E1317" s="5" t="n">
        <v>1</v>
      </c>
      <c r="F1317" s="20" t="n">
        <v>7.09128304602438</v>
      </c>
      <c r="G1317" s="20" t="n">
        <f aca="false">9-F1317</f>
        <v>1.90871695397562</v>
      </c>
      <c r="H1317" s="20" t="n">
        <f aca="false">IF(G1317&gt;=1,G1317,0)</f>
        <v>1.90871695397562</v>
      </c>
      <c r="I1317" s="5" t="s">
        <v>774</v>
      </c>
      <c r="J1317" s="5" t="s">
        <v>1877</v>
      </c>
    </row>
    <row r="1318" customFormat="false" ht="15" hidden="false" customHeight="false" outlineLevel="0" collapsed="false">
      <c r="A1318" s="5" t="s">
        <v>227</v>
      </c>
      <c r="B1318" s="5" t="s">
        <v>170</v>
      </c>
      <c r="C1318" s="5" t="n">
        <v>13</v>
      </c>
      <c r="D1318" s="5" t="s">
        <v>1244</v>
      </c>
      <c r="E1318" s="5" t="n">
        <v>1</v>
      </c>
      <c r="F1318" s="20" t="n">
        <v>7.07954111054051</v>
      </c>
      <c r="G1318" s="20" t="n">
        <f aca="false">9-F1318</f>
        <v>1.92045888945949</v>
      </c>
      <c r="H1318" s="20" t="n">
        <f aca="false">IF(G1318&gt;=1,G1318,0)</f>
        <v>1.92045888945949</v>
      </c>
      <c r="I1318" s="5" t="s">
        <v>774</v>
      </c>
      <c r="J1318" s="5" t="s">
        <v>1878</v>
      </c>
    </row>
    <row r="1319" customFormat="false" ht="15" hidden="false" customHeight="false" outlineLevel="0" collapsed="false">
      <c r="A1319" s="5" t="s">
        <v>227</v>
      </c>
      <c r="B1319" s="5" t="s">
        <v>170</v>
      </c>
      <c r="C1319" s="5" t="n">
        <v>14</v>
      </c>
      <c r="D1319" s="5" t="s">
        <v>1244</v>
      </c>
      <c r="E1319" s="5" t="n">
        <v>1</v>
      </c>
      <c r="F1319" s="20" t="n">
        <v>7.07893896000288</v>
      </c>
      <c r="G1319" s="20" t="n">
        <f aca="false">9-F1319</f>
        <v>1.92106103999712</v>
      </c>
      <c r="H1319" s="20" t="n">
        <f aca="false">IF(G1319&gt;=1,G1319,0)</f>
        <v>1.92106103999712</v>
      </c>
      <c r="I1319" s="5" t="s">
        <v>774</v>
      </c>
      <c r="J1319" s="5" t="s">
        <v>1879</v>
      </c>
    </row>
    <row r="1320" customFormat="false" ht="15" hidden="false" customHeight="false" outlineLevel="0" collapsed="false">
      <c r="A1320" s="5" t="s">
        <v>227</v>
      </c>
      <c r="B1320" s="5" t="s">
        <v>170</v>
      </c>
      <c r="C1320" s="5" t="n">
        <v>15</v>
      </c>
      <c r="D1320" s="5" t="s">
        <v>1247</v>
      </c>
      <c r="E1320" s="5" t="n">
        <v>2</v>
      </c>
      <c r="F1320" s="20" t="n">
        <v>8.37334465007483</v>
      </c>
      <c r="G1320" s="20" t="n">
        <f aca="false">9-F1320</f>
        <v>0.626655349925169</v>
      </c>
      <c r="H1320" s="20" t="n">
        <f aca="false">IF(G1320&gt;=1,G1320,0)</f>
        <v>0</v>
      </c>
      <c r="I1320" s="5" t="s">
        <v>774</v>
      </c>
      <c r="J1320" s="5" t="s">
        <v>1880</v>
      </c>
    </row>
    <row r="1321" customFormat="false" ht="15" hidden="false" customHeight="false" outlineLevel="0" collapsed="false">
      <c r="A1321" s="5" t="s">
        <v>227</v>
      </c>
      <c r="B1321" s="5" t="s">
        <v>170</v>
      </c>
      <c r="C1321" s="5" t="n">
        <v>16</v>
      </c>
      <c r="D1321" s="5" t="s">
        <v>1249</v>
      </c>
      <c r="E1321" s="5" t="n">
        <v>2</v>
      </c>
      <c r="F1321" s="20" t="n">
        <v>8.34557684473694</v>
      </c>
      <c r="G1321" s="20" t="n">
        <f aca="false">9-F1321</f>
        <v>0.654423155263057</v>
      </c>
      <c r="H1321" s="20" t="n">
        <f aca="false">IF(G1321&gt;=1,G1321,0)</f>
        <v>0</v>
      </c>
      <c r="I1321" s="5" t="s">
        <v>774</v>
      </c>
      <c r="J1321" s="5" t="s">
        <v>1881</v>
      </c>
    </row>
    <row r="1322" customFormat="false" ht="15" hidden="false" customHeight="false" outlineLevel="0" collapsed="false">
      <c r="A1322" s="5" t="s">
        <v>227</v>
      </c>
      <c r="B1322" s="5" t="s">
        <v>170</v>
      </c>
      <c r="C1322" s="5" t="n">
        <v>17</v>
      </c>
      <c r="D1322" s="5" t="s">
        <v>1251</v>
      </c>
      <c r="E1322" s="5" t="n">
        <v>2</v>
      </c>
      <c r="F1322" s="20" t="n">
        <v>8.23056609204876</v>
      </c>
      <c r="G1322" s="20" t="n">
        <f aca="false">9-F1322</f>
        <v>0.769433907951239</v>
      </c>
      <c r="H1322" s="20" t="n">
        <f aca="false">IF(G1322&gt;=1,G1322,0)</f>
        <v>0</v>
      </c>
      <c r="I1322" s="5" t="s">
        <v>774</v>
      </c>
      <c r="J1322" s="5" t="s">
        <v>1882</v>
      </c>
    </row>
    <row r="1323" customFormat="false" ht="15" hidden="false" customHeight="false" outlineLevel="0" collapsed="false">
      <c r="A1323" s="5" t="s">
        <v>227</v>
      </c>
      <c r="B1323" s="5" t="s">
        <v>170</v>
      </c>
      <c r="C1323" s="5" t="n">
        <v>18</v>
      </c>
      <c r="D1323" s="5" t="s">
        <v>1253</v>
      </c>
      <c r="E1323" s="5" t="n">
        <v>2</v>
      </c>
      <c r="F1323" s="20" t="n">
        <v>8.0951217557018</v>
      </c>
      <c r="G1323" s="20" t="n">
        <f aca="false">9-F1323</f>
        <v>0.904878244298196</v>
      </c>
      <c r="H1323" s="20" t="n">
        <f aca="false">IF(G1323&gt;=1,G1323,0)</f>
        <v>0</v>
      </c>
      <c r="I1323" s="5" t="s">
        <v>774</v>
      </c>
      <c r="J1323" s="5" t="s">
        <v>1883</v>
      </c>
    </row>
    <row r="1324" customFormat="false" ht="15" hidden="false" customHeight="false" outlineLevel="0" collapsed="false">
      <c r="A1324" s="5" t="s">
        <v>227</v>
      </c>
      <c r="B1324" s="5" t="s">
        <v>170</v>
      </c>
      <c r="C1324" s="5" t="n">
        <v>19</v>
      </c>
      <c r="D1324" s="5" t="s">
        <v>1255</v>
      </c>
      <c r="E1324" s="5" t="n">
        <v>2</v>
      </c>
      <c r="F1324" s="20" t="n">
        <v>8.05</v>
      </c>
      <c r="G1324" s="20" t="n">
        <f aca="false">9-F1324</f>
        <v>0.949999999999999</v>
      </c>
      <c r="H1324" s="20" t="n">
        <f aca="false">IF(G1324&gt;=1,G1324,0)</f>
        <v>0</v>
      </c>
      <c r="I1324" s="5" t="s">
        <v>774</v>
      </c>
      <c r="J1324" s="5" t="s">
        <v>1884</v>
      </c>
    </row>
    <row r="1325" customFormat="false" ht="15" hidden="false" customHeight="false" outlineLevel="0" collapsed="false">
      <c r="A1325" s="5" t="s">
        <v>227</v>
      </c>
      <c r="B1325" s="5" t="s">
        <v>170</v>
      </c>
      <c r="C1325" s="5" t="n">
        <v>20</v>
      </c>
      <c r="D1325" s="5" t="s">
        <v>1255</v>
      </c>
      <c r="E1325" s="5" t="n">
        <v>2</v>
      </c>
      <c r="F1325" s="20" t="n">
        <v>8.05</v>
      </c>
      <c r="G1325" s="20" t="n">
        <f aca="false">9-F1325</f>
        <v>0.949999999999999</v>
      </c>
      <c r="H1325" s="20" t="n">
        <f aca="false">IF(G1325&gt;=1,G1325,0)</f>
        <v>0</v>
      </c>
      <c r="I1325" s="5" t="s">
        <v>774</v>
      </c>
      <c r="J1325" s="5" t="s">
        <v>1885</v>
      </c>
    </row>
    <row r="1326" customFormat="false" ht="15" hidden="false" customHeight="false" outlineLevel="0" collapsed="false">
      <c r="A1326" s="5" t="s">
        <v>227</v>
      </c>
      <c r="B1326" s="5" t="s">
        <v>170</v>
      </c>
      <c r="C1326" s="5" t="n">
        <v>21</v>
      </c>
      <c r="D1326" s="5" t="s">
        <v>1255</v>
      </c>
      <c r="E1326" s="5" t="n">
        <v>2</v>
      </c>
      <c r="F1326" s="20" t="n">
        <v>8.05</v>
      </c>
      <c r="G1326" s="20" t="n">
        <f aca="false">9-F1326</f>
        <v>0.949999999999999</v>
      </c>
      <c r="H1326" s="20" t="n">
        <f aca="false">IF(G1326&gt;=1,G1326,0)</f>
        <v>0</v>
      </c>
      <c r="I1326" s="5" t="s">
        <v>774</v>
      </c>
      <c r="J1326" s="5" t="s">
        <v>1886</v>
      </c>
    </row>
    <row r="1327" customFormat="false" ht="15" hidden="false" customHeight="false" outlineLevel="0" collapsed="false">
      <c r="A1327" s="5" t="s">
        <v>227</v>
      </c>
      <c r="B1327" s="5" t="s">
        <v>170</v>
      </c>
      <c r="C1327" s="5" t="n">
        <v>22</v>
      </c>
      <c r="D1327" s="5" t="s">
        <v>767</v>
      </c>
      <c r="E1327" s="5" t="n">
        <v>2</v>
      </c>
      <c r="F1327" s="20" t="n">
        <v>7.46098758690413</v>
      </c>
      <c r="G1327" s="20" t="n">
        <f aca="false">9-F1327</f>
        <v>1.53901241309587</v>
      </c>
      <c r="H1327" s="20" t="n">
        <f aca="false">IF(G1327&gt;=1,G1327,0)</f>
        <v>1.53901241309587</v>
      </c>
      <c r="I1327" s="5" t="s">
        <v>774</v>
      </c>
      <c r="J1327" s="5" t="s">
        <v>1887</v>
      </c>
    </row>
    <row r="1328" customFormat="false" ht="15" hidden="false" customHeight="false" outlineLevel="0" collapsed="false">
      <c r="A1328" s="5" t="s">
        <v>227</v>
      </c>
      <c r="B1328" s="5" t="s">
        <v>170</v>
      </c>
      <c r="C1328" s="5" t="n">
        <v>23</v>
      </c>
      <c r="D1328" s="5" t="s">
        <v>767</v>
      </c>
      <c r="E1328" s="5" t="n">
        <v>2</v>
      </c>
      <c r="F1328" s="20" t="n">
        <v>7.46098758690413</v>
      </c>
      <c r="G1328" s="20" t="n">
        <f aca="false">9-F1328</f>
        <v>1.53901241309587</v>
      </c>
      <c r="H1328" s="20" t="n">
        <f aca="false">IF(G1328&gt;=1,G1328,0)</f>
        <v>1.53901241309587</v>
      </c>
      <c r="I1328" s="5" t="s">
        <v>774</v>
      </c>
      <c r="J1328" s="5" t="s">
        <v>1888</v>
      </c>
    </row>
    <row r="1329" customFormat="false" ht="15" hidden="false" customHeight="false" outlineLevel="0" collapsed="false">
      <c r="A1329" s="5" t="s">
        <v>227</v>
      </c>
      <c r="B1329" s="5" t="s">
        <v>170</v>
      </c>
      <c r="C1329" s="5" t="n">
        <v>24</v>
      </c>
      <c r="D1329" s="5" t="s">
        <v>767</v>
      </c>
      <c r="E1329" s="5" t="n">
        <v>2</v>
      </c>
      <c r="F1329" s="20" t="n">
        <v>7.46098758690413</v>
      </c>
      <c r="G1329" s="20" t="n">
        <f aca="false">9-F1329</f>
        <v>1.53901241309587</v>
      </c>
      <c r="H1329" s="20" t="n">
        <f aca="false">IF(G1329&gt;=1,G1329,0)</f>
        <v>1.53901241309587</v>
      </c>
      <c r="I1329" s="5" t="s">
        <v>774</v>
      </c>
      <c r="J1329" s="5" t="s">
        <v>1889</v>
      </c>
    </row>
    <row r="1330" customFormat="false" ht="15" hidden="false" customHeight="false" outlineLevel="0" collapsed="false">
      <c r="A1330" s="5" t="s">
        <v>227</v>
      </c>
      <c r="B1330" s="5" t="s">
        <v>170</v>
      </c>
      <c r="C1330" s="5" t="n">
        <v>25</v>
      </c>
      <c r="D1330" s="5" t="s">
        <v>767</v>
      </c>
      <c r="E1330" s="5" t="n">
        <v>2</v>
      </c>
      <c r="F1330" s="20" t="n">
        <v>7.46098758690413</v>
      </c>
      <c r="G1330" s="20" t="n">
        <f aca="false">9-F1330</f>
        <v>1.53901241309587</v>
      </c>
      <c r="H1330" s="20" t="n">
        <f aca="false">IF(G1330&gt;=1,G1330,0)</f>
        <v>1.53901241309587</v>
      </c>
      <c r="I1330" s="5" t="s">
        <v>774</v>
      </c>
      <c r="J1330" s="5" t="s">
        <v>1890</v>
      </c>
    </row>
    <row r="1331" customFormat="false" ht="15" hidden="false" customHeight="false" outlineLevel="0" collapsed="false">
      <c r="A1331" s="5" t="s">
        <v>227</v>
      </c>
      <c r="B1331" s="5" t="s">
        <v>170</v>
      </c>
      <c r="C1331" s="5" t="n">
        <v>26</v>
      </c>
      <c r="D1331" s="5" t="s">
        <v>767</v>
      </c>
      <c r="E1331" s="5" t="n">
        <v>2</v>
      </c>
      <c r="F1331" s="20" t="n">
        <v>7.46098758690413</v>
      </c>
      <c r="G1331" s="20" t="n">
        <f aca="false">9-F1331</f>
        <v>1.53901241309587</v>
      </c>
      <c r="H1331" s="20" t="n">
        <f aca="false">IF(G1331&gt;=1,G1331,0)</f>
        <v>1.53901241309587</v>
      </c>
      <c r="I1331" s="5" t="s">
        <v>774</v>
      </c>
      <c r="J1331" s="5" t="s">
        <v>1891</v>
      </c>
    </row>
    <row r="1332" customFormat="false" ht="15" hidden="false" customHeight="false" outlineLevel="0" collapsed="false">
      <c r="A1332" s="5" t="s">
        <v>227</v>
      </c>
      <c r="B1332" s="5" t="s">
        <v>170</v>
      </c>
      <c r="C1332" s="5" t="n">
        <v>27</v>
      </c>
      <c r="D1332" s="5" t="s">
        <v>767</v>
      </c>
      <c r="E1332" s="5" t="n">
        <v>2</v>
      </c>
      <c r="F1332" s="20" t="n">
        <v>7.46098758690413</v>
      </c>
      <c r="G1332" s="20" t="n">
        <f aca="false">9-F1332</f>
        <v>1.53901241309587</v>
      </c>
      <c r="H1332" s="20" t="n">
        <f aca="false">IF(G1332&gt;=1,G1332,0)</f>
        <v>1.53901241309587</v>
      </c>
      <c r="I1332" s="5" t="s">
        <v>774</v>
      </c>
      <c r="J1332" s="5" t="s">
        <v>1892</v>
      </c>
    </row>
    <row r="1333" customFormat="false" ht="15" hidden="false" customHeight="false" outlineLevel="0" collapsed="false">
      <c r="A1333" s="5" t="s">
        <v>227</v>
      </c>
      <c r="B1333" s="5" t="s">
        <v>170</v>
      </c>
      <c r="C1333" s="5" t="n">
        <v>28</v>
      </c>
      <c r="D1333" s="5" t="s">
        <v>767</v>
      </c>
      <c r="E1333" s="5" t="n">
        <v>2</v>
      </c>
      <c r="F1333" s="20" t="n">
        <v>7.46098758690413</v>
      </c>
      <c r="G1333" s="20" t="n">
        <f aca="false">9-F1333</f>
        <v>1.53901241309587</v>
      </c>
      <c r="H1333" s="20" t="n">
        <f aca="false">IF(G1333&gt;=1,G1333,0)</f>
        <v>1.53901241309587</v>
      </c>
      <c r="I1333" s="5" t="s">
        <v>774</v>
      </c>
      <c r="J1333" s="5" t="s">
        <v>1893</v>
      </c>
    </row>
    <row r="1334" customFormat="false" ht="15" hidden="false" customHeight="false" outlineLevel="0" collapsed="false">
      <c r="A1334" s="5" t="s">
        <v>227</v>
      </c>
      <c r="B1334" s="5" t="s">
        <v>170</v>
      </c>
      <c r="C1334" s="5" t="n">
        <v>29</v>
      </c>
      <c r="D1334" s="5" t="s">
        <v>1894</v>
      </c>
      <c r="E1334" s="5" t="n">
        <v>3</v>
      </c>
      <c r="F1334" s="20" t="n">
        <v>8.76903296412771</v>
      </c>
      <c r="G1334" s="20" t="n">
        <f aca="false">9-F1334</f>
        <v>0.23096703587229</v>
      </c>
      <c r="H1334" s="20" t="n">
        <f aca="false">IF(G1334&gt;=1,G1334,0)</f>
        <v>0</v>
      </c>
      <c r="I1334" s="5" t="s">
        <v>960</v>
      </c>
      <c r="J1334" s="5" t="s">
        <v>1895</v>
      </c>
    </row>
    <row r="1335" customFormat="false" ht="15" hidden="false" customHeight="false" outlineLevel="0" collapsed="false">
      <c r="A1335" s="5" t="s">
        <v>227</v>
      </c>
      <c r="B1335" s="5" t="s">
        <v>170</v>
      </c>
      <c r="C1335" s="5" t="n">
        <v>30</v>
      </c>
      <c r="D1335" s="5" t="s">
        <v>1894</v>
      </c>
      <c r="E1335" s="5" t="n">
        <v>3</v>
      </c>
      <c r="F1335" s="20" t="n">
        <v>8.76903296412771</v>
      </c>
      <c r="G1335" s="20" t="n">
        <f aca="false">9-F1335</f>
        <v>0.23096703587229</v>
      </c>
      <c r="H1335" s="20" t="n">
        <f aca="false">IF(G1335&gt;=1,G1335,0)</f>
        <v>0</v>
      </c>
      <c r="I1335" s="5" t="s">
        <v>960</v>
      </c>
      <c r="J1335" s="5" t="s">
        <v>1896</v>
      </c>
    </row>
    <row r="1336" customFormat="false" ht="15" hidden="false" customHeight="false" outlineLevel="0" collapsed="false">
      <c r="A1336" s="5" t="s">
        <v>227</v>
      </c>
      <c r="B1336" s="5" t="s">
        <v>170</v>
      </c>
      <c r="C1336" s="5" t="n">
        <v>31</v>
      </c>
      <c r="D1336" s="5" t="s">
        <v>1894</v>
      </c>
      <c r="E1336" s="5" t="n">
        <v>3</v>
      </c>
      <c r="F1336" s="20" t="n">
        <v>8.76903296412771</v>
      </c>
      <c r="G1336" s="20" t="n">
        <f aca="false">9-F1336</f>
        <v>0.23096703587229</v>
      </c>
      <c r="H1336" s="20" t="n">
        <f aca="false">IF(G1336&gt;=1,G1336,0)</f>
        <v>0</v>
      </c>
      <c r="I1336" s="5" t="s">
        <v>960</v>
      </c>
      <c r="J1336" s="5" t="s">
        <v>1897</v>
      </c>
    </row>
    <row r="1337" customFormat="false" ht="15" hidden="false" customHeight="false" outlineLevel="0" collapsed="false">
      <c r="A1337" s="5" t="s">
        <v>227</v>
      </c>
      <c r="B1337" s="5" t="s">
        <v>170</v>
      </c>
      <c r="C1337" s="5" t="n">
        <v>32</v>
      </c>
      <c r="D1337" s="5" t="s">
        <v>1894</v>
      </c>
      <c r="E1337" s="5" t="n">
        <v>3</v>
      </c>
      <c r="F1337" s="20" t="n">
        <v>8.76903296412771</v>
      </c>
      <c r="G1337" s="20" t="n">
        <f aca="false">9-F1337</f>
        <v>0.23096703587229</v>
      </c>
      <c r="H1337" s="20" t="n">
        <f aca="false">IF(G1337&gt;=1,G1337,0)</f>
        <v>0</v>
      </c>
      <c r="I1337" s="5" t="s">
        <v>960</v>
      </c>
      <c r="J1337" s="5" t="s">
        <v>1898</v>
      </c>
    </row>
    <row r="1338" customFormat="false" ht="15" hidden="false" customHeight="false" outlineLevel="0" collapsed="false">
      <c r="A1338" s="5" t="s">
        <v>227</v>
      </c>
      <c r="B1338" s="5" t="s">
        <v>170</v>
      </c>
      <c r="C1338" s="5" t="n">
        <v>33</v>
      </c>
      <c r="D1338" s="5" t="s">
        <v>1894</v>
      </c>
      <c r="E1338" s="5" t="n">
        <v>3</v>
      </c>
      <c r="F1338" s="20" t="n">
        <v>8.76903296412771</v>
      </c>
      <c r="G1338" s="20" t="n">
        <f aca="false">9-F1338</f>
        <v>0.23096703587229</v>
      </c>
      <c r="H1338" s="20" t="n">
        <f aca="false">IF(G1338&gt;=1,G1338,0)</f>
        <v>0</v>
      </c>
      <c r="I1338" s="5" t="s">
        <v>960</v>
      </c>
      <c r="J1338" s="5" t="s">
        <v>1899</v>
      </c>
    </row>
    <row r="1339" customFormat="false" ht="15" hidden="false" customHeight="false" outlineLevel="0" collapsed="false">
      <c r="A1339" s="5" t="s">
        <v>227</v>
      </c>
      <c r="B1339" s="5" t="s">
        <v>170</v>
      </c>
      <c r="C1339" s="5" t="n">
        <v>34</v>
      </c>
      <c r="D1339" s="5" t="s">
        <v>1894</v>
      </c>
      <c r="E1339" s="5" t="n">
        <v>3</v>
      </c>
      <c r="F1339" s="20" t="n">
        <v>8.76903296412771</v>
      </c>
      <c r="G1339" s="20" t="n">
        <f aca="false">9-F1339</f>
        <v>0.23096703587229</v>
      </c>
      <c r="H1339" s="20" t="n">
        <f aca="false">IF(G1339&gt;=1,G1339,0)</f>
        <v>0</v>
      </c>
      <c r="I1339" s="5" t="s">
        <v>960</v>
      </c>
      <c r="J1339" s="5" t="s">
        <v>1900</v>
      </c>
    </row>
    <row r="1340" customFormat="false" ht="15" hidden="false" customHeight="false" outlineLevel="0" collapsed="false">
      <c r="A1340" s="5" t="s">
        <v>227</v>
      </c>
      <c r="B1340" s="5" t="s">
        <v>170</v>
      </c>
      <c r="C1340" s="5" t="n">
        <v>35</v>
      </c>
      <c r="D1340" s="5" t="s">
        <v>1901</v>
      </c>
      <c r="E1340" s="5" t="n">
        <v>3</v>
      </c>
      <c r="F1340" s="20" t="n">
        <v>8.63569963079438</v>
      </c>
      <c r="G1340" s="20" t="n">
        <f aca="false">9-F1340</f>
        <v>0.364300369205624</v>
      </c>
      <c r="H1340" s="20" t="n">
        <f aca="false">IF(G1340&gt;=1,G1340,0)</f>
        <v>0</v>
      </c>
      <c r="I1340" s="5" t="s">
        <v>960</v>
      </c>
      <c r="J1340" s="5" t="s">
        <v>1902</v>
      </c>
    </row>
    <row r="1341" customFormat="false" ht="15" hidden="false" customHeight="false" outlineLevel="0" collapsed="false">
      <c r="A1341" s="5" t="s">
        <v>227</v>
      </c>
      <c r="B1341" s="5" t="s">
        <v>170</v>
      </c>
      <c r="C1341" s="5" t="n">
        <v>36</v>
      </c>
      <c r="D1341" s="5" t="s">
        <v>1901</v>
      </c>
      <c r="E1341" s="5" t="n">
        <v>3</v>
      </c>
      <c r="F1341" s="20" t="n">
        <v>8.63569963079437</v>
      </c>
      <c r="G1341" s="20" t="n">
        <f aca="false">9-F1341</f>
        <v>0.364300369205626</v>
      </c>
      <c r="H1341" s="20" t="n">
        <f aca="false">IF(G1341&gt;=1,G1341,0)</f>
        <v>0</v>
      </c>
      <c r="I1341" s="5" t="s">
        <v>960</v>
      </c>
      <c r="J1341" s="5" t="s">
        <v>1903</v>
      </c>
    </row>
    <row r="1342" customFormat="false" ht="15" hidden="false" customHeight="false" outlineLevel="0" collapsed="false">
      <c r="A1342" s="5" t="s">
        <v>227</v>
      </c>
      <c r="B1342" s="5" t="s">
        <v>170</v>
      </c>
      <c r="C1342" s="5" t="n">
        <v>37</v>
      </c>
      <c r="D1342" s="5" t="s">
        <v>1901</v>
      </c>
      <c r="E1342" s="5" t="n">
        <v>3</v>
      </c>
      <c r="F1342" s="20" t="n">
        <v>8.63569963079437</v>
      </c>
      <c r="G1342" s="20" t="n">
        <f aca="false">9-F1342</f>
        <v>0.364300369205626</v>
      </c>
      <c r="H1342" s="20" t="n">
        <f aca="false">IF(G1342&gt;=1,G1342,0)</f>
        <v>0</v>
      </c>
      <c r="I1342" s="5" t="s">
        <v>960</v>
      </c>
      <c r="J1342" s="5" t="s">
        <v>1904</v>
      </c>
    </row>
    <row r="1343" customFormat="false" ht="15" hidden="false" customHeight="false" outlineLevel="0" collapsed="false">
      <c r="A1343" s="5" t="s">
        <v>227</v>
      </c>
      <c r="B1343" s="5" t="s">
        <v>170</v>
      </c>
      <c r="C1343" s="5" t="n">
        <v>38</v>
      </c>
      <c r="D1343" s="5" t="s">
        <v>1901</v>
      </c>
      <c r="E1343" s="5" t="n">
        <v>3</v>
      </c>
      <c r="F1343" s="20" t="n">
        <v>8.63569963079437</v>
      </c>
      <c r="G1343" s="20" t="n">
        <f aca="false">9-F1343</f>
        <v>0.364300369205626</v>
      </c>
      <c r="H1343" s="20" t="n">
        <f aca="false">IF(G1343&gt;=1,G1343,0)</f>
        <v>0</v>
      </c>
      <c r="I1343" s="5" t="s">
        <v>960</v>
      </c>
      <c r="J1343" s="5" t="s">
        <v>1905</v>
      </c>
    </row>
    <row r="1344" customFormat="false" ht="15" hidden="false" customHeight="false" outlineLevel="0" collapsed="false">
      <c r="A1344" s="5" t="s">
        <v>227</v>
      </c>
      <c r="B1344" s="5" t="s">
        <v>170</v>
      </c>
      <c r="C1344" s="5" t="n">
        <v>39</v>
      </c>
      <c r="D1344" s="5" t="s">
        <v>1281</v>
      </c>
      <c r="E1344" s="5" t="n">
        <v>2</v>
      </c>
      <c r="F1344" s="20" t="n">
        <v>4.46666666666667</v>
      </c>
      <c r="G1344" s="20" t="n">
        <f aca="false">9-F1344</f>
        <v>4.53333333333333</v>
      </c>
      <c r="H1344" s="20" t="n">
        <f aca="false">IF(G1344&gt;=1,G1344,0)</f>
        <v>4.53333333333333</v>
      </c>
      <c r="I1344" s="5" t="s">
        <v>774</v>
      </c>
      <c r="J1344" s="5" t="s">
        <v>1906</v>
      </c>
    </row>
    <row r="1345" customFormat="false" ht="15" hidden="false" customHeight="false" outlineLevel="0" collapsed="false">
      <c r="A1345" s="5" t="s">
        <v>227</v>
      </c>
      <c r="B1345" s="5" t="s">
        <v>171</v>
      </c>
      <c r="C1345" s="5" t="n">
        <v>1</v>
      </c>
      <c r="D1345" s="5" t="s">
        <v>1283</v>
      </c>
      <c r="E1345" s="5" t="n">
        <v>2</v>
      </c>
      <c r="F1345" s="20" t="n">
        <v>8.68255948363014</v>
      </c>
      <c r="G1345" s="20" t="n">
        <f aca="false">9-F1345</f>
        <v>0.317440516369857</v>
      </c>
      <c r="H1345" s="20" t="n">
        <f aca="false">IF(G1345&gt;=1,G1345,0)</f>
        <v>0</v>
      </c>
      <c r="I1345" s="5" t="s">
        <v>75</v>
      </c>
      <c r="J1345" s="5" t="s">
        <v>1907</v>
      </c>
    </row>
    <row r="1346" customFormat="false" ht="15" hidden="false" customHeight="false" outlineLevel="0" collapsed="false">
      <c r="A1346" s="5" t="s">
        <v>227</v>
      </c>
      <c r="B1346" s="5" t="s">
        <v>171</v>
      </c>
      <c r="C1346" s="5" t="n">
        <v>2</v>
      </c>
      <c r="D1346" s="5" t="s">
        <v>1285</v>
      </c>
      <c r="E1346" s="5" t="n">
        <v>2</v>
      </c>
      <c r="F1346" s="20" t="n">
        <v>8.61480948363014</v>
      </c>
      <c r="G1346" s="20" t="n">
        <f aca="false">9-F1346</f>
        <v>0.385190516369864</v>
      </c>
      <c r="H1346" s="20" t="n">
        <f aca="false">IF(G1346&gt;=1,G1346,0)</f>
        <v>0</v>
      </c>
      <c r="I1346" s="5" t="s">
        <v>75</v>
      </c>
      <c r="J1346" s="5" t="s">
        <v>1908</v>
      </c>
    </row>
    <row r="1347" customFormat="false" ht="15" hidden="false" customHeight="false" outlineLevel="0" collapsed="false">
      <c r="A1347" s="5" t="s">
        <v>227</v>
      </c>
      <c r="B1347" s="5" t="s">
        <v>171</v>
      </c>
      <c r="C1347" s="5" t="n">
        <v>3</v>
      </c>
      <c r="D1347" s="5" t="s">
        <v>1287</v>
      </c>
      <c r="E1347" s="5" t="n">
        <v>2</v>
      </c>
      <c r="F1347" s="20" t="n">
        <v>8.47505948363014</v>
      </c>
      <c r="G1347" s="20" t="n">
        <f aca="false">9-F1347</f>
        <v>0.524940516369856</v>
      </c>
      <c r="H1347" s="20" t="n">
        <f aca="false">IF(G1347&gt;=1,G1347,0)</f>
        <v>0</v>
      </c>
      <c r="I1347" s="5" t="s">
        <v>75</v>
      </c>
      <c r="J1347" s="5" t="s">
        <v>1909</v>
      </c>
    </row>
    <row r="1348" customFormat="false" ht="15" hidden="false" customHeight="false" outlineLevel="0" collapsed="false">
      <c r="A1348" s="5" t="s">
        <v>227</v>
      </c>
      <c r="B1348" s="5" t="s">
        <v>171</v>
      </c>
      <c r="C1348" s="5" t="n">
        <v>4</v>
      </c>
      <c r="D1348" s="5" t="s">
        <v>1910</v>
      </c>
      <c r="E1348" s="5" t="n">
        <v>2</v>
      </c>
      <c r="F1348" s="20" t="n">
        <v>6.70287510929601</v>
      </c>
      <c r="G1348" s="20" t="n">
        <f aca="false">9-F1348</f>
        <v>2.29712489070399</v>
      </c>
      <c r="H1348" s="20" t="n">
        <f aca="false">IF(G1348&gt;=1,G1348,0)</f>
        <v>2.29712489070399</v>
      </c>
      <c r="I1348" s="5" t="s">
        <v>74</v>
      </c>
      <c r="J1348" s="5" t="s">
        <v>1911</v>
      </c>
    </row>
    <row r="1349" customFormat="false" ht="15" hidden="false" customHeight="false" outlineLevel="0" collapsed="false">
      <c r="A1349" s="5" t="s">
        <v>227</v>
      </c>
      <c r="B1349" s="5" t="s">
        <v>171</v>
      </c>
      <c r="C1349" s="5" t="n">
        <v>5</v>
      </c>
      <c r="D1349" s="5" t="s">
        <v>1910</v>
      </c>
      <c r="E1349" s="5" t="n">
        <v>2</v>
      </c>
      <c r="F1349" s="20" t="n">
        <v>6.70287510929601</v>
      </c>
      <c r="G1349" s="20" t="n">
        <f aca="false">9-F1349</f>
        <v>2.29712489070399</v>
      </c>
      <c r="H1349" s="20" t="n">
        <f aca="false">IF(G1349&gt;=1,G1349,0)</f>
        <v>2.29712489070399</v>
      </c>
      <c r="I1349" s="5" t="s">
        <v>74</v>
      </c>
      <c r="J1349" s="5" t="s">
        <v>1912</v>
      </c>
    </row>
    <row r="1350" customFormat="false" ht="15" hidden="false" customHeight="false" outlineLevel="0" collapsed="false">
      <c r="A1350" s="5" t="s">
        <v>227</v>
      </c>
      <c r="B1350" s="5" t="s">
        <v>171</v>
      </c>
      <c r="C1350" s="5" t="n">
        <v>6</v>
      </c>
      <c r="D1350" s="5" t="s">
        <v>1910</v>
      </c>
      <c r="E1350" s="5" t="n">
        <v>2</v>
      </c>
      <c r="F1350" s="20" t="n">
        <v>6.70287510929601</v>
      </c>
      <c r="G1350" s="20" t="n">
        <f aca="false">9-F1350</f>
        <v>2.29712489070399</v>
      </c>
      <c r="H1350" s="20" t="n">
        <f aca="false">IF(G1350&gt;=1,G1350,0)</f>
        <v>2.29712489070399</v>
      </c>
      <c r="I1350" s="5" t="s">
        <v>74</v>
      </c>
      <c r="J1350" s="5" t="s">
        <v>1913</v>
      </c>
    </row>
    <row r="1351" customFormat="false" ht="15" hidden="false" customHeight="false" outlineLevel="0" collapsed="false">
      <c r="A1351" s="5" t="s">
        <v>227</v>
      </c>
      <c r="B1351" s="5" t="s">
        <v>171</v>
      </c>
      <c r="C1351" s="5" t="n">
        <v>7</v>
      </c>
      <c r="D1351" s="5" t="s">
        <v>1910</v>
      </c>
      <c r="E1351" s="5" t="n">
        <v>2</v>
      </c>
      <c r="F1351" s="20" t="n">
        <v>6.70287510929601</v>
      </c>
      <c r="G1351" s="20" t="n">
        <f aca="false">9-F1351</f>
        <v>2.29712489070399</v>
      </c>
      <c r="H1351" s="20" t="n">
        <f aca="false">IF(G1351&gt;=1,G1351,0)</f>
        <v>2.29712489070399</v>
      </c>
      <c r="I1351" s="5" t="s">
        <v>74</v>
      </c>
      <c r="J1351" s="5" t="s">
        <v>1914</v>
      </c>
    </row>
    <row r="1352" customFormat="false" ht="15" hidden="false" customHeight="false" outlineLevel="0" collapsed="false">
      <c r="A1352" s="5" t="s">
        <v>227</v>
      </c>
      <c r="B1352" s="5" t="s">
        <v>171</v>
      </c>
      <c r="C1352" s="5" t="n">
        <v>8</v>
      </c>
      <c r="D1352" s="5" t="s">
        <v>1910</v>
      </c>
      <c r="E1352" s="5" t="n">
        <v>2</v>
      </c>
      <c r="F1352" s="20" t="n">
        <v>6.70287510929601</v>
      </c>
      <c r="G1352" s="20" t="n">
        <f aca="false">9-F1352</f>
        <v>2.29712489070399</v>
      </c>
      <c r="H1352" s="20" t="n">
        <f aca="false">IF(G1352&gt;=1,G1352,0)</f>
        <v>2.29712489070399</v>
      </c>
      <c r="I1352" s="5" t="s">
        <v>74</v>
      </c>
      <c r="J1352" s="5" t="s">
        <v>1915</v>
      </c>
    </row>
    <row r="1353" customFormat="false" ht="15" hidden="false" customHeight="false" outlineLevel="0" collapsed="false">
      <c r="A1353" s="5" t="s">
        <v>227</v>
      </c>
      <c r="B1353" s="5" t="s">
        <v>171</v>
      </c>
      <c r="C1353" s="5" t="n">
        <v>9</v>
      </c>
      <c r="D1353" s="5" t="s">
        <v>1910</v>
      </c>
      <c r="E1353" s="5" t="n">
        <v>2</v>
      </c>
      <c r="F1353" s="20" t="n">
        <v>6.70287510929601</v>
      </c>
      <c r="G1353" s="20" t="n">
        <f aca="false">9-F1353</f>
        <v>2.29712489070399</v>
      </c>
      <c r="H1353" s="20" t="n">
        <f aca="false">IF(G1353&gt;=1,G1353,0)</f>
        <v>2.29712489070399</v>
      </c>
      <c r="I1353" s="5" t="s">
        <v>74</v>
      </c>
      <c r="J1353" s="5" t="s">
        <v>1916</v>
      </c>
    </row>
    <row r="1354" customFormat="false" ht="15" hidden="false" customHeight="false" outlineLevel="0" collapsed="false">
      <c r="A1354" s="5" t="s">
        <v>227</v>
      </c>
      <c r="B1354" s="5" t="s">
        <v>171</v>
      </c>
      <c r="C1354" s="5" t="n">
        <v>10</v>
      </c>
      <c r="D1354" s="5" t="s">
        <v>1910</v>
      </c>
      <c r="E1354" s="5" t="n">
        <v>2</v>
      </c>
      <c r="F1354" s="20" t="n">
        <v>6.70287510929601</v>
      </c>
      <c r="G1354" s="20" t="n">
        <f aca="false">9-F1354</f>
        <v>2.29712489070399</v>
      </c>
      <c r="H1354" s="20" t="n">
        <f aca="false">IF(G1354&gt;=1,G1354,0)</f>
        <v>2.29712489070399</v>
      </c>
      <c r="I1354" s="5" t="s">
        <v>74</v>
      </c>
      <c r="J1354" s="5" t="s">
        <v>1917</v>
      </c>
    </row>
    <row r="1355" customFormat="false" ht="15" hidden="false" customHeight="false" outlineLevel="0" collapsed="false">
      <c r="A1355" s="5" t="s">
        <v>227</v>
      </c>
      <c r="B1355" s="5" t="s">
        <v>171</v>
      </c>
      <c r="C1355" s="5" t="n">
        <v>11</v>
      </c>
      <c r="D1355" s="5" t="s">
        <v>1910</v>
      </c>
      <c r="E1355" s="5" t="n">
        <v>2</v>
      </c>
      <c r="F1355" s="20" t="n">
        <v>6.70287510929601</v>
      </c>
      <c r="G1355" s="20" t="n">
        <f aca="false">9-F1355</f>
        <v>2.29712489070399</v>
      </c>
      <c r="H1355" s="20" t="n">
        <f aca="false">IF(G1355&gt;=1,G1355,0)</f>
        <v>2.29712489070399</v>
      </c>
      <c r="I1355" s="5" t="s">
        <v>74</v>
      </c>
      <c r="J1355" s="5" t="s">
        <v>1918</v>
      </c>
    </row>
    <row r="1356" customFormat="false" ht="15" hidden="false" customHeight="false" outlineLevel="0" collapsed="false">
      <c r="A1356" s="5" t="s">
        <v>227</v>
      </c>
      <c r="B1356" s="5" t="s">
        <v>171</v>
      </c>
      <c r="C1356" s="5" t="n">
        <v>12</v>
      </c>
      <c r="D1356" s="5" t="s">
        <v>1910</v>
      </c>
      <c r="E1356" s="5" t="n">
        <v>2</v>
      </c>
      <c r="F1356" s="20" t="n">
        <v>6.70287510929601</v>
      </c>
      <c r="G1356" s="20" t="n">
        <f aca="false">9-F1356</f>
        <v>2.29712489070399</v>
      </c>
      <c r="H1356" s="20" t="n">
        <f aca="false">IF(G1356&gt;=1,G1356,0)</f>
        <v>2.29712489070399</v>
      </c>
      <c r="I1356" s="5" t="s">
        <v>74</v>
      </c>
      <c r="J1356" s="5" t="s">
        <v>1919</v>
      </c>
    </row>
    <row r="1357" customFormat="false" ht="15" hidden="false" customHeight="false" outlineLevel="0" collapsed="false">
      <c r="A1357" s="5" t="s">
        <v>227</v>
      </c>
      <c r="B1357" s="5" t="s">
        <v>171</v>
      </c>
      <c r="C1357" s="5" t="n">
        <v>13</v>
      </c>
      <c r="D1357" s="5" t="s">
        <v>1910</v>
      </c>
      <c r="E1357" s="5" t="n">
        <v>2</v>
      </c>
      <c r="F1357" s="20" t="n">
        <v>6.70287510929601</v>
      </c>
      <c r="G1357" s="20" t="n">
        <f aca="false">9-F1357</f>
        <v>2.29712489070399</v>
      </c>
      <c r="H1357" s="20" t="n">
        <f aca="false">IF(G1357&gt;=1,G1357,0)</f>
        <v>2.29712489070399</v>
      </c>
      <c r="I1357" s="5" t="s">
        <v>74</v>
      </c>
      <c r="J1357" s="5" t="s">
        <v>1920</v>
      </c>
    </row>
    <row r="1358" customFormat="false" ht="15" hidden="false" customHeight="false" outlineLevel="0" collapsed="false">
      <c r="A1358" s="5" t="s">
        <v>227</v>
      </c>
      <c r="B1358" s="5" t="s">
        <v>171</v>
      </c>
      <c r="C1358" s="5" t="n">
        <v>14</v>
      </c>
      <c r="D1358" s="5" t="s">
        <v>1910</v>
      </c>
      <c r="E1358" s="5" t="n">
        <v>2</v>
      </c>
      <c r="F1358" s="20" t="n">
        <v>6.70287510929601</v>
      </c>
      <c r="G1358" s="20" t="n">
        <f aca="false">9-F1358</f>
        <v>2.29712489070399</v>
      </c>
      <c r="H1358" s="20" t="n">
        <f aca="false">IF(G1358&gt;=1,G1358,0)</f>
        <v>2.29712489070399</v>
      </c>
      <c r="I1358" s="5" t="s">
        <v>74</v>
      </c>
      <c r="J1358" s="5" t="s">
        <v>1921</v>
      </c>
    </row>
    <row r="1359" customFormat="false" ht="15" hidden="false" customHeight="false" outlineLevel="0" collapsed="false">
      <c r="A1359" s="5" t="s">
        <v>227</v>
      </c>
      <c r="B1359" s="5" t="s">
        <v>171</v>
      </c>
      <c r="C1359" s="5" t="n">
        <v>15</v>
      </c>
      <c r="D1359" s="5" t="s">
        <v>1910</v>
      </c>
      <c r="E1359" s="5" t="n">
        <v>2</v>
      </c>
      <c r="F1359" s="20" t="n">
        <v>6.70287510929601</v>
      </c>
      <c r="G1359" s="20" t="n">
        <f aca="false">9-F1359</f>
        <v>2.29712489070399</v>
      </c>
      <c r="H1359" s="20" t="n">
        <f aca="false">IF(G1359&gt;=1,G1359,0)</f>
        <v>2.29712489070399</v>
      </c>
      <c r="I1359" s="5" t="s">
        <v>74</v>
      </c>
      <c r="J1359" s="5" t="s">
        <v>1922</v>
      </c>
    </row>
    <row r="1360" customFormat="false" ht="15" hidden="false" customHeight="false" outlineLevel="0" collapsed="false">
      <c r="A1360" s="5" t="s">
        <v>227</v>
      </c>
      <c r="B1360" s="5" t="s">
        <v>171</v>
      </c>
      <c r="C1360" s="5" t="n">
        <v>16</v>
      </c>
      <c r="D1360" s="5" t="s">
        <v>1910</v>
      </c>
      <c r="E1360" s="5" t="n">
        <v>2</v>
      </c>
      <c r="F1360" s="20" t="n">
        <v>6.702875109296</v>
      </c>
      <c r="G1360" s="20" t="n">
        <f aca="false">9-F1360</f>
        <v>2.297124890704</v>
      </c>
      <c r="H1360" s="20" t="n">
        <f aca="false">IF(G1360&gt;=1,G1360,0)</f>
        <v>2.297124890704</v>
      </c>
      <c r="I1360" s="5" t="s">
        <v>74</v>
      </c>
      <c r="J1360" s="5" t="s">
        <v>1923</v>
      </c>
    </row>
    <row r="1361" customFormat="false" ht="15" hidden="false" customHeight="false" outlineLevel="0" collapsed="false">
      <c r="A1361" s="5" t="s">
        <v>227</v>
      </c>
      <c r="B1361" s="5" t="s">
        <v>171</v>
      </c>
      <c r="C1361" s="5" t="n">
        <v>17</v>
      </c>
      <c r="D1361" s="5" t="s">
        <v>1910</v>
      </c>
      <c r="E1361" s="5" t="n">
        <v>2</v>
      </c>
      <c r="F1361" s="20" t="n">
        <v>6.702875109296</v>
      </c>
      <c r="G1361" s="20" t="n">
        <f aca="false">9-F1361</f>
        <v>2.297124890704</v>
      </c>
      <c r="H1361" s="20" t="n">
        <f aca="false">IF(G1361&gt;=1,G1361,0)</f>
        <v>2.297124890704</v>
      </c>
      <c r="I1361" s="5" t="s">
        <v>74</v>
      </c>
      <c r="J1361" s="5" t="s">
        <v>1924</v>
      </c>
    </row>
    <row r="1362" customFormat="false" ht="15" hidden="false" customHeight="false" outlineLevel="0" collapsed="false">
      <c r="A1362" s="5" t="s">
        <v>227</v>
      </c>
      <c r="B1362" s="5" t="s">
        <v>171</v>
      </c>
      <c r="C1362" s="5" t="n">
        <v>18</v>
      </c>
      <c r="D1362" s="5" t="s">
        <v>1910</v>
      </c>
      <c r="E1362" s="5" t="n">
        <v>2</v>
      </c>
      <c r="F1362" s="20" t="n">
        <v>6.702875109296</v>
      </c>
      <c r="G1362" s="20" t="n">
        <f aca="false">9-F1362</f>
        <v>2.297124890704</v>
      </c>
      <c r="H1362" s="20" t="n">
        <f aca="false">IF(G1362&gt;=1,G1362,0)</f>
        <v>2.297124890704</v>
      </c>
      <c r="I1362" s="5" t="s">
        <v>74</v>
      </c>
      <c r="J1362" s="5" t="s">
        <v>1925</v>
      </c>
    </row>
    <row r="1363" customFormat="false" ht="15" hidden="false" customHeight="false" outlineLevel="0" collapsed="false">
      <c r="A1363" s="5" t="s">
        <v>227</v>
      </c>
      <c r="B1363" s="5" t="s">
        <v>171</v>
      </c>
      <c r="C1363" s="5" t="n">
        <v>19</v>
      </c>
      <c r="D1363" s="5" t="s">
        <v>1910</v>
      </c>
      <c r="E1363" s="5" t="n">
        <v>2</v>
      </c>
      <c r="F1363" s="20" t="n">
        <v>6.702875109296</v>
      </c>
      <c r="G1363" s="20" t="n">
        <f aca="false">9-F1363</f>
        <v>2.297124890704</v>
      </c>
      <c r="H1363" s="20" t="n">
        <f aca="false">IF(G1363&gt;=1,G1363,0)</f>
        <v>2.297124890704</v>
      </c>
      <c r="I1363" s="5" t="s">
        <v>74</v>
      </c>
      <c r="J1363" s="5" t="s">
        <v>1926</v>
      </c>
    </row>
    <row r="1364" customFormat="false" ht="15" hidden="false" customHeight="false" outlineLevel="0" collapsed="false">
      <c r="A1364" s="5" t="s">
        <v>227</v>
      </c>
      <c r="B1364" s="5" t="s">
        <v>171</v>
      </c>
      <c r="C1364" s="5" t="n">
        <v>20</v>
      </c>
      <c r="D1364" s="5" t="s">
        <v>1910</v>
      </c>
      <c r="E1364" s="5" t="n">
        <v>2</v>
      </c>
      <c r="F1364" s="20" t="n">
        <v>6.702875109296</v>
      </c>
      <c r="G1364" s="20" t="n">
        <f aca="false">9-F1364</f>
        <v>2.297124890704</v>
      </c>
      <c r="H1364" s="20" t="n">
        <f aca="false">IF(G1364&gt;=1,G1364,0)</f>
        <v>2.297124890704</v>
      </c>
      <c r="I1364" s="5" t="s">
        <v>74</v>
      </c>
      <c r="J1364" s="5" t="s">
        <v>1927</v>
      </c>
    </row>
    <row r="1365" customFormat="false" ht="15" hidden="false" customHeight="false" outlineLevel="0" collapsed="false">
      <c r="A1365" s="5" t="s">
        <v>227</v>
      </c>
      <c r="B1365" s="5" t="s">
        <v>171</v>
      </c>
      <c r="C1365" s="5" t="n">
        <v>21</v>
      </c>
      <c r="D1365" s="5" t="s">
        <v>1910</v>
      </c>
      <c r="E1365" s="5" t="n">
        <v>2</v>
      </c>
      <c r="F1365" s="20" t="n">
        <v>6.702875109296</v>
      </c>
      <c r="G1365" s="20" t="n">
        <f aca="false">9-F1365</f>
        <v>2.297124890704</v>
      </c>
      <c r="H1365" s="20" t="n">
        <f aca="false">IF(G1365&gt;=1,G1365,0)</f>
        <v>2.297124890704</v>
      </c>
      <c r="I1365" s="5" t="s">
        <v>74</v>
      </c>
      <c r="J1365" s="5" t="s">
        <v>1928</v>
      </c>
    </row>
    <row r="1366" customFormat="false" ht="15" hidden="false" customHeight="false" outlineLevel="0" collapsed="false">
      <c r="A1366" s="5" t="s">
        <v>227</v>
      </c>
      <c r="B1366" s="5" t="s">
        <v>171</v>
      </c>
      <c r="C1366" s="5" t="n">
        <v>22</v>
      </c>
      <c r="D1366" s="5" t="s">
        <v>1910</v>
      </c>
      <c r="E1366" s="5" t="n">
        <v>2</v>
      </c>
      <c r="F1366" s="20" t="n">
        <v>6.702875109296</v>
      </c>
      <c r="G1366" s="20" t="n">
        <f aca="false">9-F1366</f>
        <v>2.297124890704</v>
      </c>
      <c r="H1366" s="20" t="n">
        <f aca="false">IF(G1366&gt;=1,G1366,0)</f>
        <v>2.297124890704</v>
      </c>
      <c r="I1366" s="5" t="s">
        <v>74</v>
      </c>
      <c r="J1366" s="5" t="s">
        <v>1929</v>
      </c>
    </row>
    <row r="1367" customFormat="false" ht="15" hidden="false" customHeight="false" outlineLevel="0" collapsed="false">
      <c r="A1367" s="5" t="s">
        <v>227</v>
      </c>
      <c r="B1367" s="5" t="s">
        <v>171</v>
      </c>
      <c r="C1367" s="5" t="n">
        <v>23</v>
      </c>
      <c r="D1367" s="5" t="s">
        <v>1910</v>
      </c>
      <c r="E1367" s="5" t="n">
        <v>2</v>
      </c>
      <c r="F1367" s="20" t="n">
        <v>6.702875109296</v>
      </c>
      <c r="G1367" s="20" t="n">
        <f aca="false">9-F1367</f>
        <v>2.297124890704</v>
      </c>
      <c r="H1367" s="20" t="n">
        <f aca="false">IF(G1367&gt;=1,G1367,0)</f>
        <v>2.297124890704</v>
      </c>
      <c r="I1367" s="5" t="s">
        <v>74</v>
      </c>
      <c r="J1367" s="5" t="s">
        <v>1930</v>
      </c>
    </row>
    <row r="1368" customFormat="false" ht="15" hidden="false" customHeight="false" outlineLevel="0" collapsed="false">
      <c r="A1368" s="5" t="s">
        <v>227</v>
      </c>
      <c r="B1368" s="5" t="s">
        <v>171</v>
      </c>
      <c r="C1368" s="5" t="n">
        <v>24</v>
      </c>
      <c r="D1368" s="5" t="s">
        <v>1910</v>
      </c>
      <c r="E1368" s="5" t="n">
        <v>2</v>
      </c>
      <c r="F1368" s="20" t="n">
        <v>6.702875109296</v>
      </c>
      <c r="G1368" s="20" t="n">
        <f aca="false">9-F1368</f>
        <v>2.297124890704</v>
      </c>
      <c r="H1368" s="20" t="n">
        <f aca="false">IF(G1368&gt;=1,G1368,0)</f>
        <v>2.297124890704</v>
      </c>
      <c r="I1368" s="5" t="s">
        <v>74</v>
      </c>
      <c r="J1368" s="5" t="s">
        <v>1931</v>
      </c>
    </row>
    <row r="1369" customFormat="false" ht="15" hidden="false" customHeight="false" outlineLevel="0" collapsed="false">
      <c r="A1369" s="5" t="s">
        <v>227</v>
      </c>
      <c r="B1369" s="5" t="s">
        <v>171</v>
      </c>
      <c r="C1369" s="5" t="n">
        <v>25</v>
      </c>
      <c r="D1369" s="5" t="s">
        <v>1910</v>
      </c>
      <c r="E1369" s="5" t="n">
        <v>2</v>
      </c>
      <c r="F1369" s="20" t="n">
        <v>6.702875109296</v>
      </c>
      <c r="G1369" s="20" t="n">
        <f aca="false">9-F1369</f>
        <v>2.297124890704</v>
      </c>
      <c r="H1369" s="20" t="n">
        <f aca="false">IF(G1369&gt;=1,G1369,0)</f>
        <v>2.297124890704</v>
      </c>
      <c r="I1369" s="5" t="s">
        <v>74</v>
      </c>
      <c r="J1369" s="5" t="s">
        <v>1932</v>
      </c>
    </row>
    <row r="1370" customFormat="false" ht="15" hidden="false" customHeight="false" outlineLevel="0" collapsed="false">
      <c r="A1370" s="5" t="s">
        <v>227</v>
      </c>
      <c r="B1370" s="5" t="s">
        <v>171</v>
      </c>
      <c r="C1370" s="5" t="n">
        <v>26</v>
      </c>
      <c r="D1370" s="5" t="s">
        <v>1910</v>
      </c>
      <c r="E1370" s="5" t="n">
        <v>2</v>
      </c>
      <c r="F1370" s="20" t="n">
        <v>6.702875109296</v>
      </c>
      <c r="G1370" s="20" t="n">
        <f aca="false">9-F1370</f>
        <v>2.297124890704</v>
      </c>
      <c r="H1370" s="20" t="n">
        <f aca="false">IF(G1370&gt;=1,G1370,0)</f>
        <v>2.297124890704</v>
      </c>
      <c r="I1370" s="5" t="s">
        <v>74</v>
      </c>
      <c r="J1370" s="5" t="s">
        <v>1933</v>
      </c>
    </row>
    <row r="1371" customFormat="false" ht="15" hidden="false" customHeight="false" outlineLevel="0" collapsed="false">
      <c r="A1371" s="5" t="s">
        <v>227</v>
      </c>
      <c r="B1371" s="5" t="s">
        <v>171</v>
      </c>
      <c r="C1371" s="5" t="n">
        <v>27</v>
      </c>
      <c r="D1371" s="5" t="s">
        <v>1910</v>
      </c>
      <c r="E1371" s="5" t="n">
        <v>2</v>
      </c>
      <c r="F1371" s="20" t="n">
        <v>6.702875109296</v>
      </c>
      <c r="G1371" s="20" t="n">
        <f aca="false">9-F1371</f>
        <v>2.297124890704</v>
      </c>
      <c r="H1371" s="20" t="n">
        <f aca="false">IF(G1371&gt;=1,G1371,0)</f>
        <v>2.297124890704</v>
      </c>
      <c r="I1371" s="5" t="s">
        <v>74</v>
      </c>
      <c r="J1371" s="5" t="s">
        <v>1934</v>
      </c>
    </row>
    <row r="1372" customFormat="false" ht="15" hidden="false" customHeight="false" outlineLevel="0" collapsed="false">
      <c r="A1372" s="5" t="s">
        <v>227</v>
      </c>
      <c r="B1372" s="5" t="s">
        <v>171</v>
      </c>
      <c r="C1372" s="5" t="n">
        <v>28</v>
      </c>
      <c r="D1372" s="5" t="s">
        <v>1910</v>
      </c>
      <c r="E1372" s="5" t="n">
        <v>2</v>
      </c>
      <c r="F1372" s="20" t="n">
        <v>6.702875109296</v>
      </c>
      <c r="G1372" s="20" t="n">
        <f aca="false">9-F1372</f>
        <v>2.297124890704</v>
      </c>
      <c r="H1372" s="20" t="n">
        <f aca="false">IF(G1372&gt;=1,G1372,0)</f>
        <v>2.297124890704</v>
      </c>
      <c r="I1372" s="5" t="s">
        <v>74</v>
      </c>
      <c r="J1372" s="5" t="s">
        <v>1935</v>
      </c>
    </row>
    <row r="1373" customFormat="false" ht="15" hidden="false" customHeight="false" outlineLevel="0" collapsed="false">
      <c r="A1373" s="5" t="s">
        <v>227</v>
      </c>
      <c r="B1373" s="5" t="s">
        <v>171</v>
      </c>
      <c r="C1373" s="5" t="n">
        <v>29</v>
      </c>
      <c r="D1373" s="5" t="s">
        <v>1910</v>
      </c>
      <c r="E1373" s="5" t="n">
        <v>2</v>
      </c>
      <c r="F1373" s="20" t="n">
        <v>6.702875109296</v>
      </c>
      <c r="G1373" s="20" t="n">
        <f aca="false">9-F1373</f>
        <v>2.297124890704</v>
      </c>
      <c r="H1373" s="20" t="n">
        <f aca="false">IF(G1373&gt;=1,G1373,0)</f>
        <v>2.297124890704</v>
      </c>
      <c r="I1373" s="5" t="s">
        <v>74</v>
      </c>
      <c r="J1373" s="5" t="s">
        <v>1936</v>
      </c>
    </row>
    <row r="1374" customFormat="false" ht="15" hidden="false" customHeight="false" outlineLevel="0" collapsed="false">
      <c r="A1374" s="5" t="s">
        <v>227</v>
      </c>
      <c r="B1374" s="5" t="s">
        <v>171</v>
      </c>
      <c r="C1374" s="5" t="n">
        <v>30</v>
      </c>
      <c r="D1374" s="5" t="s">
        <v>1910</v>
      </c>
      <c r="E1374" s="5" t="n">
        <v>2</v>
      </c>
      <c r="F1374" s="20" t="n">
        <v>6.702875109296</v>
      </c>
      <c r="G1374" s="20" t="n">
        <f aca="false">9-F1374</f>
        <v>2.297124890704</v>
      </c>
      <c r="H1374" s="20" t="n">
        <f aca="false">IF(G1374&gt;=1,G1374,0)</f>
        <v>2.297124890704</v>
      </c>
      <c r="I1374" s="5" t="s">
        <v>74</v>
      </c>
      <c r="J1374" s="5" t="s">
        <v>1937</v>
      </c>
    </row>
    <row r="1375" customFormat="false" ht="15" hidden="false" customHeight="false" outlineLevel="0" collapsed="false">
      <c r="A1375" s="5" t="s">
        <v>227</v>
      </c>
      <c r="B1375" s="5" t="s">
        <v>171</v>
      </c>
      <c r="C1375" s="5" t="n">
        <v>31</v>
      </c>
      <c r="D1375" s="5" t="s">
        <v>1910</v>
      </c>
      <c r="E1375" s="5" t="n">
        <v>2</v>
      </c>
      <c r="F1375" s="20" t="n">
        <v>6.702875109296</v>
      </c>
      <c r="G1375" s="20" t="n">
        <f aca="false">9-F1375</f>
        <v>2.297124890704</v>
      </c>
      <c r="H1375" s="20" t="n">
        <f aca="false">IF(G1375&gt;=1,G1375,0)</f>
        <v>2.297124890704</v>
      </c>
      <c r="I1375" s="5" t="s">
        <v>74</v>
      </c>
      <c r="J1375" s="5" t="s">
        <v>1938</v>
      </c>
    </row>
    <row r="1376" customFormat="false" ht="15" hidden="false" customHeight="false" outlineLevel="0" collapsed="false">
      <c r="A1376" s="5" t="s">
        <v>227</v>
      </c>
      <c r="B1376" s="5" t="s">
        <v>171</v>
      </c>
      <c r="C1376" s="5" t="n">
        <v>32</v>
      </c>
      <c r="D1376" s="5" t="s">
        <v>1910</v>
      </c>
      <c r="E1376" s="5" t="n">
        <v>2</v>
      </c>
      <c r="F1376" s="20" t="n">
        <v>6.702875109296</v>
      </c>
      <c r="G1376" s="20" t="n">
        <f aca="false">9-F1376</f>
        <v>2.297124890704</v>
      </c>
      <c r="H1376" s="20" t="n">
        <f aca="false">IF(G1376&gt;=1,G1376,0)</f>
        <v>2.297124890704</v>
      </c>
      <c r="I1376" s="5" t="s">
        <v>74</v>
      </c>
      <c r="J1376" s="5" t="s">
        <v>1939</v>
      </c>
    </row>
    <row r="1377" customFormat="false" ht="15" hidden="false" customHeight="false" outlineLevel="0" collapsed="false">
      <c r="A1377" s="5" t="s">
        <v>227</v>
      </c>
      <c r="B1377" s="5" t="s">
        <v>171</v>
      </c>
      <c r="C1377" s="5" t="n">
        <v>33</v>
      </c>
      <c r="D1377" s="5" t="s">
        <v>1910</v>
      </c>
      <c r="E1377" s="5" t="n">
        <v>2</v>
      </c>
      <c r="F1377" s="20" t="n">
        <v>6.702875109296</v>
      </c>
      <c r="G1377" s="20" t="n">
        <f aca="false">9-F1377</f>
        <v>2.297124890704</v>
      </c>
      <c r="H1377" s="20" t="n">
        <f aca="false">IF(G1377&gt;=1,G1377,0)</f>
        <v>2.297124890704</v>
      </c>
      <c r="I1377" s="5" t="s">
        <v>74</v>
      </c>
      <c r="J1377" s="5" t="s">
        <v>1940</v>
      </c>
    </row>
    <row r="1378" customFormat="false" ht="15" hidden="false" customHeight="false" outlineLevel="0" collapsed="false">
      <c r="A1378" s="5" t="s">
        <v>227</v>
      </c>
      <c r="B1378" s="5" t="s">
        <v>171</v>
      </c>
      <c r="C1378" s="5" t="n">
        <v>34</v>
      </c>
      <c r="D1378" s="5" t="s">
        <v>1910</v>
      </c>
      <c r="E1378" s="5" t="n">
        <v>2</v>
      </c>
      <c r="F1378" s="20" t="n">
        <v>6.702875109296</v>
      </c>
      <c r="G1378" s="20" t="n">
        <f aca="false">9-F1378</f>
        <v>2.297124890704</v>
      </c>
      <c r="H1378" s="20" t="n">
        <f aca="false">IF(G1378&gt;=1,G1378,0)</f>
        <v>2.297124890704</v>
      </c>
      <c r="I1378" s="5" t="s">
        <v>74</v>
      </c>
      <c r="J1378" s="5" t="s">
        <v>1941</v>
      </c>
    </row>
    <row r="1379" customFormat="false" ht="15" hidden="false" customHeight="false" outlineLevel="0" collapsed="false">
      <c r="A1379" s="5" t="s">
        <v>227</v>
      </c>
      <c r="B1379" s="5" t="s">
        <v>171</v>
      </c>
      <c r="C1379" s="5" t="n">
        <v>35</v>
      </c>
      <c r="D1379" s="5" t="s">
        <v>1910</v>
      </c>
      <c r="E1379" s="5" t="n">
        <v>2</v>
      </c>
      <c r="F1379" s="20" t="n">
        <v>6.702875109296</v>
      </c>
      <c r="G1379" s="20" t="n">
        <f aca="false">9-F1379</f>
        <v>2.297124890704</v>
      </c>
      <c r="H1379" s="20" t="n">
        <f aca="false">IF(G1379&gt;=1,G1379,0)</f>
        <v>2.297124890704</v>
      </c>
      <c r="I1379" s="5" t="s">
        <v>74</v>
      </c>
      <c r="J1379" s="5" t="s">
        <v>1942</v>
      </c>
    </row>
    <row r="1380" customFormat="false" ht="15" hidden="false" customHeight="false" outlineLevel="0" collapsed="false">
      <c r="A1380" s="5" t="s">
        <v>227</v>
      </c>
      <c r="B1380" s="5" t="s">
        <v>171</v>
      </c>
      <c r="C1380" s="5" t="n">
        <v>36</v>
      </c>
      <c r="D1380" s="5" t="s">
        <v>1910</v>
      </c>
      <c r="E1380" s="5" t="n">
        <v>2</v>
      </c>
      <c r="F1380" s="20" t="n">
        <v>6.702875109296</v>
      </c>
      <c r="G1380" s="20" t="n">
        <f aca="false">9-F1380</f>
        <v>2.297124890704</v>
      </c>
      <c r="H1380" s="20" t="n">
        <f aca="false">IF(G1380&gt;=1,G1380,0)</f>
        <v>2.297124890704</v>
      </c>
      <c r="I1380" s="5" t="s">
        <v>74</v>
      </c>
      <c r="J1380" s="5" t="s">
        <v>1943</v>
      </c>
    </row>
    <row r="1381" customFormat="false" ht="15" hidden="false" customHeight="false" outlineLevel="0" collapsed="false">
      <c r="A1381" s="5" t="s">
        <v>227</v>
      </c>
      <c r="B1381" s="5" t="s">
        <v>171</v>
      </c>
      <c r="C1381" s="5" t="n">
        <v>37</v>
      </c>
      <c r="D1381" s="5" t="s">
        <v>1910</v>
      </c>
      <c r="E1381" s="5" t="n">
        <v>2</v>
      </c>
      <c r="F1381" s="20" t="n">
        <v>6.702875109296</v>
      </c>
      <c r="G1381" s="20" t="n">
        <f aca="false">9-F1381</f>
        <v>2.297124890704</v>
      </c>
      <c r="H1381" s="20" t="n">
        <f aca="false">IF(G1381&gt;=1,G1381,0)</f>
        <v>2.297124890704</v>
      </c>
      <c r="I1381" s="5" t="s">
        <v>74</v>
      </c>
      <c r="J1381" s="5" t="s">
        <v>1944</v>
      </c>
    </row>
    <row r="1382" customFormat="false" ht="15" hidden="false" customHeight="false" outlineLevel="0" collapsed="false">
      <c r="A1382" s="5" t="s">
        <v>227</v>
      </c>
      <c r="B1382" s="5" t="s">
        <v>171</v>
      </c>
      <c r="C1382" s="5" t="n">
        <v>38</v>
      </c>
      <c r="D1382" s="5" t="s">
        <v>1910</v>
      </c>
      <c r="E1382" s="5" t="n">
        <v>2</v>
      </c>
      <c r="F1382" s="20" t="n">
        <v>6.702875109296</v>
      </c>
      <c r="G1382" s="20" t="n">
        <f aca="false">9-F1382</f>
        <v>2.297124890704</v>
      </c>
      <c r="H1382" s="20" t="n">
        <f aca="false">IF(G1382&gt;=1,G1382,0)</f>
        <v>2.297124890704</v>
      </c>
      <c r="I1382" s="5" t="s">
        <v>74</v>
      </c>
      <c r="J1382" s="5" t="s">
        <v>1945</v>
      </c>
    </row>
    <row r="1383" customFormat="false" ht="15" hidden="false" customHeight="false" outlineLevel="0" collapsed="false">
      <c r="A1383" s="5" t="s">
        <v>227</v>
      </c>
      <c r="B1383" s="5" t="s">
        <v>171</v>
      </c>
      <c r="C1383" s="5" t="n">
        <v>39</v>
      </c>
      <c r="D1383" s="5" t="s">
        <v>1910</v>
      </c>
      <c r="E1383" s="5" t="n">
        <v>2</v>
      </c>
      <c r="F1383" s="20" t="n">
        <v>6.702875109296</v>
      </c>
      <c r="G1383" s="20" t="n">
        <f aca="false">9-F1383</f>
        <v>2.297124890704</v>
      </c>
      <c r="H1383" s="20" t="n">
        <f aca="false">IF(G1383&gt;=1,G1383,0)</f>
        <v>2.297124890704</v>
      </c>
      <c r="I1383" s="5" t="s">
        <v>74</v>
      </c>
      <c r="J1383" s="5" t="s">
        <v>1946</v>
      </c>
    </row>
    <row r="1384" customFormat="false" ht="15" hidden="false" customHeight="false" outlineLevel="0" collapsed="false">
      <c r="A1384" s="5" t="s">
        <v>227</v>
      </c>
      <c r="B1384" s="5" t="s">
        <v>171</v>
      </c>
      <c r="C1384" s="5" t="n">
        <v>40</v>
      </c>
      <c r="D1384" s="5" t="s">
        <v>1910</v>
      </c>
      <c r="E1384" s="5" t="n">
        <v>2</v>
      </c>
      <c r="F1384" s="20" t="n">
        <v>6.702875109296</v>
      </c>
      <c r="G1384" s="20" t="n">
        <f aca="false">9-F1384</f>
        <v>2.297124890704</v>
      </c>
      <c r="H1384" s="20" t="n">
        <f aca="false">IF(G1384&gt;=1,G1384,0)</f>
        <v>2.297124890704</v>
      </c>
      <c r="I1384" s="5" t="s">
        <v>74</v>
      </c>
      <c r="J1384" s="5" t="s">
        <v>1947</v>
      </c>
    </row>
    <row r="1385" customFormat="false" ht="15" hidden="false" customHeight="false" outlineLevel="0" collapsed="false">
      <c r="A1385" s="5" t="s">
        <v>227</v>
      </c>
      <c r="B1385" s="5" t="s">
        <v>171</v>
      </c>
      <c r="C1385" s="5" t="n">
        <v>41</v>
      </c>
      <c r="D1385" s="5" t="s">
        <v>1910</v>
      </c>
      <c r="E1385" s="5" t="n">
        <v>2</v>
      </c>
      <c r="F1385" s="20" t="n">
        <v>6.702875109296</v>
      </c>
      <c r="G1385" s="20" t="n">
        <f aca="false">9-F1385</f>
        <v>2.297124890704</v>
      </c>
      <c r="H1385" s="20" t="n">
        <f aca="false">IF(G1385&gt;=1,G1385,0)</f>
        <v>2.297124890704</v>
      </c>
      <c r="I1385" s="5" t="s">
        <v>74</v>
      </c>
      <c r="J1385" s="5" t="s">
        <v>1948</v>
      </c>
    </row>
    <row r="1386" customFormat="false" ht="15" hidden="false" customHeight="false" outlineLevel="0" collapsed="false">
      <c r="A1386" s="5" t="s">
        <v>227</v>
      </c>
      <c r="B1386" s="5" t="s">
        <v>171</v>
      </c>
      <c r="C1386" s="5" t="n">
        <v>42</v>
      </c>
      <c r="D1386" s="5" t="s">
        <v>1910</v>
      </c>
      <c r="E1386" s="5" t="n">
        <v>2</v>
      </c>
      <c r="F1386" s="20" t="n">
        <v>6.702875109296</v>
      </c>
      <c r="G1386" s="20" t="n">
        <f aca="false">9-F1386</f>
        <v>2.297124890704</v>
      </c>
      <c r="H1386" s="20" t="n">
        <f aca="false">IF(G1386&gt;=1,G1386,0)</f>
        <v>2.297124890704</v>
      </c>
      <c r="I1386" s="5" t="s">
        <v>74</v>
      </c>
      <c r="J1386" s="5" t="s">
        <v>1949</v>
      </c>
    </row>
    <row r="1387" customFormat="false" ht="15" hidden="false" customHeight="false" outlineLevel="0" collapsed="false">
      <c r="A1387" s="5" t="s">
        <v>227</v>
      </c>
      <c r="B1387" s="5" t="s">
        <v>171</v>
      </c>
      <c r="C1387" s="5" t="n">
        <v>43</v>
      </c>
      <c r="D1387" s="5" t="s">
        <v>1910</v>
      </c>
      <c r="E1387" s="5" t="n">
        <v>2</v>
      </c>
      <c r="F1387" s="20" t="n">
        <v>6.702875109296</v>
      </c>
      <c r="G1387" s="20" t="n">
        <f aca="false">9-F1387</f>
        <v>2.297124890704</v>
      </c>
      <c r="H1387" s="20" t="n">
        <f aca="false">IF(G1387&gt;=1,G1387,0)</f>
        <v>2.297124890704</v>
      </c>
      <c r="I1387" s="5" t="s">
        <v>74</v>
      </c>
      <c r="J1387" s="5" t="s">
        <v>1950</v>
      </c>
    </row>
    <row r="1388" customFormat="false" ht="15" hidden="false" customHeight="false" outlineLevel="0" collapsed="false">
      <c r="A1388" s="5" t="s">
        <v>227</v>
      </c>
      <c r="B1388" s="5" t="s">
        <v>171</v>
      </c>
      <c r="C1388" s="5" t="n">
        <v>44</v>
      </c>
      <c r="D1388" s="5" t="s">
        <v>1910</v>
      </c>
      <c r="E1388" s="5" t="n">
        <v>2</v>
      </c>
      <c r="F1388" s="20" t="n">
        <v>6.702875109296</v>
      </c>
      <c r="G1388" s="20" t="n">
        <f aca="false">9-F1388</f>
        <v>2.297124890704</v>
      </c>
      <c r="H1388" s="20" t="n">
        <f aca="false">IF(G1388&gt;=1,G1388,0)</f>
        <v>2.297124890704</v>
      </c>
      <c r="I1388" s="5" t="s">
        <v>74</v>
      </c>
      <c r="J1388" s="5" t="s">
        <v>1951</v>
      </c>
    </row>
    <row r="1389" customFormat="false" ht="15" hidden="false" customHeight="false" outlineLevel="0" collapsed="false">
      <c r="A1389" s="5" t="s">
        <v>227</v>
      </c>
      <c r="B1389" s="5" t="s">
        <v>171</v>
      </c>
      <c r="C1389" s="5" t="n">
        <v>45</v>
      </c>
      <c r="D1389" s="5" t="s">
        <v>1910</v>
      </c>
      <c r="E1389" s="5" t="n">
        <v>2</v>
      </c>
      <c r="F1389" s="20" t="n">
        <v>6.702875109296</v>
      </c>
      <c r="G1389" s="20" t="n">
        <f aca="false">9-F1389</f>
        <v>2.297124890704</v>
      </c>
      <c r="H1389" s="20" t="n">
        <f aca="false">IF(G1389&gt;=1,G1389,0)</f>
        <v>2.297124890704</v>
      </c>
      <c r="I1389" s="5" t="s">
        <v>74</v>
      </c>
      <c r="J1389" s="5" t="s">
        <v>1952</v>
      </c>
    </row>
    <row r="1390" customFormat="false" ht="15" hidden="false" customHeight="false" outlineLevel="0" collapsed="false">
      <c r="A1390" s="5" t="s">
        <v>227</v>
      </c>
      <c r="B1390" s="5" t="s">
        <v>171</v>
      </c>
      <c r="C1390" s="5" t="n">
        <v>46</v>
      </c>
      <c r="D1390" s="5" t="s">
        <v>1910</v>
      </c>
      <c r="E1390" s="5" t="n">
        <v>2</v>
      </c>
      <c r="F1390" s="20" t="n">
        <v>6.702875109296</v>
      </c>
      <c r="G1390" s="20" t="n">
        <f aca="false">9-F1390</f>
        <v>2.297124890704</v>
      </c>
      <c r="H1390" s="20" t="n">
        <f aca="false">IF(G1390&gt;=1,G1390,0)</f>
        <v>2.297124890704</v>
      </c>
      <c r="I1390" s="5" t="s">
        <v>74</v>
      </c>
      <c r="J1390" s="5" t="s">
        <v>1953</v>
      </c>
    </row>
    <row r="1391" customFormat="false" ht="15" hidden="false" customHeight="false" outlineLevel="0" collapsed="false">
      <c r="A1391" s="5" t="s">
        <v>227</v>
      </c>
      <c r="B1391" s="5" t="s">
        <v>171</v>
      </c>
      <c r="C1391" s="5" t="n">
        <v>47</v>
      </c>
      <c r="D1391" s="5" t="s">
        <v>1910</v>
      </c>
      <c r="E1391" s="5" t="n">
        <v>2</v>
      </c>
      <c r="F1391" s="20" t="n">
        <v>6.702875109296</v>
      </c>
      <c r="G1391" s="20" t="n">
        <f aca="false">9-F1391</f>
        <v>2.297124890704</v>
      </c>
      <c r="H1391" s="20" t="n">
        <f aca="false">IF(G1391&gt;=1,G1391,0)</f>
        <v>2.297124890704</v>
      </c>
      <c r="I1391" s="5" t="s">
        <v>74</v>
      </c>
      <c r="J1391" s="5" t="s">
        <v>1954</v>
      </c>
    </row>
    <row r="1392" customFormat="false" ht="15" hidden="false" customHeight="false" outlineLevel="0" collapsed="false">
      <c r="A1392" s="5" t="s">
        <v>227</v>
      </c>
      <c r="B1392" s="5" t="s">
        <v>171</v>
      </c>
      <c r="C1392" s="5" t="n">
        <v>48</v>
      </c>
      <c r="D1392" s="5" t="s">
        <v>1910</v>
      </c>
      <c r="E1392" s="5" t="n">
        <v>2</v>
      </c>
      <c r="F1392" s="20" t="n">
        <v>6.702875109296</v>
      </c>
      <c r="G1392" s="20" t="n">
        <f aca="false">9-F1392</f>
        <v>2.297124890704</v>
      </c>
      <c r="H1392" s="20" t="n">
        <f aca="false">IF(G1392&gt;=1,G1392,0)</f>
        <v>2.297124890704</v>
      </c>
      <c r="I1392" s="5" t="s">
        <v>74</v>
      </c>
      <c r="J1392" s="5" t="s">
        <v>1955</v>
      </c>
    </row>
    <row r="1393" customFormat="false" ht="15" hidden="false" customHeight="false" outlineLevel="0" collapsed="false">
      <c r="A1393" s="5" t="s">
        <v>227</v>
      </c>
      <c r="B1393" s="5" t="s">
        <v>171</v>
      </c>
      <c r="C1393" s="5" t="n">
        <v>49</v>
      </c>
      <c r="D1393" s="5" t="s">
        <v>1910</v>
      </c>
      <c r="E1393" s="5" t="n">
        <v>2</v>
      </c>
      <c r="F1393" s="20" t="n">
        <v>6.702875109296</v>
      </c>
      <c r="G1393" s="20" t="n">
        <f aca="false">9-F1393</f>
        <v>2.297124890704</v>
      </c>
      <c r="H1393" s="20" t="n">
        <f aca="false">IF(G1393&gt;=1,G1393,0)</f>
        <v>2.297124890704</v>
      </c>
      <c r="I1393" s="5" t="s">
        <v>74</v>
      </c>
      <c r="J1393" s="5" t="s">
        <v>1956</v>
      </c>
    </row>
    <row r="1394" customFormat="false" ht="15" hidden="false" customHeight="false" outlineLevel="0" collapsed="false">
      <c r="A1394" s="5" t="s">
        <v>227</v>
      </c>
      <c r="B1394" s="5" t="s">
        <v>171</v>
      </c>
      <c r="C1394" s="5" t="n">
        <v>50</v>
      </c>
      <c r="D1394" s="5" t="s">
        <v>1910</v>
      </c>
      <c r="E1394" s="5" t="n">
        <v>2</v>
      </c>
      <c r="F1394" s="20" t="n">
        <v>6.702875109296</v>
      </c>
      <c r="G1394" s="20" t="n">
        <f aca="false">9-F1394</f>
        <v>2.297124890704</v>
      </c>
      <c r="H1394" s="20" t="n">
        <f aca="false">IF(G1394&gt;=1,G1394,0)</f>
        <v>2.297124890704</v>
      </c>
      <c r="I1394" s="5" t="s">
        <v>74</v>
      </c>
      <c r="J1394" s="5" t="s">
        <v>1957</v>
      </c>
    </row>
    <row r="1395" customFormat="false" ht="15" hidden="false" customHeight="false" outlineLevel="0" collapsed="false">
      <c r="A1395" s="5" t="s">
        <v>227</v>
      </c>
      <c r="B1395" s="5" t="s">
        <v>171</v>
      </c>
      <c r="C1395" s="5" t="n">
        <v>51</v>
      </c>
      <c r="D1395" s="5" t="s">
        <v>1910</v>
      </c>
      <c r="E1395" s="5" t="n">
        <v>2</v>
      </c>
      <c r="F1395" s="20" t="n">
        <v>6.702875109296</v>
      </c>
      <c r="G1395" s="20" t="n">
        <f aca="false">9-F1395</f>
        <v>2.297124890704</v>
      </c>
      <c r="H1395" s="20" t="n">
        <f aca="false">IF(G1395&gt;=1,G1395,0)</f>
        <v>2.297124890704</v>
      </c>
      <c r="I1395" s="5" t="s">
        <v>74</v>
      </c>
      <c r="J1395" s="5" t="s">
        <v>1958</v>
      </c>
    </row>
    <row r="1396" customFormat="false" ht="15" hidden="false" customHeight="false" outlineLevel="0" collapsed="false">
      <c r="A1396" s="5" t="s">
        <v>227</v>
      </c>
      <c r="B1396" s="5" t="s">
        <v>171</v>
      </c>
      <c r="C1396" s="5" t="n">
        <v>52</v>
      </c>
      <c r="D1396" s="5" t="s">
        <v>1910</v>
      </c>
      <c r="E1396" s="5" t="n">
        <v>2</v>
      </c>
      <c r="F1396" s="20" t="n">
        <v>6.702875109296</v>
      </c>
      <c r="G1396" s="20" t="n">
        <f aca="false">9-F1396</f>
        <v>2.297124890704</v>
      </c>
      <c r="H1396" s="20" t="n">
        <f aca="false">IF(G1396&gt;=1,G1396,0)</f>
        <v>2.297124890704</v>
      </c>
      <c r="I1396" s="5" t="s">
        <v>74</v>
      </c>
      <c r="J1396" s="5" t="s">
        <v>1959</v>
      </c>
    </row>
    <row r="1397" customFormat="false" ht="15" hidden="false" customHeight="false" outlineLevel="0" collapsed="false">
      <c r="A1397" s="5" t="s">
        <v>227</v>
      </c>
      <c r="B1397" s="5" t="s">
        <v>171</v>
      </c>
      <c r="C1397" s="5" t="n">
        <v>53</v>
      </c>
      <c r="D1397" s="5" t="s">
        <v>1910</v>
      </c>
      <c r="E1397" s="5" t="n">
        <v>2</v>
      </c>
      <c r="F1397" s="20" t="n">
        <v>6.702875109296</v>
      </c>
      <c r="G1397" s="20" t="n">
        <f aca="false">9-F1397</f>
        <v>2.297124890704</v>
      </c>
      <c r="H1397" s="20" t="n">
        <f aca="false">IF(G1397&gt;=1,G1397,0)</f>
        <v>2.297124890704</v>
      </c>
      <c r="I1397" s="5" t="s">
        <v>74</v>
      </c>
      <c r="J1397" s="5" t="s">
        <v>1960</v>
      </c>
    </row>
    <row r="1398" customFormat="false" ht="15" hidden="false" customHeight="false" outlineLevel="0" collapsed="false">
      <c r="A1398" s="5" t="s">
        <v>227</v>
      </c>
      <c r="B1398" s="5" t="s">
        <v>171</v>
      </c>
      <c r="C1398" s="5" t="n">
        <v>54</v>
      </c>
      <c r="D1398" s="5" t="s">
        <v>1910</v>
      </c>
      <c r="E1398" s="5" t="n">
        <v>2</v>
      </c>
      <c r="F1398" s="20" t="n">
        <v>6.702875109296</v>
      </c>
      <c r="G1398" s="20" t="n">
        <f aca="false">9-F1398</f>
        <v>2.297124890704</v>
      </c>
      <c r="H1398" s="20" t="n">
        <f aca="false">IF(G1398&gt;=1,G1398,0)</f>
        <v>2.297124890704</v>
      </c>
      <c r="I1398" s="5" t="s">
        <v>74</v>
      </c>
      <c r="J1398" s="5" t="s">
        <v>1961</v>
      </c>
    </row>
    <row r="1399" customFormat="false" ht="15" hidden="false" customHeight="false" outlineLevel="0" collapsed="false">
      <c r="A1399" s="5" t="s">
        <v>227</v>
      </c>
      <c r="B1399" s="5" t="s">
        <v>171</v>
      </c>
      <c r="C1399" s="5" t="n">
        <v>55</v>
      </c>
      <c r="D1399" s="5" t="s">
        <v>1910</v>
      </c>
      <c r="E1399" s="5" t="n">
        <v>2</v>
      </c>
      <c r="F1399" s="20" t="n">
        <v>6.702875109296</v>
      </c>
      <c r="G1399" s="20" t="n">
        <f aca="false">9-F1399</f>
        <v>2.297124890704</v>
      </c>
      <c r="H1399" s="20" t="n">
        <f aca="false">IF(G1399&gt;=1,G1399,0)</f>
        <v>2.297124890704</v>
      </c>
      <c r="I1399" s="5" t="s">
        <v>74</v>
      </c>
      <c r="J1399" s="5" t="s">
        <v>1962</v>
      </c>
    </row>
    <row r="1400" customFormat="false" ht="15" hidden="false" customHeight="false" outlineLevel="0" collapsed="false">
      <c r="A1400" s="5" t="s">
        <v>227</v>
      </c>
      <c r="B1400" s="5" t="s">
        <v>171</v>
      </c>
      <c r="C1400" s="5" t="n">
        <v>56</v>
      </c>
      <c r="D1400" s="5" t="s">
        <v>1910</v>
      </c>
      <c r="E1400" s="5" t="n">
        <v>2</v>
      </c>
      <c r="F1400" s="20" t="n">
        <v>6.702875109296</v>
      </c>
      <c r="G1400" s="20" t="n">
        <f aca="false">9-F1400</f>
        <v>2.297124890704</v>
      </c>
      <c r="H1400" s="20" t="n">
        <f aca="false">IF(G1400&gt;=1,G1400,0)</f>
        <v>2.297124890704</v>
      </c>
      <c r="I1400" s="5" t="s">
        <v>74</v>
      </c>
      <c r="J1400" s="5" t="s">
        <v>1963</v>
      </c>
    </row>
    <row r="1401" customFormat="false" ht="15" hidden="false" customHeight="false" outlineLevel="0" collapsed="false">
      <c r="A1401" s="5" t="s">
        <v>227</v>
      </c>
      <c r="B1401" s="5" t="s">
        <v>171</v>
      </c>
      <c r="C1401" s="5" t="n">
        <v>57</v>
      </c>
      <c r="D1401" s="5" t="s">
        <v>1910</v>
      </c>
      <c r="E1401" s="5" t="n">
        <v>2</v>
      </c>
      <c r="F1401" s="20" t="n">
        <v>6.702875109296</v>
      </c>
      <c r="G1401" s="20" t="n">
        <f aca="false">9-F1401</f>
        <v>2.297124890704</v>
      </c>
      <c r="H1401" s="20" t="n">
        <f aca="false">IF(G1401&gt;=1,G1401,0)</f>
        <v>2.297124890704</v>
      </c>
      <c r="I1401" s="5" t="s">
        <v>74</v>
      </c>
      <c r="J1401" s="5" t="s">
        <v>1964</v>
      </c>
    </row>
    <row r="1402" customFormat="false" ht="15" hidden="false" customHeight="false" outlineLevel="0" collapsed="false">
      <c r="A1402" s="5" t="s">
        <v>227</v>
      </c>
      <c r="B1402" s="5" t="s">
        <v>171</v>
      </c>
      <c r="C1402" s="5" t="n">
        <v>58</v>
      </c>
      <c r="D1402" s="5" t="s">
        <v>1910</v>
      </c>
      <c r="E1402" s="5" t="n">
        <v>2</v>
      </c>
      <c r="F1402" s="20" t="n">
        <v>6.702875109296</v>
      </c>
      <c r="G1402" s="20" t="n">
        <f aca="false">9-F1402</f>
        <v>2.297124890704</v>
      </c>
      <c r="H1402" s="20" t="n">
        <f aca="false">IF(G1402&gt;=1,G1402,0)</f>
        <v>2.297124890704</v>
      </c>
      <c r="I1402" s="5" t="s">
        <v>74</v>
      </c>
      <c r="J1402" s="5" t="s">
        <v>1965</v>
      </c>
    </row>
    <row r="1403" customFormat="false" ht="15" hidden="false" customHeight="false" outlineLevel="0" collapsed="false">
      <c r="A1403" s="5" t="s">
        <v>227</v>
      </c>
      <c r="B1403" s="5" t="s">
        <v>171</v>
      </c>
      <c r="C1403" s="5" t="n">
        <v>59</v>
      </c>
      <c r="D1403" s="5" t="s">
        <v>1910</v>
      </c>
      <c r="E1403" s="5" t="n">
        <v>2</v>
      </c>
      <c r="F1403" s="20" t="n">
        <v>6.702875109296</v>
      </c>
      <c r="G1403" s="20" t="n">
        <f aca="false">9-F1403</f>
        <v>2.297124890704</v>
      </c>
      <c r="H1403" s="20" t="n">
        <f aca="false">IF(G1403&gt;=1,G1403,0)</f>
        <v>2.297124890704</v>
      </c>
      <c r="I1403" s="5" t="s">
        <v>74</v>
      </c>
      <c r="J1403" s="5" t="s">
        <v>1966</v>
      </c>
    </row>
    <row r="1404" customFormat="false" ht="15" hidden="false" customHeight="false" outlineLevel="0" collapsed="false">
      <c r="A1404" s="5" t="s">
        <v>227</v>
      </c>
      <c r="B1404" s="5" t="s">
        <v>171</v>
      </c>
      <c r="C1404" s="5" t="n">
        <v>60</v>
      </c>
      <c r="D1404" s="5" t="s">
        <v>1910</v>
      </c>
      <c r="E1404" s="5" t="n">
        <v>2</v>
      </c>
      <c r="F1404" s="20" t="n">
        <v>6.702875109296</v>
      </c>
      <c r="G1404" s="20" t="n">
        <f aca="false">9-F1404</f>
        <v>2.297124890704</v>
      </c>
      <c r="H1404" s="20" t="n">
        <f aca="false">IF(G1404&gt;=1,G1404,0)</f>
        <v>2.297124890704</v>
      </c>
      <c r="I1404" s="5" t="s">
        <v>74</v>
      </c>
      <c r="J1404" s="5" t="s">
        <v>1967</v>
      </c>
    </row>
    <row r="1405" customFormat="false" ht="15" hidden="false" customHeight="false" outlineLevel="0" collapsed="false">
      <c r="A1405" s="5" t="s">
        <v>227</v>
      </c>
      <c r="B1405" s="5" t="s">
        <v>171</v>
      </c>
      <c r="C1405" s="5" t="n">
        <v>61</v>
      </c>
      <c r="D1405" s="5" t="s">
        <v>1910</v>
      </c>
      <c r="E1405" s="5" t="n">
        <v>2</v>
      </c>
      <c r="F1405" s="20" t="n">
        <v>6.702875109296</v>
      </c>
      <c r="G1405" s="20" t="n">
        <f aca="false">9-F1405</f>
        <v>2.297124890704</v>
      </c>
      <c r="H1405" s="20" t="n">
        <f aca="false">IF(G1405&gt;=1,G1405,0)</f>
        <v>2.297124890704</v>
      </c>
      <c r="I1405" s="5" t="s">
        <v>74</v>
      </c>
      <c r="J1405" s="5" t="s">
        <v>1968</v>
      </c>
    </row>
    <row r="1406" customFormat="false" ht="15" hidden="false" customHeight="false" outlineLevel="0" collapsed="false">
      <c r="A1406" s="5" t="s">
        <v>227</v>
      </c>
      <c r="B1406" s="5" t="s">
        <v>171</v>
      </c>
      <c r="C1406" s="5" t="n">
        <v>62</v>
      </c>
      <c r="D1406" s="5" t="s">
        <v>1910</v>
      </c>
      <c r="E1406" s="5" t="n">
        <v>2</v>
      </c>
      <c r="F1406" s="20" t="n">
        <v>6.702875109296</v>
      </c>
      <c r="G1406" s="20" t="n">
        <f aca="false">9-F1406</f>
        <v>2.297124890704</v>
      </c>
      <c r="H1406" s="20" t="n">
        <f aca="false">IF(G1406&gt;=1,G1406,0)</f>
        <v>2.297124890704</v>
      </c>
      <c r="I1406" s="5" t="s">
        <v>74</v>
      </c>
      <c r="J1406" s="5" t="s">
        <v>1969</v>
      </c>
    </row>
    <row r="1407" customFormat="false" ht="15" hidden="false" customHeight="false" outlineLevel="0" collapsed="false">
      <c r="A1407" s="5" t="s">
        <v>227</v>
      </c>
      <c r="B1407" s="5" t="s">
        <v>171</v>
      </c>
      <c r="C1407" s="5" t="n">
        <v>63</v>
      </c>
      <c r="D1407" s="5" t="s">
        <v>1910</v>
      </c>
      <c r="E1407" s="5" t="n">
        <v>2</v>
      </c>
      <c r="F1407" s="20" t="n">
        <v>6.702875109296</v>
      </c>
      <c r="G1407" s="20" t="n">
        <f aca="false">9-F1407</f>
        <v>2.297124890704</v>
      </c>
      <c r="H1407" s="20" t="n">
        <f aca="false">IF(G1407&gt;=1,G1407,0)</f>
        <v>2.297124890704</v>
      </c>
      <c r="I1407" s="5" t="s">
        <v>74</v>
      </c>
      <c r="J1407" s="5" t="s">
        <v>1970</v>
      </c>
    </row>
    <row r="1408" customFormat="false" ht="15" hidden="false" customHeight="false" outlineLevel="0" collapsed="false">
      <c r="A1408" s="5" t="s">
        <v>227</v>
      </c>
      <c r="B1408" s="5" t="s">
        <v>171</v>
      </c>
      <c r="C1408" s="5" t="n">
        <v>64</v>
      </c>
      <c r="D1408" s="5" t="s">
        <v>1910</v>
      </c>
      <c r="E1408" s="5" t="n">
        <v>2</v>
      </c>
      <c r="F1408" s="20" t="n">
        <v>6.702875109296</v>
      </c>
      <c r="G1408" s="20" t="n">
        <f aca="false">9-F1408</f>
        <v>2.297124890704</v>
      </c>
      <c r="H1408" s="20" t="n">
        <f aca="false">IF(G1408&gt;=1,G1408,0)</f>
        <v>2.297124890704</v>
      </c>
      <c r="I1408" s="5" t="s">
        <v>74</v>
      </c>
      <c r="J1408" s="5" t="s">
        <v>1971</v>
      </c>
    </row>
    <row r="1409" customFormat="false" ht="15" hidden="false" customHeight="false" outlineLevel="0" collapsed="false">
      <c r="A1409" s="5" t="s">
        <v>227</v>
      </c>
      <c r="B1409" s="5" t="s">
        <v>171</v>
      </c>
      <c r="C1409" s="5" t="n">
        <v>65</v>
      </c>
      <c r="D1409" s="5" t="s">
        <v>1910</v>
      </c>
      <c r="E1409" s="5" t="n">
        <v>2</v>
      </c>
      <c r="F1409" s="20" t="n">
        <v>6.702875109296</v>
      </c>
      <c r="G1409" s="20" t="n">
        <f aca="false">9-F1409</f>
        <v>2.297124890704</v>
      </c>
      <c r="H1409" s="20" t="n">
        <f aca="false">IF(G1409&gt;=1,G1409,0)</f>
        <v>2.297124890704</v>
      </c>
      <c r="I1409" s="5" t="s">
        <v>74</v>
      </c>
      <c r="J1409" s="5" t="s">
        <v>1972</v>
      </c>
    </row>
    <row r="1410" customFormat="false" ht="15" hidden="false" customHeight="false" outlineLevel="0" collapsed="false">
      <c r="A1410" s="5" t="s">
        <v>227</v>
      </c>
      <c r="B1410" s="5" t="s">
        <v>171</v>
      </c>
      <c r="C1410" s="5" t="n">
        <v>66</v>
      </c>
      <c r="D1410" s="5" t="s">
        <v>1910</v>
      </c>
      <c r="E1410" s="5" t="n">
        <v>2</v>
      </c>
      <c r="F1410" s="20" t="n">
        <v>6.702875109296</v>
      </c>
      <c r="G1410" s="20" t="n">
        <f aca="false">9-F1410</f>
        <v>2.297124890704</v>
      </c>
      <c r="H1410" s="20" t="n">
        <f aca="false">IF(G1410&gt;=1,G1410,0)</f>
        <v>2.297124890704</v>
      </c>
      <c r="I1410" s="5" t="s">
        <v>74</v>
      </c>
      <c r="J1410" s="5" t="s">
        <v>1973</v>
      </c>
    </row>
    <row r="1411" customFormat="false" ht="15" hidden="false" customHeight="false" outlineLevel="0" collapsed="false">
      <c r="A1411" s="5" t="s">
        <v>227</v>
      </c>
      <c r="B1411" s="5" t="s">
        <v>171</v>
      </c>
      <c r="C1411" s="5" t="n">
        <v>67</v>
      </c>
      <c r="D1411" s="5" t="s">
        <v>1910</v>
      </c>
      <c r="E1411" s="5" t="n">
        <v>2</v>
      </c>
      <c r="F1411" s="20" t="n">
        <v>6.702875109296</v>
      </c>
      <c r="G1411" s="20" t="n">
        <f aca="false">9-F1411</f>
        <v>2.297124890704</v>
      </c>
      <c r="H1411" s="20" t="n">
        <f aca="false">IF(G1411&gt;=1,G1411,0)</f>
        <v>2.297124890704</v>
      </c>
      <c r="I1411" s="5" t="s">
        <v>74</v>
      </c>
      <c r="J1411" s="5" t="s">
        <v>1974</v>
      </c>
    </row>
    <row r="1412" customFormat="false" ht="15" hidden="false" customHeight="false" outlineLevel="0" collapsed="false">
      <c r="A1412" s="5" t="s">
        <v>227</v>
      </c>
      <c r="B1412" s="5" t="s">
        <v>171</v>
      </c>
      <c r="C1412" s="5" t="n">
        <v>68</v>
      </c>
      <c r="D1412" s="5" t="s">
        <v>1910</v>
      </c>
      <c r="E1412" s="5" t="n">
        <v>2</v>
      </c>
      <c r="F1412" s="20" t="n">
        <v>6.702875109296</v>
      </c>
      <c r="G1412" s="20" t="n">
        <f aca="false">9-F1412</f>
        <v>2.297124890704</v>
      </c>
      <c r="H1412" s="20" t="n">
        <f aca="false">IF(G1412&gt;=1,G1412,0)</f>
        <v>2.297124890704</v>
      </c>
      <c r="I1412" s="5" t="s">
        <v>74</v>
      </c>
      <c r="J1412" s="5" t="s">
        <v>1975</v>
      </c>
    </row>
    <row r="1413" customFormat="false" ht="15" hidden="false" customHeight="false" outlineLevel="0" collapsed="false">
      <c r="A1413" s="5" t="s">
        <v>227</v>
      </c>
      <c r="B1413" s="5" t="s">
        <v>171</v>
      </c>
      <c r="C1413" s="5" t="n">
        <v>69</v>
      </c>
      <c r="D1413" s="5" t="s">
        <v>1910</v>
      </c>
      <c r="E1413" s="5" t="n">
        <v>2</v>
      </c>
      <c r="F1413" s="20" t="n">
        <v>6.702875109296</v>
      </c>
      <c r="G1413" s="20" t="n">
        <f aca="false">9-F1413</f>
        <v>2.297124890704</v>
      </c>
      <c r="H1413" s="20" t="n">
        <f aca="false">IF(G1413&gt;=1,G1413,0)</f>
        <v>2.297124890704</v>
      </c>
      <c r="I1413" s="5" t="s">
        <v>74</v>
      </c>
      <c r="J1413" s="5" t="s">
        <v>1976</v>
      </c>
    </row>
    <row r="1414" customFormat="false" ht="15" hidden="false" customHeight="false" outlineLevel="0" collapsed="false">
      <c r="A1414" s="5" t="s">
        <v>227</v>
      </c>
      <c r="B1414" s="5" t="s">
        <v>171</v>
      </c>
      <c r="C1414" s="5" t="n">
        <v>70</v>
      </c>
      <c r="D1414" s="5" t="s">
        <v>1910</v>
      </c>
      <c r="E1414" s="5" t="n">
        <v>2</v>
      </c>
      <c r="F1414" s="20" t="n">
        <v>6.702875109296</v>
      </c>
      <c r="G1414" s="20" t="n">
        <f aca="false">9-F1414</f>
        <v>2.297124890704</v>
      </c>
      <c r="H1414" s="20" t="n">
        <f aca="false">IF(G1414&gt;=1,G1414,0)</f>
        <v>2.297124890704</v>
      </c>
      <c r="I1414" s="5" t="s">
        <v>74</v>
      </c>
      <c r="J1414" s="5" t="s">
        <v>1977</v>
      </c>
    </row>
    <row r="1415" customFormat="false" ht="15" hidden="false" customHeight="false" outlineLevel="0" collapsed="false">
      <c r="A1415" s="5" t="s">
        <v>227</v>
      </c>
      <c r="B1415" s="5" t="s">
        <v>171</v>
      </c>
      <c r="C1415" s="5" t="n">
        <v>71</v>
      </c>
      <c r="D1415" s="5" t="s">
        <v>1910</v>
      </c>
      <c r="E1415" s="5" t="n">
        <v>2</v>
      </c>
      <c r="F1415" s="20" t="n">
        <v>6.702875109296</v>
      </c>
      <c r="G1415" s="20" t="n">
        <f aca="false">9-F1415</f>
        <v>2.297124890704</v>
      </c>
      <c r="H1415" s="20" t="n">
        <f aca="false">IF(G1415&gt;=1,G1415,0)</f>
        <v>2.297124890704</v>
      </c>
      <c r="I1415" s="5" t="s">
        <v>74</v>
      </c>
      <c r="J1415" s="5" t="s">
        <v>1978</v>
      </c>
    </row>
    <row r="1416" customFormat="false" ht="15" hidden="false" customHeight="false" outlineLevel="0" collapsed="false">
      <c r="A1416" s="5" t="s">
        <v>227</v>
      </c>
      <c r="B1416" s="5" t="s">
        <v>172</v>
      </c>
      <c r="C1416" s="5" t="n">
        <v>1</v>
      </c>
      <c r="D1416" s="5" t="s">
        <v>505</v>
      </c>
      <c r="E1416" s="5" t="n">
        <v>1</v>
      </c>
      <c r="F1416" s="20" t="n">
        <v>9</v>
      </c>
      <c r="G1416" s="20" t="n">
        <f aca="false">9-F1416</f>
        <v>0</v>
      </c>
      <c r="H1416" s="20" t="n">
        <f aca="false">IF(G1416&gt;=1,G1416,0)</f>
        <v>0</v>
      </c>
      <c r="I1416" s="5" t="s">
        <v>75</v>
      </c>
      <c r="J1416" s="5" t="s">
        <v>1979</v>
      </c>
    </row>
    <row r="1417" customFormat="false" ht="15" hidden="false" customHeight="false" outlineLevel="0" collapsed="false">
      <c r="A1417" s="5" t="s">
        <v>227</v>
      </c>
      <c r="B1417" s="5" t="s">
        <v>172</v>
      </c>
      <c r="C1417" s="5" t="n">
        <v>2</v>
      </c>
      <c r="D1417" s="5" t="s">
        <v>505</v>
      </c>
      <c r="E1417" s="5" t="n">
        <v>1</v>
      </c>
      <c r="F1417" s="20" t="n">
        <v>9</v>
      </c>
      <c r="G1417" s="20" t="n">
        <f aca="false">9-F1417</f>
        <v>0</v>
      </c>
      <c r="H1417" s="20" t="n">
        <f aca="false">IF(G1417&gt;=1,G1417,0)</f>
        <v>0</v>
      </c>
      <c r="I1417" s="5" t="s">
        <v>75</v>
      </c>
      <c r="J1417" s="5" t="s">
        <v>1980</v>
      </c>
    </row>
    <row r="1418" customFormat="false" ht="15" hidden="false" customHeight="false" outlineLevel="0" collapsed="false">
      <c r="A1418" s="5" t="s">
        <v>227</v>
      </c>
      <c r="B1418" s="5" t="s">
        <v>172</v>
      </c>
      <c r="C1418" s="5" t="n">
        <v>3</v>
      </c>
      <c r="D1418" s="5" t="s">
        <v>505</v>
      </c>
      <c r="E1418" s="5" t="n">
        <v>1</v>
      </c>
      <c r="F1418" s="20" t="n">
        <v>9</v>
      </c>
      <c r="G1418" s="20" t="n">
        <f aca="false">9-F1418</f>
        <v>0</v>
      </c>
      <c r="H1418" s="20" t="n">
        <f aca="false">IF(G1418&gt;=1,G1418,0)</f>
        <v>0</v>
      </c>
      <c r="I1418" s="5" t="s">
        <v>75</v>
      </c>
      <c r="J1418" s="5" t="s">
        <v>1981</v>
      </c>
    </row>
    <row r="1419" customFormat="false" ht="15" hidden="false" customHeight="false" outlineLevel="0" collapsed="false">
      <c r="A1419" s="5" t="s">
        <v>227</v>
      </c>
      <c r="B1419" s="5" t="s">
        <v>172</v>
      </c>
      <c r="C1419" s="5" t="n">
        <v>4</v>
      </c>
      <c r="D1419" s="5" t="s">
        <v>505</v>
      </c>
      <c r="E1419" s="5" t="n">
        <v>1</v>
      </c>
      <c r="F1419" s="20" t="n">
        <v>9</v>
      </c>
      <c r="G1419" s="20" t="n">
        <f aca="false">9-F1419</f>
        <v>0</v>
      </c>
      <c r="H1419" s="20" t="n">
        <f aca="false">IF(G1419&gt;=1,G1419,0)</f>
        <v>0</v>
      </c>
      <c r="I1419" s="5" t="s">
        <v>75</v>
      </c>
      <c r="J1419" s="5" t="s">
        <v>1982</v>
      </c>
    </row>
    <row r="1420" customFormat="false" ht="15" hidden="false" customHeight="false" outlineLevel="0" collapsed="false">
      <c r="A1420" s="5" t="s">
        <v>227</v>
      </c>
      <c r="B1420" s="5" t="s">
        <v>172</v>
      </c>
      <c r="C1420" s="5" t="n">
        <v>5</v>
      </c>
      <c r="D1420" s="5" t="s">
        <v>505</v>
      </c>
      <c r="E1420" s="5" t="n">
        <v>1</v>
      </c>
      <c r="F1420" s="20" t="n">
        <v>9</v>
      </c>
      <c r="G1420" s="20" t="n">
        <f aca="false">9-F1420</f>
        <v>0</v>
      </c>
      <c r="H1420" s="20" t="n">
        <f aca="false">IF(G1420&gt;=1,G1420,0)</f>
        <v>0</v>
      </c>
      <c r="I1420" s="5" t="s">
        <v>75</v>
      </c>
      <c r="J1420" s="5" t="s">
        <v>1983</v>
      </c>
    </row>
    <row r="1421" customFormat="false" ht="15" hidden="false" customHeight="false" outlineLevel="0" collapsed="false">
      <c r="A1421" s="5" t="s">
        <v>227</v>
      </c>
      <c r="B1421" s="5" t="s">
        <v>172</v>
      </c>
      <c r="C1421" s="5" t="n">
        <v>6</v>
      </c>
      <c r="D1421" s="5" t="s">
        <v>505</v>
      </c>
      <c r="E1421" s="5" t="n">
        <v>1</v>
      </c>
      <c r="F1421" s="20" t="n">
        <v>9</v>
      </c>
      <c r="G1421" s="20" t="n">
        <f aca="false">9-F1421</f>
        <v>0</v>
      </c>
      <c r="H1421" s="20" t="n">
        <f aca="false">IF(G1421&gt;=1,G1421,0)</f>
        <v>0</v>
      </c>
      <c r="I1421" s="5" t="s">
        <v>75</v>
      </c>
      <c r="J1421" s="5" t="s">
        <v>1984</v>
      </c>
    </row>
    <row r="1422" customFormat="false" ht="15" hidden="false" customHeight="false" outlineLevel="0" collapsed="false">
      <c r="A1422" s="5" t="s">
        <v>227</v>
      </c>
      <c r="B1422" s="5" t="s">
        <v>172</v>
      </c>
      <c r="C1422" s="5" t="n">
        <v>7</v>
      </c>
      <c r="D1422" s="5" t="s">
        <v>505</v>
      </c>
      <c r="E1422" s="5" t="n">
        <v>1</v>
      </c>
      <c r="F1422" s="20" t="n">
        <v>9</v>
      </c>
      <c r="G1422" s="20" t="n">
        <f aca="false">9-F1422</f>
        <v>0</v>
      </c>
      <c r="H1422" s="20" t="n">
        <f aca="false">IF(G1422&gt;=1,G1422,0)</f>
        <v>0</v>
      </c>
      <c r="I1422" s="5" t="s">
        <v>75</v>
      </c>
      <c r="J1422" s="5" t="s">
        <v>1985</v>
      </c>
    </row>
    <row r="1423" customFormat="false" ht="15" hidden="false" customHeight="false" outlineLevel="0" collapsed="false">
      <c r="A1423" s="5" t="s">
        <v>227</v>
      </c>
      <c r="B1423" s="5" t="s">
        <v>172</v>
      </c>
      <c r="C1423" s="5" t="n">
        <v>8</v>
      </c>
      <c r="D1423" s="5" t="s">
        <v>505</v>
      </c>
      <c r="E1423" s="5" t="n">
        <v>1</v>
      </c>
      <c r="F1423" s="20" t="n">
        <v>9</v>
      </c>
      <c r="G1423" s="20" t="n">
        <f aca="false">9-F1423</f>
        <v>0</v>
      </c>
      <c r="H1423" s="20" t="n">
        <f aca="false">IF(G1423&gt;=1,G1423,0)</f>
        <v>0</v>
      </c>
      <c r="I1423" s="5" t="s">
        <v>75</v>
      </c>
      <c r="J1423" s="5" t="s">
        <v>1986</v>
      </c>
    </row>
    <row r="1424" customFormat="false" ht="15" hidden="false" customHeight="false" outlineLevel="0" collapsed="false">
      <c r="A1424" s="5" t="s">
        <v>227</v>
      </c>
      <c r="B1424" s="5" t="s">
        <v>172</v>
      </c>
      <c r="C1424" s="5" t="n">
        <v>9</v>
      </c>
      <c r="D1424" s="5" t="s">
        <v>1370</v>
      </c>
      <c r="E1424" s="5" t="n">
        <v>1</v>
      </c>
      <c r="F1424" s="20" t="n">
        <v>8.96897480565453</v>
      </c>
      <c r="G1424" s="20" t="n">
        <f aca="false">9-F1424</f>
        <v>0.0310251943454691</v>
      </c>
      <c r="H1424" s="20" t="n">
        <f aca="false">IF(G1424&gt;=1,G1424,0)</f>
        <v>0</v>
      </c>
      <c r="I1424" s="5" t="s">
        <v>75</v>
      </c>
      <c r="J1424" s="5" t="s">
        <v>1987</v>
      </c>
    </row>
    <row r="1425" customFormat="false" ht="15" hidden="false" customHeight="false" outlineLevel="0" collapsed="false">
      <c r="A1425" s="5" t="s">
        <v>227</v>
      </c>
      <c r="B1425" s="5" t="s">
        <v>172</v>
      </c>
      <c r="C1425" s="5" t="n">
        <v>10</v>
      </c>
      <c r="D1425" s="5" t="s">
        <v>1372</v>
      </c>
      <c r="E1425" s="5" t="n">
        <v>1</v>
      </c>
      <c r="F1425" s="20" t="n">
        <v>8.95697480565453</v>
      </c>
      <c r="G1425" s="20" t="n">
        <f aca="false">9-F1425</f>
        <v>0.0430251943454696</v>
      </c>
      <c r="H1425" s="20" t="n">
        <f aca="false">IF(G1425&gt;=1,G1425,0)</f>
        <v>0</v>
      </c>
      <c r="I1425" s="5" t="s">
        <v>75</v>
      </c>
      <c r="J1425" s="5" t="s">
        <v>1988</v>
      </c>
    </row>
    <row r="1426" customFormat="false" ht="15" hidden="false" customHeight="false" outlineLevel="0" collapsed="false">
      <c r="A1426" s="5" t="s">
        <v>227</v>
      </c>
      <c r="B1426" s="5" t="s">
        <v>172</v>
      </c>
      <c r="C1426" s="5" t="n">
        <v>11</v>
      </c>
      <c r="D1426" s="5" t="s">
        <v>1376</v>
      </c>
      <c r="E1426" s="5" t="n">
        <v>1</v>
      </c>
      <c r="F1426" s="20" t="n">
        <v>8.92454196056548</v>
      </c>
      <c r="G1426" s="20" t="n">
        <f aca="false">9-F1426</f>
        <v>0.0754580394345243</v>
      </c>
      <c r="H1426" s="20" t="n">
        <f aca="false">IF(G1426&gt;=1,G1426,0)</f>
        <v>0</v>
      </c>
      <c r="I1426" s="5" t="s">
        <v>75</v>
      </c>
      <c r="J1426" s="5" t="s">
        <v>1989</v>
      </c>
    </row>
    <row r="1427" customFormat="false" ht="15" hidden="false" customHeight="false" outlineLevel="0" collapsed="false">
      <c r="A1427" s="5" t="s">
        <v>227</v>
      </c>
      <c r="B1427" s="5" t="s">
        <v>172</v>
      </c>
      <c r="C1427" s="5" t="n">
        <v>12</v>
      </c>
      <c r="D1427" s="5" t="s">
        <v>1376</v>
      </c>
      <c r="E1427" s="5" t="n">
        <v>1</v>
      </c>
      <c r="F1427" s="20" t="n">
        <v>8.92454196056548</v>
      </c>
      <c r="G1427" s="20" t="n">
        <f aca="false">9-F1427</f>
        <v>0.0754580394345243</v>
      </c>
      <c r="H1427" s="20" t="n">
        <f aca="false">IF(G1427&gt;=1,G1427,0)</f>
        <v>0</v>
      </c>
      <c r="I1427" s="5" t="s">
        <v>75</v>
      </c>
      <c r="J1427" s="5" t="s">
        <v>1990</v>
      </c>
    </row>
    <row r="1428" customFormat="false" ht="15" hidden="false" customHeight="false" outlineLevel="0" collapsed="false">
      <c r="A1428" s="5" t="s">
        <v>227</v>
      </c>
      <c r="B1428" s="5" t="s">
        <v>172</v>
      </c>
      <c r="C1428" s="5" t="n">
        <v>13</v>
      </c>
      <c r="D1428" s="5" t="s">
        <v>1376</v>
      </c>
      <c r="E1428" s="5" t="n">
        <v>1</v>
      </c>
      <c r="F1428" s="20" t="n">
        <v>8.92454196056547</v>
      </c>
      <c r="G1428" s="20" t="n">
        <f aca="false">9-F1428</f>
        <v>0.0754580394345332</v>
      </c>
      <c r="H1428" s="20" t="n">
        <f aca="false">IF(G1428&gt;=1,G1428,0)</f>
        <v>0</v>
      </c>
      <c r="I1428" s="5" t="s">
        <v>75</v>
      </c>
      <c r="J1428" s="5" t="s">
        <v>1991</v>
      </c>
    </row>
    <row r="1429" customFormat="false" ht="15" hidden="false" customHeight="false" outlineLevel="0" collapsed="false">
      <c r="A1429" s="5" t="s">
        <v>227</v>
      </c>
      <c r="B1429" s="5" t="s">
        <v>172</v>
      </c>
      <c r="C1429" s="5" t="n">
        <v>14</v>
      </c>
      <c r="D1429" s="5" t="s">
        <v>1376</v>
      </c>
      <c r="E1429" s="5" t="n">
        <v>1</v>
      </c>
      <c r="F1429" s="20" t="n">
        <v>8.92454196056547</v>
      </c>
      <c r="G1429" s="20" t="n">
        <f aca="false">9-F1429</f>
        <v>0.075458039434535</v>
      </c>
      <c r="H1429" s="20" t="n">
        <f aca="false">IF(G1429&gt;=1,G1429,0)</f>
        <v>0</v>
      </c>
      <c r="I1429" s="5" t="s">
        <v>75</v>
      </c>
      <c r="J1429" s="5" t="s">
        <v>1992</v>
      </c>
    </row>
    <row r="1430" customFormat="false" ht="15" hidden="false" customHeight="false" outlineLevel="0" collapsed="false">
      <c r="A1430" s="5" t="s">
        <v>227</v>
      </c>
      <c r="B1430" s="5" t="s">
        <v>172</v>
      </c>
      <c r="C1430" s="5" t="n">
        <v>15</v>
      </c>
      <c r="D1430" s="5" t="s">
        <v>1381</v>
      </c>
      <c r="E1430" s="5" t="n">
        <v>1</v>
      </c>
      <c r="F1430" s="20" t="n">
        <v>8.77454196056538</v>
      </c>
      <c r="G1430" s="20" t="n">
        <f aca="false">9-F1430</f>
        <v>0.225458039434624</v>
      </c>
      <c r="H1430" s="20" t="n">
        <f aca="false">IF(G1430&gt;=1,G1430,0)</f>
        <v>0</v>
      </c>
      <c r="I1430" s="5" t="s">
        <v>75</v>
      </c>
      <c r="J1430" s="5" t="s">
        <v>1993</v>
      </c>
    </row>
    <row r="1431" customFormat="false" ht="15" hidden="false" customHeight="false" outlineLevel="0" collapsed="false">
      <c r="A1431" s="5" t="s">
        <v>227</v>
      </c>
      <c r="B1431" s="5" t="s">
        <v>172</v>
      </c>
      <c r="C1431" s="5" t="n">
        <v>16</v>
      </c>
      <c r="D1431" s="5" t="s">
        <v>1381</v>
      </c>
      <c r="E1431" s="5" t="n">
        <v>1</v>
      </c>
      <c r="F1431" s="20" t="n">
        <v>8.77454196056538</v>
      </c>
      <c r="G1431" s="20" t="n">
        <f aca="false">9-F1431</f>
        <v>0.225458039434624</v>
      </c>
      <c r="H1431" s="20" t="n">
        <f aca="false">IF(G1431&gt;=1,G1431,0)</f>
        <v>0</v>
      </c>
      <c r="I1431" s="5" t="s">
        <v>75</v>
      </c>
      <c r="J1431" s="5" t="s">
        <v>1994</v>
      </c>
    </row>
    <row r="1432" customFormat="false" ht="15" hidden="false" customHeight="false" outlineLevel="0" collapsed="false">
      <c r="A1432" s="5" t="s">
        <v>227</v>
      </c>
      <c r="B1432" s="5" t="s">
        <v>172</v>
      </c>
      <c r="C1432" s="5" t="n">
        <v>17</v>
      </c>
      <c r="D1432" s="5" t="s">
        <v>1384</v>
      </c>
      <c r="E1432" s="5" t="n">
        <v>1</v>
      </c>
      <c r="F1432" s="20" t="n">
        <v>8.38954196056548</v>
      </c>
      <c r="G1432" s="20" t="n">
        <f aca="false">9-F1432</f>
        <v>0.610458039434523</v>
      </c>
      <c r="H1432" s="20" t="n">
        <f aca="false">IF(G1432&gt;=1,G1432,0)</f>
        <v>0</v>
      </c>
      <c r="I1432" s="5" t="s">
        <v>75</v>
      </c>
      <c r="J1432" s="5" t="s">
        <v>1995</v>
      </c>
    </row>
    <row r="1433" customFormat="false" ht="15" hidden="false" customHeight="false" outlineLevel="0" collapsed="false">
      <c r="A1433" s="5" t="s">
        <v>227</v>
      </c>
      <c r="B1433" s="5" t="s">
        <v>172</v>
      </c>
      <c r="C1433" s="5" t="n">
        <v>18</v>
      </c>
      <c r="D1433" s="5" t="s">
        <v>1384</v>
      </c>
      <c r="E1433" s="5" t="n">
        <v>1</v>
      </c>
      <c r="F1433" s="20" t="n">
        <v>8.38954196056548</v>
      </c>
      <c r="G1433" s="20" t="n">
        <f aca="false">9-F1433</f>
        <v>0.610458039434525</v>
      </c>
      <c r="H1433" s="20" t="n">
        <f aca="false">IF(G1433&gt;=1,G1433,0)</f>
        <v>0</v>
      </c>
      <c r="I1433" s="5" t="s">
        <v>75</v>
      </c>
      <c r="J1433" s="5" t="s">
        <v>1996</v>
      </c>
    </row>
    <row r="1434" customFormat="false" ht="15" hidden="false" customHeight="false" outlineLevel="0" collapsed="false">
      <c r="A1434" s="5" t="s">
        <v>227</v>
      </c>
      <c r="B1434" s="5" t="s">
        <v>172</v>
      </c>
      <c r="C1434" s="5" t="n">
        <v>19</v>
      </c>
      <c r="D1434" s="5" t="s">
        <v>1384</v>
      </c>
      <c r="E1434" s="5" t="n">
        <v>1</v>
      </c>
      <c r="F1434" s="20" t="n">
        <v>8.38954196056547</v>
      </c>
      <c r="G1434" s="20" t="n">
        <f aca="false">9-F1434</f>
        <v>0.610458039434526</v>
      </c>
      <c r="H1434" s="20" t="n">
        <f aca="false">IF(G1434&gt;=1,G1434,0)</f>
        <v>0</v>
      </c>
      <c r="I1434" s="5" t="s">
        <v>75</v>
      </c>
      <c r="J1434" s="5" t="s">
        <v>1997</v>
      </c>
    </row>
    <row r="1435" customFormat="false" ht="15" hidden="false" customHeight="false" outlineLevel="0" collapsed="false">
      <c r="A1435" s="5" t="s">
        <v>227</v>
      </c>
      <c r="B1435" s="5" t="s">
        <v>172</v>
      </c>
      <c r="C1435" s="5" t="n">
        <v>20</v>
      </c>
      <c r="D1435" s="5" t="s">
        <v>1384</v>
      </c>
      <c r="E1435" s="5" t="n">
        <v>1</v>
      </c>
      <c r="F1435" s="20" t="n">
        <v>8.38954196056547</v>
      </c>
      <c r="G1435" s="20" t="n">
        <f aca="false">9-F1435</f>
        <v>0.610458039434526</v>
      </c>
      <c r="H1435" s="20" t="n">
        <f aca="false">IF(G1435&gt;=1,G1435,0)</f>
        <v>0</v>
      </c>
      <c r="I1435" s="5" t="s">
        <v>75</v>
      </c>
      <c r="J1435" s="5" t="s">
        <v>1998</v>
      </c>
    </row>
    <row r="1436" customFormat="false" ht="15" hidden="false" customHeight="false" outlineLevel="0" collapsed="false">
      <c r="A1436" s="5" t="s">
        <v>227</v>
      </c>
      <c r="B1436" s="5" t="s">
        <v>172</v>
      </c>
      <c r="C1436" s="5" t="n">
        <v>21</v>
      </c>
      <c r="D1436" s="5" t="s">
        <v>1389</v>
      </c>
      <c r="E1436" s="5" t="n">
        <v>1</v>
      </c>
      <c r="F1436" s="20" t="n">
        <v>7.99587480565453</v>
      </c>
      <c r="G1436" s="20" t="n">
        <f aca="false">9-F1436</f>
        <v>1.00412519434547</v>
      </c>
      <c r="H1436" s="20" t="n">
        <f aca="false">IF(G1436&gt;=1,G1436,0)</f>
        <v>1.00412519434547</v>
      </c>
      <c r="I1436" s="5" t="s">
        <v>75</v>
      </c>
      <c r="J1436" s="5" t="s">
        <v>1999</v>
      </c>
    </row>
    <row r="1437" customFormat="false" ht="15" hidden="false" customHeight="false" outlineLevel="0" collapsed="false">
      <c r="A1437" s="5" t="s">
        <v>227</v>
      </c>
      <c r="B1437" s="5" t="s">
        <v>172</v>
      </c>
      <c r="C1437" s="5" t="n">
        <v>22</v>
      </c>
      <c r="D1437" s="5" t="s">
        <v>1389</v>
      </c>
      <c r="E1437" s="5" t="n">
        <v>1</v>
      </c>
      <c r="F1437" s="20" t="n">
        <v>7.99587480565453</v>
      </c>
      <c r="G1437" s="20" t="n">
        <f aca="false">9-F1437</f>
        <v>1.00412519434547</v>
      </c>
      <c r="H1437" s="20" t="n">
        <f aca="false">IF(G1437&gt;=1,G1437,0)</f>
        <v>1.00412519434547</v>
      </c>
      <c r="I1437" s="5" t="s">
        <v>75</v>
      </c>
      <c r="J1437" s="5" t="s">
        <v>2000</v>
      </c>
    </row>
    <row r="1438" customFormat="false" ht="15" hidden="false" customHeight="false" outlineLevel="0" collapsed="false">
      <c r="A1438" s="5" t="s">
        <v>227</v>
      </c>
      <c r="B1438" s="5" t="s">
        <v>172</v>
      </c>
      <c r="C1438" s="5" t="n">
        <v>23</v>
      </c>
      <c r="D1438" s="5" t="s">
        <v>1396</v>
      </c>
      <c r="E1438" s="5" t="n">
        <v>1</v>
      </c>
      <c r="F1438" s="20" t="n">
        <v>7.83187480565453</v>
      </c>
      <c r="G1438" s="20" t="n">
        <f aca="false">9-F1438</f>
        <v>1.16812519434547</v>
      </c>
      <c r="H1438" s="20" t="n">
        <f aca="false">IF(G1438&gt;=1,G1438,0)</f>
        <v>1.16812519434547</v>
      </c>
      <c r="I1438" s="5" t="s">
        <v>75</v>
      </c>
      <c r="J1438" s="5" t="s">
        <v>2001</v>
      </c>
    </row>
    <row r="1439" customFormat="false" ht="15" hidden="false" customHeight="false" outlineLevel="0" collapsed="false">
      <c r="A1439" s="5" t="s">
        <v>227</v>
      </c>
      <c r="B1439" s="5" t="s">
        <v>172</v>
      </c>
      <c r="C1439" s="5" t="n">
        <v>24</v>
      </c>
      <c r="D1439" s="5" t="s">
        <v>1396</v>
      </c>
      <c r="E1439" s="5" t="n">
        <v>1</v>
      </c>
      <c r="F1439" s="20" t="n">
        <v>7.83187480565453</v>
      </c>
      <c r="G1439" s="20" t="n">
        <f aca="false">9-F1439</f>
        <v>1.16812519434547</v>
      </c>
      <c r="H1439" s="20" t="n">
        <f aca="false">IF(G1439&gt;=1,G1439,0)</f>
        <v>1.16812519434547</v>
      </c>
      <c r="I1439" s="5" t="s">
        <v>75</v>
      </c>
      <c r="J1439" s="5" t="s">
        <v>2002</v>
      </c>
    </row>
    <row r="1440" customFormat="false" ht="15" hidden="false" customHeight="false" outlineLevel="0" collapsed="false">
      <c r="A1440" s="5" t="s">
        <v>227</v>
      </c>
      <c r="B1440" s="5" t="s">
        <v>172</v>
      </c>
      <c r="C1440" s="5" t="n">
        <v>25</v>
      </c>
      <c r="D1440" s="5" t="s">
        <v>1399</v>
      </c>
      <c r="E1440" s="5" t="n">
        <v>1</v>
      </c>
      <c r="F1440" s="20" t="n">
        <v>7.78897480565453</v>
      </c>
      <c r="G1440" s="20" t="n">
        <f aca="false">9-F1440</f>
        <v>1.21102519434547</v>
      </c>
      <c r="H1440" s="20" t="n">
        <f aca="false">IF(G1440&gt;=1,G1440,0)</f>
        <v>1.21102519434547</v>
      </c>
      <c r="I1440" s="5" t="s">
        <v>75</v>
      </c>
      <c r="J1440" s="5" t="s">
        <v>2003</v>
      </c>
    </row>
    <row r="1441" customFormat="false" ht="15" hidden="false" customHeight="false" outlineLevel="0" collapsed="false">
      <c r="A1441" s="5" t="s">
        <v>227</v>
      </c>
      <c r="B1441" s="5" t="s">
        <v>172</v>
      </c>
      <c r="C1441" s="5" t="n">
        <v>26</v>
      </c>
      <c r="D1441" s="5" t="s">
        <v>2004</v>
      </c>
      <c r="E1441" s="5" t="n">
        <v>1</v>
      </c>
      <c r="F1441" s="20" t="n">
        <v>7.73272480565454</v>
      </c>
      <c r="G1441" s="20" t="n">
        <f aca="false">9-F1441</f>
        <v>1.26727519434546</v>
      </c>
      <c r="H1441" s="20" t="n">
        <f aca="false">IF(G1441&gt;=1,G1441,0)</f>
        <v>1.26727519434546</v>
      </c>
      <c r="I1441" s="5" t="s">
        <v>75</v>
      </c>
      <c r="J1441" s="5" t="s">
        <v>2005</v>
      </c>
    </row>
    <row r="1442" customFormat="false" ht="15" hidden="false" customHeight="false" outlineLevel="0" collapsed="false">
      <c r="A1442" s="5" t="s">
        <v>227</v>
      </c>
      <c r="B1442" s="5" t="s">
        <v>172</v>
      </c>
      <c r="C1442" s="5" t="n">
        <v>27</v>
      </c>
      <c r="D1442" s="5" t="s">
        <v>2004</v>
      </c>
      <c r="E1442" s="5" t="n">
        <v>1</v>
      </c>
      <c r="F1442" s="20" t="n">
        <v>7.73272480565453</v>
      </c>
      <c r="G1442" s="20" t="n">
        <f aca="false">9-F1442</f>
        <v>1.26727519434547</v>
      </c>
      <c r="H1442" s="20" t="n">
        <f aca="false">IF(G1442&gt;=1,G1442,0)</f>
        <v>1.26727519434547</v>
      </c>
      <c r="I1442" s="5" t="s">
        <v>75</v>
      </c>
      <c r="J1442" s="5" t="s">
        <v>2006</v>
      </c>
    </row>
    <row r="1443" customFormat="false" ht="15" hidden="false" customHeight="false" outlineLevel="0" collapsed="false">
      <c r="A1443" s="5" t="s">
        <v>227</v>
      </c>
      <c r="B1443" s="5" t="s">
        <v>172</v>
      </c>
      <c r="C1443" s="5" t="n">
        <v>28</v>
      </c>
      <c r="D1443" s="5" t="s">
        <v>2007</v>
      </c>
      <c r="E1443" s="5" t="n">
        <v>2</v>
      </c>
      <c r="F1443" s="20" t="n">
        <v>8.92664961130907</v>
      </c>
      <c r="G1443" s="20" t="n">
        <f aca="false">9-F1443</f>
        <v>0.073350388690935</v>
      </c>
      <c r="H1443" s="20" t="n">
        <f aca="false">IF(G1443&gt;=1,G1443,0)</f>
        <v>0</v>
      </c>
      <c r="I1443" s="5" t="s">
        <v>75</v>
      </c>
      <c r="J1443" s="5" t="s">
        <v>2008</v>
      </c>
    </row>
    <row r="1444" customFormat="false" ht="15" hidden="false" customHeight="false" outlineLevel="0" collapsed="false">
      <c r="A1444" s="5" t="s">
        <v>227</v>
      </c>
      <c r="B1444" s="5" t="s">
        <v>172</v>
      </c>
      <c r="C1444" s="5" t="n">
        <v>29</v>
      </c>
      <c r="D1444" s="5" t="s">
        <v>1406</v>
      </c>
      <c r="E1444" s="5" t="n">
        <v>2</v>
      </c>
      <c r="F1444" s="20" t="n">
        <v>8.97513284508906</v>
      </c>
      <c r="G1444" s="20" t="n">
        <f aca="false">9-F1444</f>
        <v>0.0248671549109432</v>
      </c>
      <c r="H1444" s="20" t="n">
        <f aca="false">IF(G1444&gt;=1,G1444,0)</f>
        <v>0</v>
      </c>
      <c r="I1444" s="5" t="s">
        <v>75</v>
      </c>
      <c r="J1444" s="5" t="s">
        <v>2009</v>
      </c>
    </row>
    <row r="1445" customFormat="false" ht="15" hidden="false" customHeight="false" outlineLevel="0" collapsed="false">
      <c r="A1445" s="5" t="s">
        <v>227</v>
      </c>
      <c r="B1445" s="5" t="s">
        <v>172</v>
      </c>
      <c r="C1445" s="5" t="n">
        <v>30</v>
      </c>
      <c r="D1445" s="5" t="s">
        <v>1406</v>
      </c>
      <c r="E1445" s="5" t="n">
        <v>2</v>
      </c>
      <c r="F1445" s="20" t="n">
        <v>8.97513284508906</v>
      </c>
      <c r="G1445" s="20" t="n">
        <f aca="false">9-F1445</f>
        <v>0.0248671549109432</v>
      </c>
      <c r="H1445" s="20" t="n">
        <f aca="false">IF(G1445&gt;=1,G1445,0)</f>
        <v>0</v>
      </c>
      <c r="I1445" s="5" t="s">
        <v>75</v>
      </c>
      <c r="J1445" s="5" t="s">
        <v>2010</v>
      </c>
    </row>
    <row r="1446" customFormat="false" ht="15" hidden="false" customHeight="false" outlineLevel="0" collapsed="false">
      <c r="A1446" s="5" t="s">
        <v>227</v>
      </c>
      <c r="B1446" s="5" t="s">
        <v>172</v>
      </c>
      <c r="C1446" s="5" t="n">
        <v>31</v>
      </c>
      <c r="D1446" s="5" t="s">
        <v>1413</v>
      </c>
      <c r="E1446" s="5" t="n">
        <v>2</v>
      </c>
      <c r="F1446" s="20" t="n">
        <v>8.97856569017812</v>
      </c>
      <c r="G1446" s="20" t="n">
        <f aca="false">9-F1446</f>
        <v>0.0214343098218777</v>
      </c>
      <c r="H1446" s="20" t="n">
        <f aca="false">IF(G1446&gt;=1,G1446,0)</f>
        <v>0</v>
      </c>
      <c r="I1446" s="5" t="s">
        <v>75</v>
      </c>
      <c r="J1446" s="5" t="s">
        <v>2011</v>
      </c>
    </row>
    <row r="1447" customFormat="false" ht="15" hidden="false" customHeight="false" outlineLevel="0" collapsed="false">
      <c r="A1447" s="5" t="s">
        <v>227</v>
      </c>
      <c r="B1447" s="5" t="s">
        <v>172</v>
      </c>
      <c r="C1447" s="5" t="n">
        <v>32</v>
      </c>
      <c r="D1447" s="5" t="s">
        <v>1415</v>
      </c>
      <c r="E1447" s="5" t="n">
        <v>2</v>
      </c>
      <c r="F1447" s="20" t="n">
        <v>8.9975656901781</v>
      </c>
      <c r="G1447" s="20" t="n">
        <f aca="false">9-F1447</f>
        <v>0.00243430982190063</v>
      </c>
      <c r="H1447" s="20" t="n">
        <f aca="false">IF(G1447&gt;=1,G1447,0)</f>
        <v>0</v>
      </c>
      <c r="I1447" s="5" t="s">
        <v>75</v>
      </c>
      <c r="J1447" s="5" t="s">
        <v>2012</v>
      </c>
    </row>
    <row r="1448" customFormat="false" ht="15" hidden="false" customHeight="false" outlineLevel="0" collapsed="false">
      <c r="A1448" s="5" t="s">
        <v>227</v>
      </c>
      <c r="B1448" s="5" t="s">
        <v>172</v>
      </c>
      <c r="C1448" s="5" t="n">
        <v>33</v>
      </c>
      <c r="D1448" s="5" t="s">
        <v>1419</v>
      </c>
      <c r="E1448" s="5" t="n">
        <v>2</v>
      </c>
      <c r="F1448" s="20" t="n">
        <v>8.98025765074365</v>
      </c>
      <c r="G1448" s="20" t="n">
        <f aca="false">9-F1448</f>
        <v>0.0197423492563544</v>
      </c>
      <c r="H1448" s="20" t="n">
        <f aca="false">IF(G1448&gt;=1,G1448,0)</f>
        <v>0</v>
      </c>
      <c r="I1448" s="5" t="s">
        <v>75</v>
      </c>
      <c r="J1448" s="5" t="s">
        <v>2013</v>
      </c>
    </row>
    <row r="1449" customFormat="false" ht="15" hidden="false" customHeight="false" outlineLevel="0" collapsed="false">
      <c r="A1449" s="5" t="s">
        <v>227</v>
      </c>
      <c r="B1449" s="5" t="s">
        <v>172</v>
      </c>
      <c r="C1449" s="5" t="n">
        <v>34</v>
      </c>
      <c r="D1449" s="5" t="s">
        <v>1419</v>
      </c>
      <c r="E1449" s="5" t="n">
        <v>2</v>
      </c>
      <c r="F1449" s="20" t="n">
        <v>8.98025765074361</v>
      </c>
      <c r="G1449" s="20" t="n">
        <f aca="false">9-F1449</f>
        <v>0.0197423492563935</v>
      </c>
      <c r="H1449" s="20" t="n">
        <f aca="false">IF(G1449&gt;=1,G1449,0)</f>
        <v>0</v>
      </c>
      <c r="I1449" s="5" t="s">
        <v>75</v>
      </c>
      <c r="J1449" s="5" t="s">
        <v>2014</v>
      </c>
    </row>
    <row r="1450" customFormat="false" ht="15" hidden="false" customHeight="false" outlineLevel="0" collapsed="false">
      <c r="A1450" s="5" t="s">
        <v>227</v>
      </c>
      <c r="B1450" s="5" t="s">
        <v>172</v>
      </c>
      <c r="C1450" s="5" t="n">
        <v>35</v>
      </c>
      <c r="D1450" s="5" t="s">
        <v>1419</v>
      </c>
      <c r="E1450" s="5" t="n">
        <v>2</v>
      </c>
      <c r="F1450" s="20" t="n">
        <v>8.98025765074353</v>
      </c>
      <c r="G1450" s="20" t="n">
        <f aca="false">9-F1450</f>
        <v>0.0197423492564717</v>
      </c>
      <c r="H1450" s="20" t="n">
        <f aca="false">IF(G1450&gt;=1,G1450,0)</f>
        <v>0</v>
      </c>
      <c r="I1450" s="5" t="s">
        <v>75</v>
      </c>
      <c r="J1450" s="5" t="s">
        <v>2015</v>
      </c>
    </row>
    <row r="1451" customFormat="false" ht="15" hidden="false" customHeight="false" outlineLevel="0" collapsed="false">
      <c r="A1451" s="5" t="s">
        <v>227</v>
      </c>
      <c r="B1451" s="5" t="s">
        <v>172</v>
      </c>
      <c r="C1451" s="5" t="n">
        <v>36</v>
      </c>
      <c r="D1451" s="5" t="s">
        <v>1422</v>
      </c>
      <c r="E1451" s="5" t="n">
        <v>2</v>
      </c>
      <c r="F1451" s="20" t="n">
        <v>8.96025765074353</v>
      </c>
      <c r="G1451" s="20" t="n">
        <f aca="false">9-F1451</f>
        <v>0.039742349256473</v>
      </c>
      <c r="H1451" s="20" t="n">
        <f aca="false">IF(G1451&gt;=1,G1451,0)</f>
        <v>0</v>
      </c>
      <c r="I1451" s="5" t="s">
        <v>75</v>
      </c>
      <c r="J1451" s="5" t="s">
        <v>2016</v>
      </c>
    </row>
    <row r="1452" customFormat="false" ht="15" hidden="false" customHeight="false" outlineLevel="0" collapsed="false">
      <c r="A1452" s="5" t="s">
        <v>227</v>
      </c>
      <c r="B1452" s="5" t="s">
        <v>172</v>
      </c>
      <c r="C1452" s="5" t="n">
        <v>37</v>
      </c>
      <c r="D1452" s="5" t="s">
        <v>2017</v>
      </c>
      <c r="E1452" s="5" t="n">
        <v>2</v>
      </c>
      <c r="F1452" s="20" t="n">
        <v>8.78625765074365</v>
      </c>
      <c r="G1452" s="20" t="n">
        <f aca="false">9-F1452</f>
        <v>0.21374234925635</v>
      </c>
      <c r="H1452" s="20" t="n">
        <f aca="false">IF(G1452&gt;=1,G1452,0)</f>
        <v>0</v>
      </c>
      <c r="I1452" s="5" t="s">
        <v>75</v>
      </c>
      <c r="J1452" s="5" t="s">
        <v>2018</v>
      </c>
    </row>
    <row r="1453" customFormat="false" ht="15" hidden="false" customHeight="false" outlineLevel="0" collapsed="false">
      <c r="A1453" s="5" t="s">
        <v>227</v>
      </c>
      <c r="B1453" s="5" t="s">
        <v>172</v>
      </c>
      <c r="C1453" s="5" t="n">
        <v>38</v>
      </c>
      <c r="D1453" s="5" t="s">
        <v>1432</v>
      </c>
      <c r="E1453" s="5" t="n">
        <v>2</v>
      </c>
      <c r="F1453" s="20" t="n">
        <v>8.57513284508906</v>
      </c>
      <c r="G1453" s="20" t="n">
        <f aca="false">9-F1453</f>
        <v>0.424867154910944</v>
      </c>
      <c r="H1453" s="20" t="n">
        <f aca="false">IF(G1453&gt;=1,G1453,0)</f>
        <v>0</v>
      </c>
      <c r="I1453" s="5" t="s">
        <v>75</v>
      </c>
      <c r="J1453" s="5" t="s">
        <v>2019</v>
      </c>
    </row>
    <row r="1454" customFormat="false" ht="15" hidden="false" customHeight="false" outlineLevel="0" collapsed="false">
      <c r="A1454" s="5" t="s">
        <v>227</v>
      </c>
      <c r="B1454" s="5" t="s">
        <v>172</v>
      </c>
      <c r="C1454" s="5" t="n">
        <v>39</v>
      </c>
      <c r="D1454" s="5" t="s">
        <v>1432</v>
      </c>
      <c r="E1454" s="5" t="n">
        <v>2</v>
      </c>
      <c r="F1454" s="20" t="n">
        <v>8.57513284508906</v>
      </c>
      <c r="G1454" s="20" t="n">
        <f aca="false">9-F1454</f>
        <v>0.424867154910945</v>
      </c>
      <c r="H1454" s="20" t="n">
        <f aca="false">IF(G1454&gt;=1,G1454,0)</f>
        <v>0</v>
      </c>
      <c r="I1454" s="5" t="s">
        <v>75</v>
      </c>
      <c r="J1454" s="5" t="s">
        <v>2020</v>
      </c>
    </row>
    <row r="1455" customFormat="false" ht="15" hidden="false" customHeight="false" outlineLevel="0" collapsed="false">
      <c r="A1455" s="5" t="s">
        <v>227</v>
      </c>
      <c r="B1455" s="5" t="s">
        <v>172</v>
      </c>
      <c r="C1455" s="5" t="n">
        <v>40</v>
      </c>
      <c r="D1455" s="5" t="s">
        <v>1432</v>
      </c>
      <c r="E1455" s="5" t="n">
        <v>2</v>
      </c>
      <c r="F1455" s="20" t="n">
        <v>8.57513284508905</v>
      </c>
      <c r="G1455" s="20" t="n">
        <f aca="false">9-F1455</f>
        <v>0.424867154910949</v>
      </c>
      <c r="H1455" s="20" t="n">
        <f aca="false">IF(G1455&gt;=1,G1455,0)</f>
        <v>0</v>
      </c>
      <c r="I1455" s="5" t="s">
        <v>75</v>
      </c>
      <c r="J1455" s="5" t="s">
        <v>2021</v>
      </c>
    </row>
    <row r="1456" customFormat="false" ht="15" hidden="false" customHeight="false" outlineLevel="0" collapsed="false">
      <c r="A1456" s="5" t="s">
        <v>227</v>
      </c>
      <c r="B1456" s="5" t="s">
        <v>172</v>
      </c>
      <c r="C1456" s="5" t="n">
        <v>41</v>
      </c>
      <c r="D1456" s="5" t="s">
        <v>1437</v>
      </c>
      <c r="E1456" s="5" t="n">
        <v>2</v>
      </c>
      <c r="F1456" s="20" t="n">
        <v>8.46213284508906</v>
      </c>
      <c r="G1456" s="20" t="n">
        <f aca="false">9-F1456</f>
        <v>0.537867154910945</v>
      </c>
      <c r="H1456" s="20" t="n">
        <f aca="false">IF(G1456&gt;=1,G1456,0)</f>
        <v>0</v>
      </c>
      <c r="I1456" s="5" t="s">
        <v>75</v>
      </c>
      <c r="J1456" s="5" t="s">
        <v>2022</v>
      </c>
    </row>
    <row r="1457" customFormat="false" ht="15" hidden="false" customHeight="false" outlineLevel="0" collapsed="false">
      <c r="A1457" s="5" t="s">
        <v>227</v>
      </c>
      <c r="B1457" s="5" t="s">
        <v>172</v>
      </c>
      <c r="C1457" s="5" t="n">
        <v>42</v>
      </c>
      <c r="D1457" s="5" t="s">
        <v>1437</v>
      </c>
      <c r="E1457" s="5" t="n">
        <v>2</v>
      </c>
      <c r="F1457" s="20" t="n">
        <v>8.46213284508905</v>
      </c>
      <c r="G1457" s="20" t="n">
        <f aca="false">9-F1457</f>
        <v>0.537867154910952</v>
      </c>
      <c r="H1457" s="20" t="n">
        <f aca="false">IF(G1457&gt;=1,G1457,0)</f>
        <v>0</v>
      </c>
      <c r="I1457" s="5" t="s">
        <v>75</v>
      </c>
      <c r="J1457" s="5" t="s">
        <v>2023</v>
      </c>
    </row>
    <row r="1458" customFormat="false" ht="15" hidden="false" customHeight="false" outlineLevel="0" collapsed="false">
      <c r="A1458" s="5" t="s">
        <v>227</v>
      </c>
      <c r="B1458" s="5" t="s">
        <v>172</v>
      </c>
      <c r="C1458" s="5" t="n">
        <v>43</v>
      </c>
      <c r="D1458" s="5" t="s">
        <v>2024</v>
      </c>
      <c r="E1458" s="5" t="n">
        <v>2</v>
      </c>
      <c r="F1458" s="20" t="n">
        <v>8.41813284508905</v>
      </c>
      <c r="G1458" s="20" t="n">
        <f aca="false">9-F1458</f>
        <v>0.581867154910949</v>
      </c>
      <c r="H1458" s="20" t="n">
        <f aca="false">IF(G1458&gt;=1,G1458,0)</f>
        <v>0</v>
      </c>
      <c r="I1458" s="5" t="s">
        <v>75</v>
      </c>
      <c r="J1458" s="5" t="s">
        <v>2025</v>
      </c>
    </row>
    <row r="1459" customFormat="false" ht="15" hidden="false" customHeight="false" outlineLevel="0" collapsed="false">
      <c r="A1459" s="5" t="s">
        <v>227</v>
      </c>
      <c r="B1459" s="5" t="s">
        <v>172</v>
      </c>
      <c r="C1459" s="5" t="n">
        <v>44</v>
      </c>
      <c r="D1459" s="5" t="s">
        <v>2026</v>
      </c>
      <c r="E1459" s="5" t="n">
        <v>2</v>
      </c>
      <c r="F1459" s="20" t="n">
        <v>8.38713284508906</v>
      </c>
      <c r="G1459" s="20" t="n">
        <f aca="false">9-F1459</f>
        <v>0.612867154910937</v>
      </c>
      <c r="H1459" s="20" t="n">
        <f aca="false">IF(G1459&gt;=1,G1459,0)</f>
        <v>0</v>
      </c>
      <c r="I1459" s="5" t="s">
        <v>75</v>
      </c>
      <c r="J1459" s="5" t="s">
        <v>2027</v>
      </c>
    </row>
    <row r="1460" customFormat="false" ht="15" hidden="false" customHeight="false" outlineLevel="0" collapsed="false">
      <c r="A1460" s="5" t="s">
        <v>227</v>
      </c>
      <c r="B1460" s="5" t="s">
        <v>172</v>
      </c>
      <c r="C1460" s="5" t="n">
        <v>45</v>
      </c>
      <c r="D1460" s="5" t="s">
        <v>2028</v>
      </c>
      <c r="E1460" s="5" t="n">
        <v>2</v>
      </c>
      <c r="F1460" s="20" t="n">
        <v>8.2457</v>
      </c>
      <c r="G1460" s="20" t="n">
        <f aca="false">9-F1460</f>
        <v>0.754300000000002</v>
      </c>
      <c r="H1460" s="20" t="n">
        <f aca="false">IF(G1460&gt;=1,G1460,0)</f>
        <v>0</v>
      </c>
      <c r="I1460" s="5" t="s">
        <v>75</v>
      </c>
      <c r="J1460" s="5" t="s">
        <v>2029</v>
      </c>
    </row>
    <row r="1461" customFormat="false" ht="15" hidden="false" customHeight="false" outlineLevel="0" collapsed="false">
      <c r="A1461" s="5" t="s">
        <v>227</v>
      </c>
      <c r="B1461" s="5" t="s">
        <v>172</v>
      </c>
      <c r="C1461" s="5" t="n">
        <v>46</v>
      </c>
      <c r="D1461" s="5" t="s">
        <v>1446</v>
      </c>
      <c r="E1461" s="5" t="n">
        <v>2</v>
      </c>
      <c r="F1461" s="20" t="n">
        <v>8.08713284508904</v>
      </c>
      <c r="G1461" s="20" t="n">
        <f aca="false">9-F1461</f>
        <v>0.912867154910957</v>
      </c>
      <c r="H1461" s="20" t="n">
        <f aca="false">IF(G1461&gt;=1,G1461,0)</f>
        <v>0</v>
      </c>
      <c r="I1461" s="5" t="s">
        <v>75</v>
      </c>
      <c r="J1461" s="5" t="s">
        <v>2030</v>
      </c>
    </row>
    <row r="1462" customFormat="false" ht="15" hidden="false" customHeight="false" outlineLevel="0" collapsed="false">
      <c r="A1462" s="5" t="s">
        <v>227</v>
      </c>
      <c r="B1462" s="5" t="s">
        <v>172</v>
      </c>
      <c r="C1462" s="5" t="n">
        <v>47</v>
      </c>
      <c r="D1462" s="5" t="s">
        <v>1446</v>
      </c>
      <c r="E1462" s="5" t="n">
        <v>2</v>
      </c>
      <c r="F1462" s="20" t="n">
        <v>8.08713284508902</v>
      </c>
      <c r="G1462" s="20" t="n">
        <f aca="false">9-F1462</f>
        <v>0.912867154910977</v>
      </c>
      <c r="H1462" s="20" t="n">
        <f aca="false">IF(G1462&gt;=1,G1462,0)</f>
        <v>0</v>
      </c>
      <c r="I1462" s="5" t="s">
        <v>75</v>
      </c>
      <c r="J1462" s="5" t="s">
        <v>2031</v>
      </c>
    </row>
    <row r="1463" customFormat="false" ht="15" hidden="false" customHeight="false" outlineLevel="0" collapsed="false">
      <c r="A1463" s="5" t="s">
        <v>227</v>
      </c>
      <c r="B1463" s="5" t="s">
        <v>172</v>
      </c>
      <c r="C1463" s="5" t="n">
        <v>48</v>
      </c>
      <c r="D1463" s="5" t="s">
        <v>1446</v>
      </c>
      <c r="E1463" s="5" t="n">
        <v>2</v>
      </c>
      <c r="F1463" s="20" t="n">
        <v>8.08713284508898</v>
      </c>
      <c r="G1463" s="20" t="n">
        <f aca="false">9-F1463</f>
        <v>0.912867154911016</v>
      </c>
      <c r="H1463" s="20" t="n">
        <f aca="false">IF(G1463&gt;=1,G1463,0)</f>
        <v>0</v>
      </c>
      <c r="I1463" s="5" t="s">
        <v>75</v>
      </c>
      <c r="J1463" s="5" t="s">
        <v>2032</v>
      </c>
    </row>
    <row r="1464" customFormat="false" ht="15" hidden="false" customHeight="false" outlineLevel="0" collapsed="false">
      <c r="A1464" s="5" t="s">
        <v>227</v>
      </c>
      <c r="B1464" s="5" t="s">
        <v>172</v>
      </c>
      <c r="C1464" s="5" t="n">
        <v>49</v>
      </c>
      <c r="D1464" s="5" t="s">
        <v>2033</v>
      </c>
      <c r="E1464" s="5" t="n">
        <v>2</v>
      </c>
      <c r="F1464" s="20" t="n">
        <v>8.05513284508898</v>
      </c>
      <c r="G1464" s="20" t="n">
        <f aca="false">9-F1464</f>
        <v>0.94486715491102</v>
      </c>
      <c r="H1464" s="20" t="n">
        <f aca="false">IF(G1464&gt;=1,G1464,0)</f>
        <v>0</v>
      </c>
      <c r="I1464" s="5" t="s">
        <v>75</v>
      </c>
      <c r="J1464" s="5" t="s">
        <v>2034</v>
      </c>
    </row>
    <row r="1465" customFormat="false" ht="15" hidden="false" customHeight="false" outlineLevel="0" collapsed="false">
      <c r="A1465" s="5" t="s">
        <v>227</v>
      </c>
      <c r="B1465" s="5" t="s">
        <v>172</v>
      </c>
      <c r="C1465" s="5" t="n">
        <v>50</v>
      </c>
      <c r="D1465" s="5" t="s">
        <v>1451</v>
      </c>
      <c r="E1465" s="5" t="n">
        <v>2</v>
      </c>
      <c r="F1465" s="20" t="n">
        <v>8.04313284508903</v>
      </c>
      <c r="G1465" s="20" t="n">
        <f aca="false">9-F1465</f>
        <v>0.956867154910967</v>
      </c>
      <c r="H1465" s="20" t="n">
        <f aca="false">IF(G1465&gt;=1,G1465,0)</f>
        <v>0</v>
      </c>
      <c r="I1465" s="5" t="s">
        <v>75</v>
      </c>
      <c r="J1465" s="5" t="s">
        <v>2035</v>
      </c>
    </row>
    <row r="1466" customFormat="false" ht="15" hidden="false" customHeight="false" outlineLevel="0" collapsed="false">
      <c r="A1466" s="5" t="s">
        <v>227</v>
      </c>
      <c r="B1466" s="5" t="s">
        <v>172</v>
      </c>
      <c r="C1466" s="5" t="n">
        <v>51</v>
      </c>
      <c r="D1466" s="5" t="s">
        <v>2036</v>
      </c>
      <c r="E1466" s="5" t="n">
        <v>3</v>
      </c>
      <c r="F1466" s="20" t="n">
        <v>8.93877886299415</v>
      </c>
      <c r="G1466" s="20" t="n">
        <f aca="false">9-F1466</f>
        <v>0.0612211370058553</v>
      </c>
      <c r="H1466" s="20" t="n">
        <f aca="false">IF(G1466&gt;=1,G1466,0)</f>
        <v>0</v>
      </c>
      <c r="I1466" s="5" t="s">
        <v>75</v>
      </c>
      <c r="J1466" s="5" t="s">
        <v>2037</v>
      </c>
    </row>
    <row r="1467" customFormat="false" ht="15" hidden="false" customHeight="false" outlineLevel="0" collapsed="false">
      <c r="A1467" s="5" t="s">
        <v>227</v>
      </c>
      <c r="B1467" s="5" t="s">
        <v>172</v>
      </c>
      <c r="C1467" s="5" t="n">
        <v>52</v>
      </c>
      <c r="D1467" s="5" t="s">
        <v>2036</v>
      </c>
      <c r="E1467" s="5" t="n">
        <v>3</v>
      </c>
      <c r="F1467" s="20" t="n">
        <v>8.93836676621993</v>
      </c>
      <c r="G1467" s="20" t="n">
        <f aca="false">9-F1467</f>
        <v>0.061633233780066</v>
      </c>
      <c r="H1467" s="20" t="n">
        <f aca="false">IF(G1467&gt;=1,G1467,0)</f>
        <v>0</v>
      </c>
      <c r="I1467" s="5" t="s">
        <v>75</v>
      </c>
      <c r="J1467" s="5" t="s">
        <v>2038</v>
      </c>
    </row>
    <row r="1468" customFormat="false" ht="15" hidden="false" customHeight="false" outlineLevel="0" collapsed="false">
      <c r="A1468" s="5" t="s">
        <v>227</v>
      </c>
      <c r="B1468" s="5" t="s">
        <v>172</v>
      </c>
      <c r="C1468" s="5" t="n">
        <v>53</v>
      </c>
      <c r="D1468" s="5" t="s">
        <v>2039</v>
      </c>
      <c r="E1468" s="5" t="n">
        <v>3</v>
      </c>
      <c r="F1468" s="20" t="n">
        <v>8.71336676621993</v>
      </c>
      <c r="G1468" s="20" t="n">
        <f aca="false">9-F1468</f>
        <v>0.286633233780067</v>
      </c>
      <c r="H1468" s="20" t="n">
        <f aca="false">IF(G1468&gt;=1,G1468,0)</f>
        <v>0</v>
      </c>
      <c r="I1468" s="5" t="s">
        <v>75</v>
      </c>
      <c r="J1468" s="5" t="s">
        <v>2040</v>
      </c>
    </row>
    <row r="1469" customFormat="false" ht="15" hidden="false" customHeight="false" outlineLevel="0" collapsed="false">
      <c r="A1469" s="5" t="s">
        <v>227</v>
      </c>
      <c r="B1469" s="5" t="s">
        <v>172</v>
      </c>
      <c r="C1469" s="5" t="n">
        <v>54</v>
      </c>
      <c r="D1469" s="5" t="s">
        <v>2039</v>
      </c>
      <c r="E1469" s="5" t="n">
        <v>3</v>
      </c>
      <c r="F1469" s="20" t="n">
        <v>8.71336676621993</v>
      </c>
      <c r="G1469" s="20" t="n">
        <f aca="false">9-F1469</f>
        <v>0.286633233780067</v>
      </c>
      <c r="H1469" s="20" t="n">
        <f aca="false">IF(G1469&gt;=1,G1469,0)</f>
        <v>0</v>
      </c>
      <c r="I1469" s="5" t="s">
        <v>75</v>
      </c>
      <c r="J1469" s="5" t="s">
        <v>2041</v>
      </c>
    </row>
    <row r="1470" customFormat="false" ht="15" hidden="false" customHeight="false" outlineLevel="0" collapsed="false">
      <c r="A1470" s="5" t="s">
        <v>227</v>
      </c>
      <c r="B1470" s="5" t="s">
        <v>172</v>
      </c>
      <c r="C1470" s="5" t="n">
        <v>55</v>
      </c>
      <c r="D1470" s="5" t="s">
        <v>2042</v>
      </c>
      <c r="E1470" s="5" t="n">
        <v>3</v>
      </c>
      <c r="F1470" s="20" t="n">
        <v>8.59436676621999</v>
      </c>
      <c r="G1470" s="20" t="n">
        <f aca="false">9-F1470</f>
        <v>0.405633233780009</v>
      </c>
      <c r="H1470" s="20" t="n">
        <f aca="false">IF(G1470&gt;=1,G1470,0)</f>
        <v>0</v>
      </c>
      <c r="I1470" s="5" t="s">
        <v>75</v>
      </c>
      <c r="J1470" s="5" t="s">
        <v>2043</v>
      </c>
    </row>
    <row r="1471" customFormat="false" ht="15" hidden="false" customHeight="false" outlineLevel="0" collapsed="false">
      <c r="A1471" s="5" t="s">
        <v>227</v>
      </c>
      <c r="B1471" s="5" t="s">
        <v>172</v>
      </c>
      <c r="C1471" s="5" t="n">
        <v>56</v>
      </c>
      <c r="D1471" s="5" t="s">
        <v>2042</v>
      </c>
      <c r="E1471" s="5" t="n">
        <v>3</v>
      </c>
      <c r="F1471" s="20" t="n">
        <v>8.59436676621999</v>
      </c>
      <c r="G1471" s="20" t="n">
        <f aca="false">9-F1471</f>
        <v>0.405633233780014</v>
      </c>
      <c r="H1471" s="20" t="n">
        <f aca="false">IF(G1471&gt;=1,G1471,0)</f>
        <v>0</v>
      </c>
      <c r="I1471" s="5" t="s">
        <v>75</v>
      </c>
      <c r="J1471" s="5" t="s">
        <v>2044</v>
      </c>
    </row>
    <row r="1472" customFormat="false" ht="15" hidden="false" customHeight="false" outlineLevel="0" collapsed="false">
      <c r="A1472" s="5" t="s">
        <v>227</v>
      </c>
      <c r="B1472" s="5" t="s">
        <v>172</v>
      </c>
      <c r="C1472" s="5" t="n">
        <v>57</v>
      </c>
      <c r="D1472" s="5" t="s">
        <v>2045</v>
      </c>
      <c r="E1472" s="5" t="n">
        <v>2</v>
      </c>
      <c r="F1472" s="20" t="n">
        <v>6.62194961130907</v>
      </c>
      <c r="G1472" s="20" t="n">
        <f aca="false">9-F1472</f>
        <v>2.37805038869093</v>
      </c>
      <c r="H1472" s="20" t="n">
        <f aca="false">IF(G1472&gt;=1,G1472,0)</f>
        <v>2.37805038869093</v>
      </c>
      <c r="I1472" s="5" t="s">
        <v>75</v>
      </c>
      <c r="J1472" s="5" t="s">
        <v>2046</v>
      </c>
    </row>
    <row r="1473" customFormat="false" ht="15" hidden="false" customHeight="false" outlineLevel="0" collapsed="false">
      <c r="A1473" s="5" t="s">
        <v>227</v>
      </c>
      <c r="B1473" s="5" t="s">
        <v>172</v>
      </c>
      <c r="C1473" s="5" t="n">
        <v>58</v>
      </c>
      <c r="D1473" s="5" t="s">
        <v>1475</v>
      </c>
      <c r="E1473" s="5" t="n">
        <v>1</v>
      </c>
      <c r="F1473" s="20" t="n">
        <v>5.32285000000001</v>
      </c>
      <c r="G1473" s="20" t="n">
        <f aca="false">9-F1473</f>
        <v>3.67714999999999</v>
      </c>
      <c r="H1473" s="20" t="n">
        <f aca="false">IF(G1473&gt;=1,G1473,0)</f>
        <v>3.67714999999999</v>
      </c>
      <c r="I1473" s="5" t="s">
        <v>75</v>
      </c>
      <c r="J1473" s="5" t="s">
        <v>2047</v>
      </c>
    </row>
    <row r="1474" customFormat="false" ht="15" hidden="false" customHeight="false" outlineLevel="0" collapsed="false">
      <c r="A1474" s="5" t="s">
        <v>227</v>
      </c>
      <c r="B1474" s="5" t="s">
        <v>172</v>
      </c>
      <c r="C1474" s="5" t="n">
        <v>59</v>
      </c>
      <c r="D1474" s="5" t="s">
        <v>1475</v>
      </c>
      <c r="E1474" s="5" t="n">
        <v>1</v>
      </c>
      <c r="F1474" s="20" t="n">
        <v>5.32285000000001</v>
      </c>
      <c r="G1474" s="20" t="n">
        <f aca="false">9-F1474</f>
        <v>3.67714999999999</v>
      </c>
      <c r="H1474" s="20" t="n">
        <f aca="false">IF(G1474&gt;=1,G1474,0)</f>
        <v>3.67714999999999</v>
      </c>
      <c r="I1474" s="5" t="s">
        <v>75</v>
      </c>
      <c r="J1474" s="5" t="s">
        <v>2048</v>
      </c>
    </row>
    <row r="1475" customFormat="false" ht="15" hidden="false" customHeight="false" outlineLevel="0" collapsed="false">
      <c r="A1475" s="5" t="s">
        <v>227</v>
      </c>
      <c r="B1475" s="5" t="s">
        <v>172</v>
      </c>
      <c r="C1475" s="5" t="n">
        <v>60</v>
      </c>
      <c r="D1475" s="5" t="s">
        <v>1475</v>
      </c>
      <c r="E1475" s="5" t="n">
        <v>1</v>
      </c>
      <c r="F1475" s="20" t="n">
        <v>5.32285</v>
      </c>
      <c r="G1475" s="20" t="n">
        <f aca="false">9-F1475</f>
        <v>3.67715</v>
      </c>
      <c r="H1475" s="20" t="n">
        <f aca="false">IF(G1475&gt;=1,G1475,0)</f>
        <v>3.67715</v>
      </c>
      <c r="I1475" s="5" t="s">
        <v>75</v>
      </c>
      <c r="J1475" s="5" t="s">
        <v>2049</v>
      </c>
    </row>
    <row r="1476" customFormat="false" ht="15" hidden="false" customHeight="false" outlineLevel="0" collapsed="false">
      <c r="A1476" s="5" t="s">
        <v>227</v>
      </c>
      <c r="B1476" s="5" t="s">
        <v>172</v>
      </c>
      <c r="C1476" s="5" t="n">
        <v>61</v>
      </c>
      <c r="D1476" s="5" t="s">
        <v>1475</v>
      </c>
      <c r="E1476" s="5" t="n">
        <v>1</v>
      </c>
      <c r="F1476" s="20" t="n">
        <v>5.32285</v>
      </c>
      <c r="G1476" s="20" t="n">
        <f aca="false">9-F1476</f>
        <v>3.67715</v>
      </c>
      <c r="H1476" s="20" t="n">
        <f aca="false">IF(G1476&gt;=1,G1476,0)</f>
        <v>3.67715</v>
      </c>
      <c r="I1476" s="5" t="s">
        <v>75</v>
      </c>
      <c r="J1476" s="5" t="s">
        <v>2050</v>
      </c>
    </row>
    <row r="1477" customFormat="false" ht="15" hidden="false" customHeight="false" outlineLevel="0" collapsed="false">
      <c r="A1477" s="5" t="s">
        <v>227</v>
      </c>
      <c r="B1477" s="5" t="s">
        <v>172</v>
      </c>
      <c r="C1477" s="5" t="n">
        <v>62</v>
      </c>
      <c r="D1477" s="5" t="s">
        <v>1480</v>
      </c>
      <c r="E1477" s="5" t="n">
        <v>1</v>
      </c>
      <c r="F1477" s="20" t="n">
        <v>5.21897480565453</v>
      </c>
      <c r="G1477" s="20" t="n">
        <f aca="false">9-F1477</f>
        <v>3.78102519434547</v>
      </c>
      <c r="H1477" s="20" t="n">
        <f aca="false">IF(G1477&gt;=1,G1477,0)</f>
        <v>3.78102519434547</v>
      </c>
      <c r="I1477" s="5" t="s">
        <v>75</v>
      </c>
      <c r="J1477" s="5" t="s">
        <v>2051</v>
      </c>
    </row>
    <row r="1478" customFormat="false" ht="15" hidden="false" customHeight="false" outlineLevel="0" collapsed="false">
      <c r="A1478" s="5" t="s">
        <v>227</v>
      </c>
      <c r="B1478" s="5" t="s">
        <v>172</v>
      </c>
      <c r="C1478" s="5" t="n">
        <v>63</v>
      </c>
      <c r="D1478" s="5" t="s">
        <v>1484</v>
      </c>
      <c r="E1478" s="5" t="n">
        <v>1</v>
      </c>
      <c r="F1478" s="20" t="n">
        <v>5.17285000000004</v>
      </c>
      <c r="G1478" s="20" t="n">
        <f aca="false">9-F1478</f>
        <v>3.82714999999996</v>
      </c>
      <c r="H1478" s="20" t="n">
        <f aca="false">IF(G1478&gt;=1,G1478,0)</f>
        <v>3.82714999999996</v>
      </c>
      <c r="I1478" s="5" t="s">
        <v>75</v>
      </c>
      <c r="J1478" s="5" t="s">
        <v>2052</v>
      </c>
    </row>
    <row r="1479" customFormat="false" ht="15" hidden="false" customHeight="false" outlineLevel="0" collapsed="false">
      <c r="A1479" s="5" t="s">
        <v>227</v>
      </c>
      <c r="B1479" s="5" t="s">
        <v>172</v>
      </c>
      <c r="C1479" s="5" t="n">
        <v>64</v>
      </c>
      <c r="D1479" s="5" t="s">
        <v>1484</v>
      </c>
      <c r="E1479" s="5" t="n">
        <v>1</v>
      </c>
      <c r="F1479" s="20" t="n">
        <v>5.17285000000004</v>
      </c>
      <c r="G1479" s="20" t="n">
        <f aca="false">9-F1479</f>
        <v>3.82714999999996</v>
      </c>
      <c r="H1479" s="20" t="n">
        <f aca="false">IF(G1479&gt;=1,G1479,0)</f>
        <v>3.82714999999996</v>
      </c>
      <c r="I1479" s="5" t="s">
        <v>75</v>
      </c>
      <c r="J1479" s="5" t="s">
        <v>2053</v>
      </c>
    </row>
    <row r="1480" customFormat="false" ht="15" hidden="false" customHeight="false" outlineLevel="0" collapsed="false">
      <c r="A1480" s="5" t="s">
        <v>227</v>
      </c>
      <c r="B1480" s="5" t="s">
        <v>172</v>
      </c>
      <c r="C1480" s="5" t="n">
        <v>65</v>
      </c>
      <c r="D1480" s="5" t="s">
        <v>1487</v>
      </c>
      <c r="E1480" s="5" t="n">
        <v>2</v>
      </c>
      <c r="F1480" s="20" t="n">
        <v>8.98541676622001</v>
      </c>
      <c r="G1480" s="20" t="n">
        <f aca="false">9-F1480</f>
        <v>0.0145832337799874</v>
      </c>
      <c r="H1480" s="20" t="n">
        <f aca="false">IF(G1480&gt;=1,G1480,0)</f>
        <v>0</v>
      </c>
      <c r="I1480" s="5" t="s">
        <v>75</v>
      </c>
      <c r="J1480" s="5" t="s">
        <v>2054</v>
      </c>
    </row>
    <row r="1481" customFormat="false" ht="15" hidden="false" customHeight="false" outlineLevel="0" collapsed="false">
      <c r="A1481" s="5" t="s">
        <v>227</v>
      </c>
      <c r="B1481" s="5" t="s">
        <v>172</v>
      </c>
      <c r="C1481" s="5" t="n">
        <v>66</v>
      </c>
      <c r="D1481" s="5" t="s">
        <v>1490</v>
      </c>
      <c r="E1481" s="5" t="n">
        <v>1</v>
      </c>
      <c r="F1481" s="20" t="n">
        <v>4.88954196056548</v>
      </c>
      <c r="G1481" s="20" t="n">
        <f aca="false">9-F1481</f>
        <v>4.11045803943452</v>
      </c>
      <c r="H1481" s="20" t="n">
        <f aca="false">IF(G1481&gt;=1,G1481,0)</f>
        <v>4.11045803943452</v>
      </c>
      <c r="I1481" s="5" t="s">
        <v>75</v>
      </c>
      <c r="J1481" s="5" t="s">
        <v>2055</v>
      </c>
    </row>
    <row r="1482" customFormat="false" ht="15" hidden="false" customHeight="false" outlineLevel="0" collapsed="false">
      <c r="A1482" s="5" t="s">
        <v>227</v>
      </c>
      <c r="B1482" s="5" t="s">
        <v>172</v>
      </c>
      <c r="C1482" s="5" t="n">
        <v>67</v>
      </c>
      <c r="D1482" s="5" t="s">
        <v>1490</v>
      </c>
      <c r="E1482" s="5" t="n">
        <v>1</v>
      </c>
      <c r="F1482" s="20" t="n">
        <v>4.88954196056548</v>
      </c>
      <c r="G1482" s="20" t="n">
        <f aca="false">9-F1482</f>
        <v>4.11045803943452</v>
      </c>
      <c r="H1482" s="20" t="n">
        <f aca="false">IF(G1482&gt;=1,G1482,0)</f>
        <v>4.11045803943452</v>
      </c>
      <c r="I1482" s="5" t="s">
        <v>75</v>
      </c>
      <c r="J1482" s="5" t="s">
        <v>2056</v>
      </c>
    </row>
    <row r="1483" customFormat="false" ht="15" hidden="false" customHeight="false" outlineLevel="0" collapsed="false">
      <c r="A1483" s="5" t="s">
        <v>227</v>
      </c>
      <c r="B1483" s="5" t="s">
        <v>172</v>
      </c>
      <c r="C1483" s="5" t="n">
        <v>68</v>
      </c>
      <c r="D1483" s="5" t="s">
        <v>1490</v>
      </c>
      <c r="E1483" s="5" t="n">
        <v>1</v>
      </c>
      <c r="F1483" s="20" t="n">
        <v>4.88954196056548</v>
      </c>
      <c r="G1483" s="20" t="n">
        <f aca="false">9-F1483</f>
        <v>4.11045803943452</v>
      </c>
      <c r="H1483" s="20" t="n">
        <f aca="false">IF(G1483&gt;=1,G1483,0)</f>
        <v>4.11045803943452</v>
      </c>
      <c r="I1483" s="5" t="s">
        <v>75</v>
      </c>
      <c r="J1483" s="5" t="s">
        <v>2057</v>
      </c>
    </row>
    <row r="1484" customFormat="false" ht="15" hidden="false" customHeight="false" outlineLevel="0" collapsed="false">
      <c r="A1484" s="5" t="s">
        <v>227</v>
      </c>
      <c r="B1484" s="5" t="s">
        <v>172</v>
      </c>
      <c r="C1484" s="5" t="n">
        <v>69</v>
      </c>
      <c r="D1484" s="5" t="s">
        <v>2058</v>
      </c>
      <c r="E1484" s="5" t="n">
        <v>2</v>
      </c>
      <c r="F1484" s="20" t="n">
        <v>8.52169961130906</v>
      </c>
      <c r="G1484" s="20" t="n">
        <f aca="false">9-F1484</f>
        <v>0.478300388690936</v>
      </c>
      <c r="H1484" s="20" t="n">
        <f aca="false">IF(G1484&gt;=1,G1484,0)</f>
        <v>0</v>
      </c>
      <c r="I1484" s="5" t="s">
        <v>75</v>
      </c>
      <c r="J1484" s="5" t="s">
        <v>2059</v>
      </c>
    </row>
    <row r="1485" customFormat="false" ht="15" hidden="false" customHeight="false" outlineLevel="0" collapsed="false">
      <c r="A1485" s="5" t="s">
        <v>227</v>
      </c>
      <c r="B1485" s="5" t="s">
        <v>172</v>
      </c>
      <c r="C1485" s="5" t="n">
        <v>70</v>
      </c>
      <c r="D1485" s="5" t="s">
        <v>2060</v>
      </c>
      <c r="E1485" s="5" t="n">
        <v>2</v>
      </c>
      <c r="F1485" s="20" t="n">
        <v>8.43759961130906</v>
      </c>
      <c r="G1485" s="20" t="n">
        <f aca="false">9-F1485</f>
        <v>0.562400388690939</v>
      </c>
      <c r="H1485" s="20" t="n">
        <f aca="false">IF(G1485&gt;=1,G1485,0)</f>
        <v>0</v>
      </c>
      <c r="I1485" s="5" t="s">
        <v>75</v>
      </c>
      <c r="J1485" s="5" t="s">
        <v>2061</v>
      </c>
    </row>
    <row r="1486" customFormat="false" ht="15" hidden="false" customHeight="false" outlineLevel="0" collapsed="false">
      <c r="A1486" s="5" t="s">
        <v>227</v>
      </c>
      <c r="B1486" s="5" t="s">
        <v>172</v>
      </c>
      <c r="C1486" s="5" t="n">
        <v>71</v>
      </c>
      <c r="D1486" s="5" t="s">
        <v>2062</v>
      </c>
      <c r="E1486" s="5" t="n">
        <v>1</v>
      </c>
      <c r="F1486" s="20" t="n">
        <v>4.15367480565453</v>
      </c>
      <c r="G1486" s="20" t="n">
        <f aca="false">9-F1486</f>
        <v>4.84632519434547</v>
      </c>
      <c r="H1486" s="20" t="n">
        <f aca="false">IF(G1486&gt;=1,G1486,0)</f>
        <v>4.84632519434547</v>
      </c>
      <c r="I1486" s="5" t="s">
        <v>75</v>
      </c>
      <c r="J1486" s="5" t="s">
        <v>2063</v>
      </c>
    </row>
    <row r="1487" customFormat="false" ht="15" hidden="false" customHeight="false" outlineLevel="0" collapsed="false">
      <c r="A1487" s="5" t="s">
        <v>229</v>
      </c>
      <c r="B1487" s="5" t="s">
        <v>168</v>
      </c>
      <c r="C1487" s="5" t="n">
        <v>1</v>
      </c>
      <c r="D1487" s="5" t="s">
        <v>773</v>
      </c>
      <c r="E1487" s="5" t="n">
        <v>2</v>
      </c>
      <c r="F1487" s="20" t="n">
        <v>8.45646835012722</v>
      </c>
      <c r="G1487" s="20" t="n">
        <f aca="false">9-F1487</f>
        <v>0.543531649872783</v>
      </c>
      <c r="H1487" s="20" t="n">
        <f aca="false">IF(G1487&gt;=1,G1487,0)</f>
        <v>0</v>
      </c>
      <c r="I1487" s="5" t="s">
        <v>774</v>
      </c>
      <c r="J1487" s="5" t="s">
        <v>2064</v>
      </c>
    </row>
    <row r="1488" customFormat="false" ht="15" hidden="false" customHeight="false" outlineLevel="0" collapsed="false">
      <c r="A1488" s="5" t="s">
        <v>229</v>
      </c>
      <c r="B1488" s="5" t="s">
        <v>168</v>
      </c>
      <c r="C1488" s="5" t="n">
        <v>2</v>
      </c>
      <c r="D1488" s="5" t="s">
        <v>773</v>
      </c>
      <c r="E1488" s="5" t="n">
        <v>2</v>
      </c>
      <c r="F1488" s="20" t="n">
        <v>8.45646835012722</v>
      </c>
      <c r="G1488" s="20" t="n">
        <f aca="false">9-F1488</f>
        <v>0.543531649872783</v>
      </c>
      <c r="H1488" s="20" t="n">
        <f aca="false">IF(G1488&gt;=1,G1488,0)</f>
        <v>0</v>
      </c>
      <c r="I1488" s="5" t="s">
        <v>774</v>
      </c>
      <c r="J1488" s="5" t="s">
        <v>2065</v>
      </c>
    </row>
    <row r="1489" customFormat="false" ht="15" hidden="false" customHeight="false" outlineLevel="0" collapsed="false">
      <c r="A1489" s="5" t="s">
        <v>229</v>
      </c>
      <c r="B1489" s="5" t="s">
        <v>168</v>
      </c>
      <c r="C1489" s="5" t="n">
        <v>3</v>
      </c>
      <c r="D1489" s="5" t="s">
        <v>773</v>
      </c>
      <c r="E1489" s="5" t="n">
        <v>2</v>
      </c>
      <c r="F1489" s="20" t="n">
        <v>8.45646835012722</v>
      </c>
      <c r="G1489" s="20" t="n">
        <f aca="false">9-F1489</f>
        <v>0.543531649872783</v>
      </c>
      <c r="H1489" s="20" t="n">
        <f aca="false">IF(G1489&gt;=1,G1489,0)</f>
        <v>0</v>
      </c>
      <c r="I1489" s="5" t="s">
        <v>774</v>
      </c>
      <c r="J1489" s="5" t="s">
        <v>2066</v>
      </c>
    </row>
    <row r="1490" customFormat="false" ht="15" hidden="false" customHeight="false" outlineLevel="0" collapsed="false">
      <c r="A1490" s="5" t="s">
        <v>229</v>
      </c>
      <c r="B1490" s="5" t="s">
        <v>168</v>
      </c>
      <c r="C1490" s="5" t="n">
        <v>4</v>
      </c>
      <c r="D1490" s="5" t="s">
        <v>773</v>
      </c>
      <c r="E1490" s="5" t="n">
        <v>2</v>
      </c>
      <c r="F1490" s="20" t="n">
        <v>8.45646835012722</v>
      </c>
      <c r="G1490" s="20" t="n">
        <f aca="false">9-F1490</f>
        <v>0.543531649872783</v>
      </c>
      <c r="H1490" s="20" t="n">
        <f aca="false">IF(G1490&gt;=1,G1490,0)</f>
        <v>0</v>
      </c>
      <c r="I1490" s="5" t="s">
        <v>774</v>
      </c>
      <c r="J1490" s="5" t="s">
        <v>2067</v>
      </c>
    </row>
    <row r="1491" customFormat="false" ht="15" hidden="false" customHeight="false" outlineLevel="0" collapsed="false">
      <c r="A1491" s="5" t="s">
        <v>229</v>
      </c>
      <c r="B1491" s="5" t="s">
        <v>168</v>
      </c>
      <c r="C1491" s="5" t="n">
        <v>5</v>
      </c>
      <c r="D1491" s="5" t="s">
        <v>773</v>
      </c>
      <c r="E1491" s="5" t="n">
        <v>2</v>
      </c>
      <c r="F1491" s="20" t="n">
        <v>8.45646835012722</v>
      </c>
      <c r="G1491" s="20" t="n">
        <f aca="false">9-F1491</f>
        <v>0.543531649872783</v>
      </c>
      <c r="H1491" s="20" t="n">
        <f aca="false">IF(G1491&gt;=1,G1491,0)</f>
        <v>0</v>
      </c>
      <c r="I1491" s="5" t="s">
        <v>774</v>
      </c>
      <c r="J1491" s="5" t="s">
        <v>2068</v>
      </c>
    </row>
    <row r="1492" customFormat="false" ht="15" hidden="false" customHeight="false" outlineLevel="0" collapsed="false">
      <c r="A1492" s="5" t="s">
        <v>229</v>
      </c>
      <c r="B1492" s="5" t="s">
        <v>168</v>
      </c>
      <c r="C1492" s="5" t="n">
        <v>6</v>
      </c>
      <c r="D1492" s="5" t="s">
        <v>773</v>
      </c>
      <c r="E1492" s="5" t="n">
        <v>2</v>
      </c>
      <c r="F1492" s="20" t="n">
        <v>8.45646835012722</v>
      </c>
      <c r="G1492" s="20" t="n">
        <f aca="false">9-F1492</f>
        <v>0.543531649872783</v>
      </c>
      <c r="H1492" s="20" t="n">
        <f aca="false">IF(G1492&gt;=1,G1492,0)</f>
        <v>0</v>
      </c>
      <c r="I1492" s="5" t="s">
        <v>774</v>
      </c>
      <c r="J1492" s="5" t="s">
        <v>2069</v>
      </c>
    </row>
    <row r="1493" customFormat="false" ht="15" hidden="false" customHeight="false" outlineLevel="0" collapsed="false">
      <c r="A1493" s="5" t="s">
        <v>229</v>
      </c>
      <c r="B1493" s="5" t="s">
        <v>168</v>
      </c>
      <c r="C1493" s="5" t="n">
        <v>7</v>
      </c>
      <c r="D1493" s="5" t="s">
        <v>773</v>
      </c>
      <c r="E1493" s="5" t="n">
        <v>2</v>
      </c>
      <c r="F1493" s="20" t="n">
        <v>8.45646835012722</v>
      </c>
      <c r="G1493" s="20" t="n">
        <f aca="false">9-F1493</f>
        <v>0.543531649872783</v>
      </c>
      <c r="H1493" s="20" t="n">
        <f aca="false">IF(G1493&gt;=1,G1493,0)</f>
        <v>0</v>
      </c>
      <c r="I1493" s="5" t="s">
        <v>774</v>
      </c>
      <c r="J1493" s="5" t="s">
        <v>2070</v>
      </c>
    </row>
    <row r="1494" customFormat="false" ht="15" hidden="false" customHeight="false" outlineLevel="0" collapsed="false">
      <c r="A1494" s="5" t="s">
        <v>229</v>
      </c>
      <c r="B1494" s="5" t="s">
        <v>168</v>
      </c>
      <c r="C1494" s="5" t="n">
        <v>8</v>
      </c>
      <c r="D1494" s="5" t="s">
        <v>773</v>
      </c>
      <c r="E1494" s="5" t="n">
        <v>2</v>
      </c>
      <c r="F1494" s="20" t="n">
        <v>8.45646835012722</v>
      </c>
      <c r="G1494" s="20" t="n">
        <f aca="false">9-F1494</f>
        <v>0.543531649872783</v>
      </c>
      <c r="H1494" s="20" t="n">
        <f aca="false">IF(G1494&gt;=1,G1494,0)</f>
        <v>0</v>
      </c>
      <c r="I1494" s="5" t="s">
        <v>774</v>
      </c>
      <c r="J1494" s="5" t="s">
        <v>2071</v>
      </c>
    </row>
    <row r="1495" customFormat="false" ht="15" hidden="false" customHeight="false" outlineLevel="0" collapsed="false">
      <c r="A1495" s="5" t="s">
        <v>229</v>
      </c>
      <c r="B1495" s="5" t="s">
        <v>168</v>
      </c>
      <c r="C1495" s="5" t="n">
        <v>9</v>
      </c>
      <c r="D1495" s="5" t="s">
        <v>773</v>
      </c>
      <c r="E1495" s="5" t="n">
        <v>2</v>
      </c>
      <c r="F1495" s="20" t="n">
        <v>8.45646835012722</v>
      </c>
      <c r="G1495" s="20" t="n">
        <f aca="false">9-F1495</f>
        <v>0.543531649872783</v>
      </c>
      <c r="H1495" s="20" t="n">
        <f aca="false">IF(G1495&gt;=1,G1495,0)</f>
        <v>0</v>
      </c>
      <c r="I1495" s="5" t="s">
        <v>774</v>
      </c>
      <c r="J1495" s="5" t="s">
        <v>2072</v>
      </c>
    </row>
    <row r="1496" customFormat="false" ht="15" hidden="false" customHeight="false" outlineLevel="0" collapsed="false">
      <c r="A1496" s="5" t="s">
        <v>229</v>
      </c>
      <c r="B1496" s="5" t="s">
        <v>168</v>
      </c>
      <c r="C1496" s="5" t="n">
        <v>10</v>
      </c>
      <c r="D1496" s="5" t="s">
        <v>773</v>
      </c>
      <c r="E1496" s="5" t="n">
        <v>2</v>
      </c>
      <c r="F1496" s="20" t="n">
        <v>8.45646835012722</v>
      </c>
      <c r="G1496" s="20" t="n">
        <f aca="false">9-F1496</f>
        <v>0.543531649872783</v>
      </c>
      <c r="H1496" s="20" t="n">
        <f aca="false">IF(G1496&gt;=1,G1496,0)</f>
        <v>0</v>
      </c>
      <c r="I1496" s="5" t="s">
        <v>774</v>
      </c>
      <c r="J1496" s="5" t="s">
        <v>2073</v>
      </c>
    </row>
    <row r="1497" customFormat="false" ht="15" hidden="false" customHeight="false" outlineLevel="0" collapsed="false">
      <c r="A1497" s="5" t="s">
        <v>229</v>
      </c>
      <c r="B1497" s="5" t="s">
        <v>168</v>
      </c>
      <c r="C1497" s="5" t="n">
        <v>11</v>
      </c>
      <c r="D1497" s="5" t="s">
        <v>773</v>
      </c>
      <c r="E1497" s="5" t="n">
        <v>2</v>
      </c>
      <c r="F1497" s="20" t="n">
        <v>8.45646835012722</v>
      </c>
      <c r="G1497" s="20" t="n">
        <f aca="false">9-F1497</f>
        <v>0.543531649872783</v>
      </c>
      <c r="H1497" s="20" t="n">
        <f aca="false">IF(G1497&gt;=1,G1497,0)</f>
        <v>0</v>
      </c>
      <c r="I1497" s="5" t="s">
        <v>774</v>
      </c>
      <c r="J1497" s="5" t="s">
        <v>2074</v>
      </c>
    </row>
    <row r="1498" customFormat="false" ht="15" hidden="false" customHeight="false" outlineLevel="0" collapsed="false">
      <c r="A1498" s="5" t="s">
        <v>229</v>
      </c>
      <c r="B1498" s="5" t="s">
        <v>168</v>
      </c>
      <c r="C1498" s="5" t="n">
        <v>12</v>
      </c>
      <c r="D1498" s="5" t="s">
        <v>773</v>
      </c>
      <c r="E1498" s="5" t="n">
        <v>2</v>
      </c>
      <c r="F1498" s="20" t="n">
        <v>8.45646835012722</v>
      </c>
      <c r="G1498" s="20" t="n">
        <f aca="false">9-F1498</f>
        <v>0.543531649872783</v>
      </c>
      <c r="H1498" s="20" t="n">
        <f aca="false">IF(G1498&gt;=1,G1498,0)</f>
        <v>0</v>
      </c>
      <c r="I1498" s="5" t="s">
        <v>774</v>
      </c>
      <c r="J1498" s="5" t="s">
        <v>2075</v>
      </c>
    </row>
    <row r="1499" customFormat="false" ht="15" hidden="false" customHeight="false" outlineLevel="0" collapsed="false">
      <c r="A1499" s="5" t="s">
        <v>229</v>
      </c>
      <c r="B1499" s="5" t="s">
        <v>168</v>
      </c>
      <c r="C1499" s="5" t="n">
        <v>13</v>
      </c>
      <c r="D1499" s="5" t="s">
        <v>773</v>
      </c>
      <c r="E1499" s="5" t="n">
        <v>2</v>
      </c>
      <c r="F1499" s="20" t="n">
        <v>8.45646835012722</v>
      </c>
      <c r="G1499" s="20" t="n">
        <f aca="false">9-F1499</f>
        <v>0.543531649872785</v>
      </c>
      <c r="H1499" s="20" t="n">
        <f aca="false">IF(G1499&gt;=1,G1499,0)</f>
        <v>0</v>
      </c>
      <c r="I1499" s="5" t="s">
        <v>774</v>
      </c>
      <c r="J1499" s="5" t="s">
        <v>2076</v>
      </c>
    </row>
    <row r="1500" customFormat="false" ht="15" hidden="false" customHeight="false" outlineLevel="0" collapsed="false">
      <c r="A1500" s="5" t="s">
        <v>229</v>
      </c>
      <c r="B1500" s="5" t="s">
        <v>168</v>
      </c>
      <c r="C1500" s="5" t="n">
        <v>14</v>
      </c>
      <c r="D1500" s="5" t="s">
        <v>773</v>
      </c>
      <c r="E1500" s="5" t="n">
        <v>2</v>
      </c>
      <c r="F1500" s="20" t="n">
        <v>8.45646835012722</v>
      </c>
      <c r="G1500" s="20" t="n">
        <f aca="false">9-F1500</f>
        <v>0.543531649872785</v>
      </c>
      <c r="H1500" s="20" t="n">
        <f aca="false">IF(G1500&gt;=1,G1500,0)</f>
        <v>0</v>
      </c>
      <c r="I1500" s="5" t="s">
        <v>774</v>
      </c>
      <c r="J1500" s="5" t="s">
        <v>2077</v>
      </c>
    </row>
    <row r="1501" customFormat="false" ht="15" hidden="false" customHeight="false" outlineLevel="0" collapsed="false">
      <c r="A1501" s="5" t="s">
        <v>229</v>
      </c>
      <c r="B1501" s="5" t="s">
        <v>168</v>
      </c>
      <c r="C1501" s="5" t="n">
        <v>15</v>
      </c>
      <c r="D1501" s="5" t="s">
        <v>773</v>
      </c>
      <c r="E1501" s="5" t="n">
        <v>2</v>
      </c>
      <c r="F1501" s="20" t="n">
        <v>8.45646835012722</v>
      </c>
      <c r="G1501" s="20" t="n">
        <f aca="false">9-F1501</f>
        <v>0.543531649872785</v>
      </c>
      <c r="H1501" s="20" t="n">
        <f aca="false">IF(G1501&gt;=1,G1501,0)</f>
        <v>0</v>
      </c>
      <c r="I1501" s="5" t="s">
        <v>774</v>
      </c>
      <c r="J1501" s="5" t="s">
        <v>2078</v>
      </c>
    </row>
    <row r="1502" customFormat="false" ht="15" hidden="false" customHeight="false" outlineLevel="0" collapsed="false">
      <c r="A1502" s="5" t="s">
        <v>229</v>
      </c>
      <c r="B1502" s="5" t="s">
        <v>168</v>
      </c>
      <c r="C1502" s="5" t="n">
        <v>16</v>
      </c>
      <c r="D1502" s="5" t="s">
        <v>773</v>
      </c>
      <c r="E1502" s="5" t="n">
        <v>2</v>
      </c>
      <c r="F1502" s="20" t="n">
        <v>8.45646835012722</v>
      </c>
      <c r="G1502" s="20" t="n">
        <f aca="false">9-F1502</f>
        <v>0.543531649872785</v>
      </c>
      <c r="H1502" s="20" t="n">
        <f aca="false">IF(G1502&gt;=1,G1502,0)</f>
        <v>0</v>
      </c>
      <c r="I1502" s="5" t="s">
        <v>774</v>
      </c>
      <c r="J1502" s="5" t="s">
        <v>2079</v>
      </c>
    </row>
    <row r="1503" customFormat="false" ht="15" hidden="false" customHeight="false" outlineLevel="0" collapsed="false">
      <c r="A1503" s="5" t="s">
        <v>229</v>
      </c>
      <c r="B1503" s="5" t="s">
        <v>168</v>
      </c>
      <c r="C1503" s="5" t="n">
        <v>17</v>
      </c>
      <c r="D1503" s="5" t="s">
        <v>773</v>
      </c>
      <c r="E1503" s="5" t="n">
        <v>2</v>
      </c>
      <c r="F1503" s="20" t="n">
        <v>8.45646835012721</v>
      </c>
      <c r="G1503" s="20" t="n">
        <f aca="false">9-F1503</f>
        <v>0.543531649872787</v>
      </c>
      <c r="H1503" s="20" t="n">
        <f aca="false">IF(G1503&gt;=1,G1503,0)</f>
        <v>0</v>
      </c>
      <c r="I1503" s="5" t="s">
        <v>774</v>
      </c>
      <c r="J1503" s="5" t="s">
        <v>2080</v>
      </c>
    </row>
    <row r="1504" customFormat="false" ht="15" hidden="false" customHeight="false" outlineLevel="0" collapsed="false">
      <c r="A1504" s="5" t="s">
        <v>229</v>
      </c>
      <c r="B1504" s="5" t="s">
        <v>168</v>
      </c>
      <c r="C1504" s="5" t="n">
        <v>18</v>
      </c>
      <c r="D1504" s="5" t="s">
        <v>792</v>
      </c>
      <c r="E1504" s="5" t="n">
        <v>3</v>
      </c>
      <c r="F1504" s="20" t="n">
        <v>8.78793670025443</v>
      </c>
      <c r="G1504" s="20" t="n">
        <f aca="false">9-F1504</f>
        <v>0.212063299745571</v>
      </c>
      <c r="H1504" s="20" t="n">
        <f aca="false">IF(G1504&gt;=1,G1504,0)</f>
        <v>0</v>
      </c>
      <c r="I1504" s="5" t="s">
        <v>774</v>
      </c>
      <c r="J1504" s="5" t="s">
        <v>2081</v>
      </c>
    </row>
    <row r="1505" customFormat="false" ht="15" hidden="false" customHeight="false" outlineLevel="0" collapsed="false">
      <c r="A1505" s="5" t="s">
        <v>229</v>
      </c>
      <c r="B1505" s="5" t="s">
        <v>168</v>
      </c>
      <c r="C1505" s="5" t="n">
        <v>19</v>
      </c>
      <c r="D1505" s="5" t="s">
        <v>794</v>
      </c>
      <c r="E1505" s="5" t="n">
        <v>3</v>
      </c>
      <c r="F1505" s="20" t="n">
        <v>8.78793670025443</v>
      </c>
      <c r="G1505" s="20" t="n">
        <f aca="false">9-F1505</f>
        <v>0.212063299745575</v>
      </c>
      <c r="H1505" s="20" t="n">
        <f aca="false">IF(G1505&gt;=1,G1505,0)</f>
        <v>0</v>
      </c>
      <c r="I1505" s="5" t="s">
        <v>774</v>
      </c>
      <c r="J1505" s="5" t="s">
        <v>2082</v>
      </c>
    </row>
    <row r="1506" customFormat="false" ht="15" hidden="false" customHeight="false" outlineLevel="0" collapsed="false">
      <c r="A1506" s="5" t="s">
        <v>229</v>
      </c>
      <c r="B1506" s="5" t="s">
        <v>168</v>
      </c>
      <c r="C1506" s="5" t="n">
        <v>20</v>
      </c>
      <c r="D1506" s="5" t="s">
        <v>794</v>
      </c>
      <c r="E1506" s="5" t="n">
        <v>3</v>
      </c>
      <c r="F1506" s="20" t="n">
        <v>8.78793670025442</v>
      </c>
      <c r="G1506" s="20" t="n">
        <f aca="false">9-F1506</f>
        <v>0.212063299745576</v>
      </c>
      <c r="H1506" s="20" t="n">
        <f aca="false">IF(G1506&gt;=1,G1506,0)</f>
        <v>0</v>
      </c>
      <c r="I1506" s="5" t="s">
        <v>774</v>
      </c>
      <c r="J1506" s="5" t="s">
        <v>2083</v>
      </c>
    </row>
    <row r="1507" customFormat="false" ht="15" hidden="false" customHeight="false" outlineLevel="0" collapsed="false">
      <c r="A1507" s="5" t="s">
        <v>229</v>
      </c>
      <c r="B1507" s="5" t="s">
        <v>168</v>
      </c>
      <c r="C1507" s="5" t="n">
        <v>21</v>
      </c>
      <c r="D1507" s="5" t="s">
        <v>794</v>
      </c>
      <c r="E1507" s="5" t="n">
        <v>3</v>
      </c>
      <c r="F1507" s="20" t="n">
        <v>8.78793670025442</v>
      </c>
      <c r="G1507" s="20" t="n">
        <f aca="false">9-F1507</f>
        <v>0.212063299745576</v>
      </c>
      <c r="H1507" s="20" t="n">
        <f aca="false">IF(G1507&gt;=1,G1507,0)</f>
        <v>0</v>
      </c>
      <c r="I1507" s="5" t="s">
        <v>774</v>
      </c>
      <c r="J1507" s="5" t="s">
        <v>2084</v>
      </c>
    </row>
    <row r="1508" customFormat="false" ht="15" hidden="false" customHeight="false" outlineLevel="0" collapsed="false">
      <c r="A1508" s="5" t="s">
        <v>229</v>
      </c>
      <c r="B1508" s="5" t="s">
        <v>168</v>
      </c>
      <c r="C1508" s="5" t="n">
        <v>22</v>
      </c>
      <c r="D1508" s="5" t="s">
        <v>794</v>
      </c>
      <c r="E1508" s="5" t="n">
        <v>3</v>
      </c>
      <c r="F1508" s="20" t="n">
        <v>8.78793670025442</v>
      </c>
      <c r="G1508" s="20" t="n">
        <f aca="false">9-F1508</f>
        <v>0.212063299745576</v>
      </c>
      <c r="H1508" s="20" t="n">
        <f aca="false">IF(G1508&gt;=1,G1508,0)</f>
        <v>0</v>
      </c>
      <c r="I1508" s="5" t="s">
        <v>774</v>
      </c>
      <c r="J1508" s="5" t="s">
        <v>2085</v>
      </c>
    </row>
    <row r="1509" customFormat="false" ht="15" hidden="false" customHeight="false" outlineLevel="0" collapsed="false">
      <c r="A1509" s="5" t="s">
        <v>229</v>
      </c>
      <c r="B1509" s="5" t="s">
        <v>168</v>
      </c>
      <c r="C1509" s="5" t="n">
        <v>23</v>
      </c>
      <c r="D1509" s="5" t="s">
        <v>794</v>
      </c>
      <c r="E1509" s="5" t="n">
        <v>3</v>
      </c>
      <c r="F1509" s="20" t="n">
        <v>8.78793670025442</v>
      </c>
      <c r="G1509" s="20" t="n">
        <f aca="false">9-F1509</f>
        <v>0.212063299745576</v>
      </c>
      <c r="H1509" s="20" t="n">
        <f aca="false">IF(G1509&gt;=1,G1509,0)</f>
        <v>0</v>
      </c>
      <c r="I1509" s="5" t="s">
        <v>774</v>
      </c>
      <c r="J1509" s="5" t="s">
        <v>2086</v>
      </c>
    </row>
    <row r="1510" customFormat="false" ht="15" hidden="false" customHeight="false" outlineLevel="0" collapsed="false">
      <c r="A1510" s="5" t="s">
        <v>229</v>
      </c>
      <c r="B1510" s="5" t="s">
        <v>168</v>
      </c>
      <c r="C1510" s="5" t="n">
        <v>24</v>
      </c>
      <c r="D1510" s="5" t="s">
        <v>794</v>
      </c>
      <c r="E1510" s="5" t="n">
        <v>3</v>
      </c>
      <c r="F1510" s="20" t="n">
        <v>8.78793670025442</v>
      </c>
      <c r="G1510" s="20" t="n">
        <f aca="false">9-F1510</f>
        <v>0.212063299745576</v>
      </c>
      <c r="H1510" s="20" t="n">
        <f aca="false">IF(G1510&gt;=1,G1510,0)</f>
        <v>0</v>
      </c>
      <c r="I1510" s="5" t="s">
        <v>774</v>
      </c>
      <c r="J1510" s="5" t="s">
        <v>2087</v>
      </c>
    </row>
    <row r="1511" customFormat="false" ht="15" hidden="false" customHeight="false" outlineLevel="0" collapsed="false">
      <c r="A1511" s="5" t="s">
        <v>229</v>
      </c>
      <c r="B1511" s="5" t="s">
        <v>168</v>
      </c>
      <c r="C1511" s="5" t="n">
        <v>25</v>
      </c>
      <c r="D1511" s="5" t="s">
        <v>794</v>
      </c>
      <c r="E1511" s="5" t="n">
        <v>3</v>
      </c>
      <c r="F1511" s="20" t="n">
        <v>8.78793670025442</v>
      </c>
      <c r="G1511" s="20" t="n">
        <f aca="false">9-F1511</f>
        <v>0.212063299745576</v>
      </c>
      <c r="H1511" s="20" t="n">
        <f aca="false">IF(G1511&gt;=1,G1511,0)</f>
        <v>0</v>
      </c>
      <c r="I1511" s="5" t="s">
        <v>774</v>
      </c>
      <c r="J1511" s="5" t="s">
        <v>2088</v>
      </c>
    </row>
    <row r="1512" customFormat="false" ht="15" hidden="false" customHeight="false" outlineLevel="0" collapsed="false">
      <c r="A1512" s="5" t="s">
        <v>229</v>
      </c>
      <c r="B1512" s="5" t="s">
        <v>168</v>
      </c>
      <c r="C1512" s="5" t="n">
        <v>26</v>
      </c>
      <c r="D1512" s="5" t="s">
        <v>794</v>
      </c>
      <c r="E1512" s="5" t="n">
        <v>3</v>
      </c>
      <c r="F1512" s="20" t="n">
        <v>8.78793670025442</v>
      </c>
      <c r="G1512" s="20" t="n">
        <f aca="false">9-F1512</f>
        <v>0.212063299745576</v>
      </c>
      <c r="H1512" s="20" t="n">
        <f aca="false">IF(G1512&gt;=1,G1512,0)</f>
        <v>0</v>
      </c>
      <c r="I1512" s="5" t="s">
        <v>774</v>
      </c>
      <c r="J1512" s="5" t="s">
        <v>2089</v>
      </c>
    </row>
    <row r="1513" customFormat="false" ht="15" hidden="false" customHeight="false" outlineLevel="0" collapsed="false">
      <c r="A1513" s="5" t="s">
        <v>229</v>
      </c>
      <c r="B1513" s="5" t="s">
        <v>168</v>
      </c>
      <c r="C1513" s="5" t="n">
        <v>27</v>
      </c>
      <c r="D1513" s="5" t="s">
        <v>794</v>
      </c>
      <c r="E1513" s="5" t="n">
        <v>3</v>
      </c>
      <c r="F1513" s="20" t="n">
        <v>8.78793670025442</v>
      </c>
      <c r="G1513" s="20" t="n">
        <f aca="false">9-F1513</f>
        <v>0.212063299745576</v>
      </c>
      <c r="H1513" s="20" t="n">
        <f aca="false">IF(G1513&gt;=1,G1513,0)</f>
        <v>0</v>
      </c>
      <c r="I1513" s="5" t="s">
        <v>774</v>
      </c>
      <c r="J1513" s="5" t="s">
        <v>2090</v>
      </c>
    </row>
    <row r="1514" customFormat="false" ht="15" hidden="false" customHeight="false" outlineLevel="0" collapsed="false">
      <c r="A1514" s="5" t="s">
        <v>229</v>
      </c>
      <c r="B1514" s="5" t="s">
        <v>168</v>
      </c>
      <c r="C1514" s="5" t="n">
        <v>28</v>
      </c>
      <c r="D1514" s="5" t="s">
        <v>794</v>
      </c>
      <c r="E1514" s="5" t="n">
        <v>3</v>
      </c>
      <c r="F1514" s="20" t="n">
        <v>8.78793670025442</v>
      </c>
      <c r="G1514" s="20" t="n">
        <f aca="false">9-F1514</f>
        <v>0.212063299745576</v>
      </c>
      <c r="H1514" s="20" t="n">
        <f aca="false">IF(G1514&gt;=1,G1514,0)</f>
        <v>0</v>
      </c>
      <c r="I1514" s="5" t="s">
        <v>774</v>
      </c>
      <c r="J1514" s="5" t="s">
        <v>2091</v>
      </c>
    </row>
    <row r="1515" customFormat="false" ht="15" hidden="false" customHeight="false" outlineLevel="0" collapsed="false">
      <c r="A1515" s="5" t="s">
        <v>229</v>
      </c>
      <c r="B1515" s="5" t="s">
        <v>168</v>
      </c>
      <c r="C1515" s="5" t="n">
        <v>29</v>
      </c>
      <c r="D1515" s="5" t="s">
        <v>794</v>
      </c>
      <c r="E1515" s="5" t="n">
        <v>3</v>
      </c>
      <c r="F1515" s="20" t="n">
        <v>8.78793670025442</v>
      </c>
      <c r="G1515" s="20" t="n">
        <f aca="false">9-F1515</f>
        <v>0.212063299745576</v>
      </c>
      <c r="H1515" s="20" t="n">
        <f aca="false">IF(G1515&gt;=1,G1515,0)</f>
        <v>0</v>
      </c>
      <c r="I1515" s="5" t="s">
        <v>774</v>
      </c>
      <c r="J1515" s="5" t="s">
        <v>2092</v>
      </c>
    </row>
    <row r="1516" customFormat="false" ht="15" hidden="false" customHeight="false" outlineLevel="0" collapsed="false">
      <c r="A1516" s="5" t="s">
        <v>229</v>
      </c>
      <c r="B1516" s="5" t="s">
        <v>168</v>
      </c>
      <c r="C1516" s="5" t="n">
        <v>30</v>
      </c>
      <c r="D1516" s="5" t="s">
        <v>794</v>
      </c>
      <c r="E1516" s="5" t="n">
        <v>3</v>
      </c>
      <c r="F1516" s="20" t="n">
        <v>8.78793670025442</v>
      </c>
      <c r="G1516" s="20" t="n">
        <f aca="false">9-F1516</f>
        <v>0.212063299745576</v>
      </c>
      <c r="H1516" s="20" t="n">
        <f aca="false">IF(G1516&gt;=1,G1516,0)</f>
        <v>0</v>
      </c>
      <c r="I1516" s="5" t="s">
        <v>774</v>
      </c>
      <c r="J1516" s="5" t="s">
        <v>2093</v>
      </c>
    </row>
    <row r="1517" customFormat="false" ht="15" hidden="false" customHeight="false" outlineLevel="0" collapsed="false">
      <c r="A1517" s="5" t="s">
        <v>229</v>
      </c>
      <c r="B1517" s="5" t="s">
        <v>168</v>
      </c>
      <c r="C1517" s="5" t="n">
        <v>31</v>
      </c>
      <c r="D1517" s="5" t="s">
        <v>794</v>
      </c>
      <c r="E1517" s="5" t="n">
        <v>3</v>
      </c>
      <c r="F1517" s="20" t="n">
        <v>8.78793670025442</v>
      </c>
      <c r="G1517" s="20" t="n">
        <f aca="false">9-F1517</f>
        <v>0.212063299745576</v>
      </c>
      <c r="H1517" s="20" t="n">
        <f aca="false">IF(G1517&gt;=1,G1517,0)</f>
        <v>0</v>
      </c>
      <c r="I1517" s="5" t="s">
        <v>774</v>
      </c>
      <c r="J1517" s="5" t="s">
        <v>2094</v>
      </c>
    </row>
    <row r="1518" customFormat="false" ht="15" hidden="false" customHeight="false" outlineLevel="0" collapsed="false">
      <c r="A1518" s="5" t="s">
        <v>229</v>
      </c>
      <c r="B1518" s="5" t="s">
        <v>168</v>
      </c>
      <c r="C1518" s="5" t="n">
        <v>32</v>
      </c>
      <c r="D1518" s="5" t="s">
        <v>794</v>
      </c>
      <c r="E1518" s="5" t="n">
        <v>3</v>
      </c>
      <c r="F1518" s="20" t="n">
        <v>8.78793670025442</v>
      </c>
      <c r="G1518" s="20" t="n">
        <f aca="false">9-F1518</f>
        <v>0.212063299745576</v>
      </c>
      <c r="H1518" s="20" t="n">
        <f aca="false">IF(G1518&gt;=1,G1518,0)</f>
        <v>0</v>
      </c>
      <c r="I1518" s="5" t="s">
        <v>774</v>
      </c>
      <c r="J1518" s="5" t="s">
        <v>2095</v>
      </c>
    </row>
    <row r="1519" customFormat="false" ht="15" hidden="false" customHeight="false" outlineLevel="0" collapsed="false">
      <c r="A1519" s="5" t="s">
        <v>229</v>
      </c>
      <c r="B1519" s="5" t="s">
        <v>168</v>
      </c>
      <c r="C1519" s="5" t="n">
        <v>33</v>
      </c>
      <c r="D1519" s="5" t="s">
        <v>794</v>
      </c>
      <c r="E1519" s="5" t="n">
        <v>3</v>
      </c>
      <c r="F1519" s="20" t="n">
        <v>8.78793670025442</v>
      </c>
      <c r="G1519" s="20" t="n">
        <f aca="false">9-F1519</f>
        <v>0.212063299745576</v>
      </c>
      <c r="H1519" s="20" t="n">
        <f aca="false">IF(G1519&gt;=1,G1519,0)</f>
        <v>0</v>
      </c>
      <c r="I1519" s="5" t="s">
        <v>774</v>
      </c>
      <c r="J1519" s="5" t="s">
        <v>2096</v>
      </c>
    </row>
    <row r="1520" customFormat="false" ht="15" hidden="false" customHeight="false" outlineLevel="0" collapsed="false">
      <c r="A1520" s="5" t="s">
        <v>229</v>
      </c>
      <c r="B1520" s="5" t="s">
        <v>168</v>
      </c>
      <c r="C1520" s="5" t="n">
        <v>34</v>
      </c>
      <c r="D1520" s="5" t="s">
        <v>794</v>
      </c>
      <c r="E1520" s="5" t="n">
        <v>3</v>
      </c>
      <c r="F1520" s="20" t="n">
        <v>8.78553748821429</v>
      </c>
      <c r="G1520" s="20" t="n">
        <f aca="false">9-F1520</f>
        <v>0.21446251178571</v>
      </c>
      <c r="H1520" s="20" t="n">
        <f aca="false">IF(G1520&gt;=1,G1520,0)</f>
        <v>0</v>
      </c>
      <c r="I1520" s="5" t="s">
        <v>774</v>
      </c>
      <c r="J1520" s="5" t="s">
        <v>2097</v>
      </c>
    </row>
    <row r="1521" customFormat="false" ht="15" hidden="false" customHeight="false" outlineLevel="0" collapsed="false">
      <c r="A1521" s="5" t="s">
        <v>229</v>
      </c>
      <c r="B1521" s="5" t="s">
        <v>168</v>
      </c>
      <c r="C1521" s="5" t="n">
        <v>35</v>
      </c>
      <c r="D1521" s="5" t="s">
        <v>811</v>
      </c>
      <c r="E1521" s="5" t="n">
        <v>3</v>
      </c>
      <c r="F1521" s="20" t="n">
        <v>8.76672028391321</v>
      </c>
      <c r="G1521" s="20" t="n">
        <f aca="false">9-F1521</f>
        <v>0.233279716086788</v>
      </c>
      <c r="H1521" s="20" t="n">
        <f aca="false">IF(G1521&gt;=1,G1521,0)</f>
        <v>0</v>
      </c>
      <c r="I1521" s="5" t="s">
        <v>774</v>
      </c>
      <c r="J1521" s="5" t="s">
        <v>2098</v>
      </c>
    </row>
    <row r="1522" customFormat="false" ht="15" hidden="false" customHeight="false" outlineLevel="0" collapsed="false">
      <c r="A1522" s="5" t="s">
        <v>229</v>
      </c>
      <c r="B1522" s="5" t="s">
        <v>168</v>
      </c>
      <c r="C1522" s="5" t="n">
        <v>36</v>
      </c>
      <c r="D1522" s="5" t="s">
        <v>813</v>
      </c>
      <c r="E1522" s="5" t="n">
        <v>3</v>
      </c>
      <c r="F1522" s="20" t="n">
        <v>8.74790307961213</v>
      </c>
      <c r="G1522" s="20" t="n">
        <f aca="false">9-F1522</f>
        <v>0.252096920387867</v>
      </c>
      <c r="H1522" s="20" t="n">
        <f aca="false">IF(G1522&gt;=1,G1522,0)</f>
        <v>0</v>
      </c>
      <c r="I1522" s="5" t="s">
        <v>774</v>
      </c>
      <c r="J1522" s="5" t="s">
        <v>2099</v>
      </c>
    </row>
    <row r="1523" customFormat="false" ht="15" hidden="false" customHeight="false" outlineLevel="0" collapsed="false">
      <c r="A1523" s="5" t="s">
        <v>229</v>
      </c>
      <c r="B1523" s="5" t="s">
        <v>168</v>
      </c>
      <c r="C1523" s="5" t="n">
        <v>37</v>
      </c>
      <c r="D1523" s="5" t="s">
        <v>815</v>
      </c>
      <c r="E1523" s="5" t="n">
        <v>3</v>
      </c>
      <c r="F1523" s="20" t="n">
        <v>8.72908587531106</v>
      </c>
      <c r="G1523" s="20" t="n">
        <f aca="false">9-F1523</f>
        <v>0.270914124688938</v>
      </c>
      <c r="H1523" s="20" t="n">
        <f aca="false">IF(G1523&gt;=1,G1523,0)</f>
        <v>0</v>
      </c>
      <c r="I1523" s="5" t="s">
        <v>774</v>
      </c>
      <c r="J1523" s="5" t="s">
        <v>2100</v>
      </c>
    </row>
    <row r="1524" customFormat="false" ht="15" hidden="false" customHeight="false" outlineLevel="0" collapsed="false">
      <c r="A1524" s="5" t="s">
        <v>229</v>
      </c>
      <c r="B1524" s="5" t="s">
        <v>168</v>
      </c>
      <c r="C1524" s="5" t="n">
        <v>38</v>
      </c>
      <c r="D1524" s="5" t="s">
        <v>817</v>
      </c>
      <c r="E1524" s="5" t="n">
        <v>3</v>
      </c>
      <c r="F1524" s="20" t="n">
        <v>8.71026867100999</v>
      </c>
      <c r="G1524" s="20" t="n">
        <f aca="false">9-F1524</f>
        <v>0.289731328990007</v>
      </c>
      <c r="H1524" s="20" t="n">
        <f aca="false">IF(G1524&gt;=1,G1524,0)</f>
        <v>0</v>
      </c>
      <c r="I1524" s="5" t="s">
        <v>774</v>
      </c>
      <c r="J1524" s="5" t="s">
        <v>2101</v>
      </c>
    </row>
    <row r="1525" customFormat="false" ht="15" hidden="false" customHeight="false" outlineLevel="0" collapsed="false">
      <c r="A1525" s="5" t="s">
        <v>229</v>
      </c>
      <c r="B1525" s="5" t="s">
        <v>168</v>
      </c>
      <c r="C1525" s="5" t="n">
        <v>39</v>
      </c>
      <c r="D1525" s="5" t="s">
        <v>819</v>
      </c>
      <c r="E1525" s="5" t="n">
        <v>3</v>
      </c>
      <c r="F1525" s="20" t="n">
        <v>8.69145146670891</v>
      </c>
      <c r="G1525" s="20" t="n">
        <f aca="false">9-F1525</f>
        <v>0.308548533291086</v>
      </c>
      <c r="H1525" s="20" t="n">
        <f aca="false">IF(G1525&gt;=1,G1525,0)</f>
        <v>0</v>
      </c>
      <c r="I1525" s="5" t="s">
        <v>774</v>
      </c>
      <c r="J1525" s="5" t="s">
        <v>2102</v>
      </c>
    </row>
    <row r="1526" customFormat="false" ht="15" hidden="false" customHeight="false" outlineLevel="0" collapsed="false">
      <c r="A1526" s="5" t="s">
        <v>229</v>
      </c>
      <c r="B1526" s="5" t="s">
        <v>168</v>
      </c>
      <c r="C1526" s="5" t="n">
        <v>40</v>
      </c>
      <c r="D1526" s="5" t="s">
        <v>821</v>
      </c>
      <c r="E1526" s="5" t="n">
        <v>3</v>
      </c>
      <c r="F1526" s="20" t="n">
        <v>8.67263426240784</v>
      </c>
      <c r="G1526" s="20" t="n">
        <f aca="false">9-F1526</f>
        <v>0.327365737592157</v>
      </c>
      <c r="H1526" s="20" t="n">
        <f aca="false">IF(G1526&gt;=1,G1526,0)</f>
        <v>0</v>
      </c>
      <c r="I1526" s="5" t="s">
        <v>774</v>
      </c>
      <c r="J1526" s="5" t="s">
        <v>2103</v>
      </c>
    </row>
    <row r="1527" customFormat="false" ht="15" hidden="false" customHeight="false" outlineLevel="0" collapsed="false">
      <c r="A1527" s="5" t="s">
        <v>229</v>
      </c>
      <c r="B1527" s="5" t="s">
        <v>168</v>
      </c>
      <c r="C1527" s="5" t="n">
        <v>41</v>
      </c>
      <c r="D1527" s="5" t="s">
        <v>823</v>
      </c>
      <c r="E1527" s="5" t="n">
        <v>3</v>
      </c>
      <c r="F1527" s="20" t="n">
        <v>8.65381705810675</v>
      </c>
      <c r="G1527" s="20" t="n">
        <f aca="false">9-F1527</f>
        <v>0.346182941893247</v>
      </c>
      <c r="H1527" s="20" t="n">
        <f aca="false">IF(G1527&gt;=1,G1527,0)</f>
        <v>0</v>
      </c>
      <c r="I1527" s="5" t="s">
        <v>774</v>
      </c>
      <c r="J1527" s="5" t="s">
        <v>2104</v>
      </c>
    </row>
    <row r="1528" customFormat="false" ht="15" hidden="false" customHeight="false" outlineLevel="0" collapsed="false">
      <c r="A1528" s="5" t="s">
        <v>229</v>
      </c>
      <c r="B1528" s="5" t="s">
        <v>168</v>
      </c>
      <c r="C1528" s="5" t="n">
        <v>42</v>
      </c>
      <c r="D1528" s="5" t="s">
        <v>825</v>
      </c>
      <c r="E1528" s="5" t="n">
        <v>1</v>
      </c>
      <c r="F1528" s="20" t="n">
        <v>6.92206315355126</v>
      </c>
      <c r="G1528" s="20" t="n">
        <f aca="false">9-F1528</f>
        <v>2.07793684644874</v>
      </c>
      <c r="H1528" s="20" t="n">
        <f aca="false">IF(G1528&gt;=1,G1528,0)</f>
        <v>2.07793684644874</v>
      </c>
      <c r="I1528" s="5" t="s">
        <v>774</v>
      </c>
      <c r="J1528" s="5" t="s">
        <v>2105</v>
      </c>
    </row>
    <row r="1529" customFormat="false" ht="15" hidden="false" customHeight="false" outlineLevel="0" collapsed="false">
      <c r="A1529" s="5" t="s">
        <v>229</v>
      </c>
      <c r="B1529" s="5" t="s">
        <v>168</v>
      </c>
      <c r="C1529" s="5" t="n">
        <v>43</v>
      </c>
      <c r="D1529" s="5" t="s">
        <v>827</v>
      </c>
      <c r="E1529" s="5" t="n">
        <v>1</v>
      </c>
      <c r="F1529" s="20" t="n">
        <v>6.90324594925019</v>
      </c>
      <c r="G1529" s="20" t="n">
        <f aca="false">9-F1529</f>
        <v>2.09675405074981</v>
      </c>
      <c r="H1529" s="20" t="n">
        <f aca="false">IF(G1529&gt;=1,G1529,0)</f>
        <v>2.09675405074981</v>
      </c>
      <c r="I1529" s="5" t="s">
        <v>774</v>
      </c>
      <c r="J1529" s="5" t="s">
        <v>2106</v>
      </c>
    </row>
    <row r="1530" customFormat="false" ht="15" hidden="false" customHeight="false" outlineLevel="0" collapsed="false">
      <c r="A1530" s="5" t="s">
        <v>229</v>
      </c>
      <c r="B1530" s="5" t="s">
        <v>168</v>
      </c>
      <c r="C1530" s="5" t="n">
        <v>44</v>
      </c>
      <c r="D1530" s="5" t="s">
        <v>829</v>
      </c>
      <c r="E1530" s="5" t="n">
        <v>1</v>
      </c>
      <c r="F1530" s="20" t="n">
        <v>6.89480519480516</v>
      </c>
      <c r="G1530" s="20" t="n">
        <f aca="false">9-F1530</f>
        <v>2.10519480519484</v>
      </c>
      <c r="H1530" s="20" t="n">
        <f aca="false">IF(G1530&gt;=1,G1530,0)</f>
        <v>2.10519480519484</v>
      </c>
      <c r="I1530" s="5" t="s">
        <v>774</v>
      </c>
      <c r="J1530" s="5" t="s">
        <v>2107</v>
      </c>
    </row>
    <row r="1531" customFormat="false" ht="15" hidden="false" customHeight="false" outlineLevel="0" collapsed="false">
      <c r="A1531" s="5" t="s">
        <v>229</v>
      </c>
      <c r="B1531" s="5" t="s">
        <v>168</v>
      </c>
      <c r="C1531" s="5" t="n">
        <v>45</v>
      </c>
      <c r="D1531" s="5" t="s">
        <v>831</v>
      </c>
      <c r="E1531" s="5" t="n">
        <v>1</v>
      </c>
      <c r="F1531" s="20" t="n">
        <v>6.88442874494911</v>
      </c>
      <c r="G1531" s="20" t="n">
        <f aca="false">9-F1531</f>
        <v>2.11557125505089</v>
      </c>
      <c r="H1531" s="20" t="n">
        <f aca="false">IF(G1531&gt;=1,G1531,0)</f>
        <v>2.11557125505089</v>
      </c>
      <c r="I1531" s="5" t="s">
        <v>774</v>
      </c>
      <c r="J1531" s="5" t="s">
        <v>2108</v>
      </c>
    </row>
    <row r="1532" customFormat="false" ht="15" hidden="false" customHeight="false" outlineLevel="0" collapsed="false">
      <c r="A1532" s="5" t="s">
        <v>229</v>
      </c>
      <c r="B1532" s="5" t="s">
        <v>168</v>
      </c>
      <c r="C1532" s="5" t="n">
        <v>46</v>
      </c>
      <c r="D1532" s="5" t="s">
        <v>833</v>
      </c>
      <c r="E1532" s="5" t="n">
        <v>1</v>
      </c>
      <c r="F1532" s="20" t="n">
        <v>6.86561154064804</v>
      </c>
      <c r="G1532" s="20" t="n">
        <f aca="false">9-F1532</f>
        <v>2.13438845935196</v>
      </c>
      <c r="H1532" s="20" t="n">
        <f aca="false">IF(G1532&gt;=1,G1532,0)</f>
        <v>2.13438845935196</v>
      </c>
      <c r="I1532" s="5" t="s">
        <v>774</v>
      </c>
      <c r="J1532" s="5" t="s">
        <v>2109</v>
      </c>
    </row>
    <row r="1533" customFormat="false" ht="15" hidden="false" customHeight="false" outlineLevel="0" collapsed="false">
      <c r="A1533" s="5" t="s">
        <v>229</v>
      </c>
      <c r="B1533" s="5" t="s">
        <v>168</v>
      </c>
      <c r="C1533" s="5" t="n">
        <v>47</v>
      </c>
      <c r="D1533" s="5" t="s">
        <v>835</v>
      </c>
      <c r="E1533" s="5" t="n">
        <v>1</v>
      </c>
      <c r="F1533" s="20" t="n">
        <v>6.84679433634696</v>
      </c>
      <c r="G1533" s="20" t="n">
        <f aca="false">9-F1533</f>
        <v>2.15320566365304</v>
      </c>
      <c r="H1533" s="20" t="n">
        <f aca="false">IF(G1533&gt;=1,G1533,0)</f>
        <v>2.15320566365304</v>
      </c>
      <c r="I1533" s="5" t="s">
        <v>774</v>
      </c>
      <c r="J1533" s="5" t="s">
        <v>2110</v>
      </c>
    </row>
    <row r="1534" customFormat="false" ht="15" hidden="false" customHeight="false" outlineLevel="0" collapsed="false">
      <c r="A1534" s="5" t="s">
        <v>229</v>
      </c>
      <c r="B1534" s="5" t="s">
        <v>168</v>
      </c>
      <c r="C1534" s="5" t="n">
        <v>48</v>
      </c>
      <c r="D1534" s="5" t="s">
        <v>837</v>
      </c>
      <c r="E1534" s="5" t="n">
        <v>1</v>
      </c>
      <c r="F1534" s="20" t="n">
        <v>6.82948250838998</v>
      </c>
      <c r="G1534" s="20" t="n">
        <f aca="false">9-F1534</f>
        <v>2.17051749161003</v>
      </c>
      <c r="H1534" s="20" t="n">
        <f aca="false">IF(G1534&gt;=1,G1534,0)</f>
        <v>2.17051749161003</v>
      </c>
      <c r="I1534" s="5" t="s">
        <v>774</v>
      </c>
      <c r="J1534" s="5" t="s">
        <v>2111</v>
      </c>
    </row>
    <row r="1535" customFormat="false" ht="15" hidden="false" customHeight="false" outlineLevel="0" collapsed="false">
      <c r="A1535" s="5" t="s">
        <v>229</v>
      </c>
      <c r="B1535" s="5" t="s">
        <v>168</v>
      </c>
      <c r="C1535" s="5" t="n">
        <v>49</v>
      </c>
      <c r="D1535" s="5" t="s">
        <v>839</v>
      </c>
      <c r="E1535" s="5" t="n">
        <v>1</v>
      </c>
      <c r="F1535" s="20" t="n">
        <v>6.8091599277448</v>
      </c>
      <c r="G1535" s="20" t="n">
        <f aca="false">9-F1535</f>
        <v>2.1908400722552</v>
      </c>
      <c r="H1535" s="20" t="n">
        <f aca="false">IF(G1535&gt;=1,G1535,0)</f>
        <v>2.1908400722552</v>
      </c>
      <c r="I1535" s="5" t="s">
        <v>774</v>
      </c>
      <c r="J1535" s="5" t="s">
        <v>2112</v>
      </c>
    </row>
    <row r="1536" customFormat="false" ht="15" hidden="false" customHeight="false" outlineLevel="0" collapsed="false">
      <c r="A1536" s="5" t="s">
        <v>229</v>
      </c>
      <c r="B1536" s="5" t="s">
        <v>168</v>
      </c>
      <c r="C1536" s="5" t="n">
        <v>50</v>
      </c>
      <c r="D1536" s="5" t="s">
        <v>841</v>
      </c>
      <c r="E1536" s="5" t="n">
        <v>1</v>
      </c>
      <c r="F1536" s="20" t="n">
        <v>6.31471422882008</v>
      </c>
      <c r="G1536" s="20" t="n">
        <f aca="false">9-F1536</f>
        <v>2.68528577117992</v>
      </c>
      <c r="H1536" s="20" t="n">
        <f aca="false">IF(G1536&gt;=1,G1536,0)</f>
        <v>2.68528577117992</v>
      </c>
      <c r="I1536" s="5" t="s">
        <v>774</v>
      </c>
      <c r="J1536" s="5" t="s">
        <v>2113</v>
      </c>
    </row>
    <row r="1537" customFormat="false" ht="15" hidden="false" customHeight="false" outlineLevel="0" collapsed="false">
      <c r="A1537" s="5" t="s">
        <v>229</v>
      </c>
      <c r="B1537" s="5" t="s">
        <v>168</v>
      </c>
      <c r="C1537" s="5" t="n">
        <v>51</v>
      </c>
      <c r="D1537" s="5" t="s">
        <v>843</v>
      </c>
      <c r="E1537" s="5" t="n">
        <v>1</v>
      </c>
      <c r="F1537" s="20" t="n">
        <v>6.29589702451901</v>
      </c>
      <c r="G1537" s="20" t="n">
        <f aca="false">9-F1537</f>
        <v>2.70410297548099</v>
      </c>
      <c r="H1537" s="20" t="n">
        <f aca="false">IF(G1537&gt;=1,G1537,0)</f>
        <v>2.70410297548099</v>
      </c>
      <c r="I1537" s="5" t="s">
        <v>774</v>
      </c>
      <c r="J1537" s="5" t="s">
        <v>2114</v>
      </c>
    </row>
    <row r="1538" customFormat="false" ht="15" hidden="false" customHeight="false" outlineLevel="0" collapsed="false">
      <c r="A1538" s="5" t="s">
        <v>229</v>
      </c>
      <c r="B1538" s="5" t="s">
        <v>168</v>
      </c>
      <c r="C1538" s="5" t="n">
        <v>52</v>
      </c>
      <c r="D1538" s="5" t="s">
        <v>845</v>
      </c>
      <c r="E1538" s="5" t="n">
        <v>1</v>
      </c>
      <c r="F1538" s="20" t="n">
        <v>6.27707982021792</v>
      </c>
      <c r="G1538" s="20" t="n">
        <f aca="false">9-F1538</f>
        <v>2.72292017978208</v>
      </c>
      <c r="H1538" s="20" t="n">
        <f aca="false">IF(G1538&gt;=1,G1538,0)</f>
        <v>2.72292017978208</v>
      </c>
      <c r="I1538" s="5" t="s">
        <v>774</v>
      </c>
      <c r="J1538" s="5" t="s">
        <v>2115</v>
      </c>
    </row>
    <row r="1539" customFormat="false" ht="15" hidden="false" customHeight="false" outlineLevel="0" collapsed="false">
      <c r="A1539" s="5" t="s">
        <v>229</v>
      </c>
      <c r="B1539" s="5" t="s">
        <v>168</v>
      </c>
      <c r="C1539" s="5" t="n">
        <v>53</v>
      </c>
      <c r="D1539" s="5" t="s">
        <v>847</v>
      </c>
      <c r="E1539" s="5" t="n">
        <v>1</v>
      </c>
      <c r="F1539" s="20" t="n">
        <v>6.25826261591685</v>
      </c>
      <c r="G1539" s="20" t="n">
        <f aca="false">9-F1539</f>
        <v>2.74173738408315</v>
      </c>
      <c r="H1539" s="20" t="n">
        <f aca="false">IF(G1539&gt;=1,G1539,0)</f>
        <v>2.74173738408315</v>
      </c>
      <c r="I1539" s="5" t="s">
        <v>774</v>
      </c>
      <c r="J1539" s="5" t="s">
        <v>2116</v>
      </c>
    </row>
    <row r="1540" customFormat="false" ht="15" hidden="false" customHeight="false" outlineLevel="0" collapsed="false">
      <c r="A1540" s="5" t="s">
        <v>229</v>
      </c>
      <c r="B1540" s="5" t="s">
        <v>168</v>
      </c>
      <c r="C1540" s="5" t="n">
        <v>54</v>
      </c>
      <c r="D1540" s="5" t="s">
        <v>849</v>
      </c>
      <c r="E1540" s="5" t="n">
        <v>1</v>
      </c>
      <c r="F1540" s="20" t="n">
        <v>6.23944541161578</v>
      </c>
      <c r="G1540" s="20" t="n">
        <f aca="false">9-F1540</f>
        <v>2.76055458838423</v>
      </c>
      <c r="H1540" s="20" t="n">
        <f aca="false">IF(G1540&gt;=1,G1540,0)</f>
        <v>2.76055458838423</v>
      </c>
      <c r="I1540" s="5" t="s">
        <v>774</v>
      </c>
      <c r="J1540" s="5" t="s">
        <v>2117</v>
      </c>
    </row>
    <row r="1541" customFormat="false" ht="15" hidden="false" customHeight="false" outlineLevel="0" collapsed="false">
      <c r="A1541" s="5" t="s">
        <v>229</v>
      </c>
      <c r="B1541" s="5" t="s">
        <v>168</v>
      </c>
      <c r="C1541" s="5" t="n">
        <v>55</v>
      </c>
      <c r="D1541" s="5" t="s">
        <v>851</v>
      </c>
      <c r="E1541" s="5" t="n">
        <v>1</v>
      </c>
      <c r="F1541" s="20" t="n">
        <v>6.2206282073147</v>
      </c>
      <c r="G1541" s="20" t="n">
        <f aca="false">9-F1541</f>
        <v>2.7793717926853</v>
      </c>
      <c r="H1541" s="20" t="n">
        <f aca="false">IF(G1541&gt;=1,G1541,0)</f>
        <v>2.7793717926853</v>
      </c>
      <c r="I1541" s="5" t="s">
        <v>774</v>
      </c>
      <c r="J1541" s="5" t="s">
        <v>2118</v>
      </c>
    </row>
    <row r="1542" customFormat="false" ht="15" hidden="false" customHeight="false" outlineLevel="0" collapsed="false">
      <c r="A1542" s="5" t="s">
        <v>229</v>
      </c>
      <c r="B1542" s="5" t="s">
        <v>168</v>
      </c>
      <c r="C1542" s="5" t="n">
        <v>56</v>
      </c>
      <c r="D1542" s="5" t="s">
        <v>853</v>
      </c>
      <c r="E1542" s="5" t="n">
        <v>1</v>
      </c>
      <c r="F1542" s="20" t="n">
        <v>6.20204998150824</v>
      </c>
      <c r="G1542" s="20" t="n">
        <f aca="false">9-F1542</f>
        <v>2.79795001849176</v>
      </c>
      <c r="H1542" s="20" t="n">
        <f aca="false">IF(G1542&gt;=1,G1542,0)</f>
        <v>2.79795001849176</v>
      </c>
      <c r="I1542" s="5" t="s">
        <v>774</v>
      </c>
      <c r="J1542" s="5" t="s">
        <v>2119</v>
      </c>
    </row>
    <row r="1543" customFormat="false" ht="15" hidden="false" customHeight="false" outlineLevel="0" collapsed="false">
      <c r="A1543" s="5" t="s">
        <v>229</v>
      </c>
      <c r="B1543" s="5" t="s">
        <v>168</v>
      </c>
      <c r="C1543" s="5" t="n">
        <v>57</v>
      </c>
      <c r="D1543" s="5" t="s">
        <v>855</v>
      </c>
      <c r="E1543" s="5" t="n">
        <v>1</v>
      </c>
      <c r="F1543" s="20" t="n">
        <v>5.52500000000001</v>
      </c>
      <c r="G1543" s="20" t="n">
        <f aca="false">9-F1543</f>
        <v>3.475</v>
      </c>
      <c r="H1543" s="20" t="n">
        <f aca="false">IF(G1543&gt;=1,G1543,0)</f>
        <v>3.475</v>
      </c>
      <c r="I1543" s="5" t="s">
        <v>774</v>
      </c>
      <c r="J1543" s="5" t="s">
        <v>2120</v>
      </c>
    </row>
    <row r="1544" customFormat="false" ht="15" hidden="false" customHeight="false" outlineLevel="0" collapsed="false">
      <c r="A1544" s="5" t="s">
        <v>229</v>
      </c>
      <c r="B1544" s="5" t="s">
        <v>168</v>
      </c>
      <c r="C1544" s="5" t="n">
        <v>58</v>
      </c>
      <c r="D1544" s="5" t="s">
        <v>855</v>
      </c>
      <c r="E1544" s="5" t="n">
        <v>1</v>
      </c>
      <c r="F1544" s="20" t="n">
        <v>5.52500000000001</v>
      </c>
      <c r="G1544" s="20" t="n">
        <f aca="false">9-F1544</f>
        <v>3.475</v>
      </c>
      <c r="H1544" s="20" t="n">
        <f aca="false">IF(G1544&gt;=1,G1544,0)</f>
        <v>3.475</v>
      </c>
      <c r="I1544" s="5" t="s">
        <v>774</v>
      </c>
      <c r="J1544" s="5" t="s">
        <v>2121</v>
      </c>
    </row>
    <row r="1545" customFormat="false" ht="15" hidden="false" customHeight="false" outlineLevel="0" collapsed="false">
      <c r="A1545" s="5" t="s">
        <v>229</v>
      </c>
      <c r="B1545" s="5" t="s">
        <v>168</v>
      </c>
      <c r="C1545" s="5" t="n">
        <v>59</v>
      </c>
      <c r="D1545" s="5" t="s">
        <v>855</v>
      </c>
      <c r="E1545" s="5" t="n">
        <v>1</v>
      </c>
      <c r="F1545" s="20" t="n">
        <v>5.52500000000001</v>
      </c>
      <c r="G1545" s="20" t="n">
        <f aca="false">9-F1545</f>
        <v>3.475</v>
      </c>
      <c r="H1545" s="20" t="n">
        <f aca="false">IF(G1545&gt;=1,G1545,0)</f>
        <v>3.475</v>
      </c>
      <c r="I1545" s="5" t="s">
        <v>774</v>
      </c>
      <c r="J1545" s="5" t="s">
        <v>2122</v>
      </c>
    </row>
    <row r="1546" customFormat="false" ht="15" hidden="false" customHeight="false" outlineLevel="0" collapsed="false">
      <c r="A1546" s="5" t="s">
        <v>229</v>
      </c>
      <c r="B1546" s="5" t="s">
        <v>168</v>
      </c>
      <c r="C1546" s="5" t="n">
        <v>60</v>
      </c>
      <c r="D1546" s="5" t="s">
        <v>855</v>
      </c>
      <c r="E1546" s="5" t="n">
        <v>1</v>
      </c>
      <c r="F1546" s="20" t="n">
        <v>5.52500000000001</v>
      </c>
      <c r="G1546" s="20" t="n">
        <f aca="false">9-F1546</f>
        <v>3.475</v>
      </c>
      <c r="H1546" s="20" t="n">
        <f aca="false">IF(G1546&gt;=1,G1546,0)</f>
        <v>3.475</v>
      </c>
      <c r="I1546" s="5" t="s">
        <v>774</v>
      </c>
      <c r="J1546" s="5" t="s">
        <v>2123</v>
      </c>
    </row>
    <row r="1547" customFormat="false" ht="15" hidden="false" customHeight="false" outlineLevel="0" collapsed="false">
      <c r="A1547" s="5" t="s">
        <v>229</v>
      </c>
      <c r="B1547" s="5" t="s">
        <v>168</v>
      </c>
      <c r="C1547" s="5" t="n">
        <v>61</v>
      </c>
      <c r="D1547" s="5" t="s">
        <v>855</v>
      </c>
      <c r="E1547" s="5" t="n">
        <v>1</v>
      </c>
      <c r="F1547" s="20" t="n">
        <v>5.52500000000001</v>
      </c>
      <c r="G1547" s="20" t="n">
        <f aca="false">9-F1547</f>
        <v>3.475</v>
      </c>
      <c r="H1547" s="20" t="n">
        <f aca="false">IF(G1547&gt;=1,G1547,0)</f>
        <v>3.475</v>
      </c>
      <c r="I1547" s="5" t="s">
        <v>774</v>
      </c>
      <c r="J1547" s="5" t="s">
        <v>2124</v>
      </c>
    </row>
    <row r="1548" customFormat="false" ht="15" hidden="false" customHeight="false" outlineLevel="0" collapsed="false">
      <c r="A1548" s="5" t="s">
        <v>229</v>
      </c>
      <c r="B1548" s="5" t="s">
        <v>168</v>
      </c>
      <c r="C1548" s="5" t="n">
        <v>62</v>
      </c>
      <c r="D1548" s="5" t="s">
        <v>855</v>
      </c>
      <c r="E1548" s="5" t="n">
        <v>1</v>
      </c>
      <c r="F1548" s="20" t="n">
        <v>5.525</v>
      </c>
      <c r="G1548" s="20" t="n">
        <f aca="false">9-F1548</f>
        <v>3.475</v>
      </c>
      <c r="H1548" s="20" t="n">
        <f aca="false">IF(G1548&gt;=1,G1548,0)</f>
        <v>3.475</v>
      </c>
      <c r="I1548" s="5" t="s">
        <v>774</v>
      </c>
      <c r="J1548" s="5" t="s">
        <v>2125</v>
      </c>
    </row>
    <row r="1549" customFormat="false" ht="15" hidden="false" customHeight="false" outlineLevel="0" collapsed="false">
      <c r="A1549" s="5" t="s">
        <v>229</v>
      </c>
      <c r="B1549" s="5" t="s">
        <v>168</v>
      </c>
      <c r="C1549" s="5" t="n">
        <v>63</v>
      </c>
      <c r="D1549" s="5" t="s">
        <v>855</v>
      </c>
      <c r="E1549" s="5" t="n">
        <v>1</v>
      </c>
      <c r="F1549" s="20" t="n">
        <v>5.525</v>
      </c>
      <c r="G1549" s="20" t="n">
        <f aca="false">9-F1549</f>
        <v>3.475</v>
      </c>
      <c r="H1549" s="20" t="n">
        <f aca="false">IF(G1549&gt;=1,G1549,0)</f>
        <v>3.475</v>
      </c>
      <c r="I1549" s="5" t="s">
        <v>774</v>
      </c>
      <c r="J1549" s="5" t="s">
        <v>2126</v>
      </c>
    </row>
    <row r="1550" customFormat="false" ht="15" hidden="false" customHeight="false" outlineLevel="0" collapsed="false">
      <c r="A1550" s="5" t="s">
        <v>229</v>
      </c>
      <c r="B1550" s="5" t="s">
        <v>168</v>
      </c>
      <c r="C1550" s="5" t="n">
        <v>64</v>
      </c>
      <c r="D1550" s="5" t="s">
        <v>855</v>
      </c>
      <c r="E1550" s="5" t="n">
        <v>1</v>
      </c>
      <c r="F1550" s="20" t="n">
        <v>5.525</v>
      </c>
      <c r="G1550" s="20" t="n">
        <f aca="false">9-F1550</f>
        <v>3.475</v>
      </c>
      <c r="H1550" s="20" t="n">
        <f aca="false">IF(G1550&gt;=1,G1550,0)</f>
        <v>3.475</v>
      </c>
      <c r="I1550" s="5" t="s">
        <v>774</v>
      </c>
      <c r="J1550" s="5" t="s">
        <v>2127</v>
      </c>
    </row>
    <row r="1551" customFormat="false" ht="15" hidden="false" customHeight="false" outlineLevel="0" collapsed="false">
      <c r="A1551" s="5" t="s">
        <v>229</v>
      </c>
      <c r="B1551" s="5" t="s">
        <v>168</v>
      </c>
      <c r="C1551" s="5" t="n">
        <v>65</v>
      </c>
      <c r="D1551" s="5" t="s">
        <v>855</v>
      </c>
      <c r="E1551" s="5" t="n">
        <v>1</v>
      </c>
      <c r="F1551" s="20" t="n">
        <v>5.525</v>
      </c>
      <c r="G1551" s="20" t="n">
        <f aca="false">9-F1551</f>
        <v>3.475</v>
      </c>
      <c r="H1551" s="20" t="n">
        <f aca="false">IF(G1551&gt;=1,G1551,0)</f>
        <v>3.475</v>
      </c>
      <c r="I1551" s="5" t="s">
        <v>774</v>
      </c>
      <c r="J1551" s="5" t="s">
        <v>2128</v>
      </c>
    </row>
    <row r="1552" customFormat="false" ht="15" hidden="false" customHeight="false" outlineLevel="0" collapsed="false">
      <c r="A1552" s="5" t="s">
        <v>229</v>
      </c>
      <c r="B1552" s="5" t="s">
        <v>168</v>
      </c>
      <c r="C1552" s="5" t="n">
        <v>66</v>
      </c>
      <c r="D1552" s="5" t="s">
        <v>855</v>
      </c>
      <c r="E1552" s="5" t="n">
        <v>1</v>
      </c>
      <c r="F1552" s="20" t="n">
        <v>5.525</v>
      </c>
      <c r="G1552" s="20" t="n">
        <f aca="false">9-F1552</f>
        <v>3.475</v>
      </c>
      <c r="H1552" s="20" t="n">
        <f aca="false">IF(G1552&gt;=1,G1552,0)</f>
        <v>3.475</v>
      </c>
      <c r="I1552" s="5" t="s">
        <v>774</v>
      </c>
      <c r="J1552" s="5" t="s">
        <v>2129</v>
      </c>
    </row>
    <row r="1553" customFormat="false" ht="15" hidden="false" customHeight="false" outlineLevel="0" collapsed="false">
      <c r="A1553" s="5" t="s">
        <v>229</v>
      </c>
      <c r="B1553" s="5" t="s">
        <v>168</v>
      </c>
      <c r="C1553" s="5" t="n">
        <v>67</v>
      </c>
      <c r="D1553" s="5" t="s">
        <v>855</v>
      </c>
      <c r="E1553" s="5" t="n">
        <v>1</v>
      </c>
      <c r="F1553" s="20" t="n">
        <v>5.525</v>
      </c>
      <c r="G1553" s="20" t="n">
        <f aca="false">9-F1553</f>
        <v>3.475</v>
      </c>
      <c r="H1553" s="20" t="n">
        <f aca="false">IF(G1553&gt;=1,G1553,0)</f>
        <v>3.475</v>
      </c>
      <c r="I1553" s="5" t="s">
        <v>774</v>
      </c>
      <c r="J1553" s="5" t="s">
        <v>2130</v>
      </c>
    </row>
    <row r="1554" customFormat="false" ht="15" hidden="false" customHeight="false" outlineLevel="0" collapsed="false">
      <c r="A1554" s="5" t="s">
        <v>229</v>
      </c>
      <c r="B1554" s="5" t="s">
        <v>168</v>
      </c>
      <c r="C1554" s="5" t="n">
        <v>68</v>
      </c>
      <c r="D1554" s="5" t="s">
        <v>855</v>
      </c>
      <c r="E1554" s="5" t="n">
        <v>1</v>
      </c>
      <c r="F1554" s="20" t="n">
        <v>5.525</v>
      </c>
      <c r="G1554" s="20" t="n">
        <f aca="false">9-F1554</f>
        <v>3.475</v>
      </c>
      <c r="H1554" s="20" t="n">
        <f aca="false">IF(G1554&gt;=1,G1554,0)</f>
        <v>3.475</v>
      </c>
      <c r="I1554" s="5" t="s">
        <v>774</v>
      </c>
      <c r="J1554" s="5" t="s">
        <v>2131</v>
      </c>
    </row>
    <row r="1555" customFormat="false" ht="15" hidden="false" customHeight="false" outlineLevel="0" collapsed="false">
      <c r="A1555" s="5" t="s">
        <v>229</v>
      </c>
      <c r="B1555" s="5" t="s">
        <v>168</v>
      </c>
      <c r="C1555" s="5" t="n">
        <v>69</v>
      </c>
      <c r="D1555" s="5" t="s">
        <v>855</v>
      </c>
      <c r="E1555" s="5" t="n">
        <v>1</v>
      </c>
      <c r="F1555" s="20" t="n">
        <v>5.525</v>
      </c>
      <c r="G1555" s="20" t="n">
        <f aca="false">9-F1555</f>
        <v>3.475</v>
      </c>
      <c r="H1555" s="20" t="n">
        <f aca="false">IF(G1555&gt;=1,G1555,0)</f>
        <v>3.475</v>
      </c>
      <c r="I1555" s="5" t="s">
        <v>774</v>
      </c>
      <c r="J1555" s="5" t="s">
        <v>2132</v>
      </c>
    </row>
    <row r="1556" customFormat="false" ht="15" hidden="false" customHeight="false" outlineLevel="0" collapsed="false">
      <c r="A1556" s="5" t="s">
        <v>229</v>
      </c>
      <c r="B1556" s="5" t="s">
        <v>168</v>
      </c>
      <c r="C1556" s="5" t="n">
        <v>70</v>
      </c>
      <c r="D1556" s="5" t="s">
        <v>855</v>
      </c>
      <c r="E1556" s="5" t="n">
        <v>1</v>
      </c>
      <c r="F1556" s="20" t="n">
        <v>5.525</v>
      </c>
      <c r="G1556" s="20" t="n">
        <f aca="false">9-F1556</f>
        <v>3.475</v>
      </c>
      <c r="H1556" s="20" t="n">
        <f aca="false">IF(G1556&gt;=1,G1556,0)</f>
        <v>3.475</v>
      </c>
      <c r="I1556" s="5" t="s">
        <v>774</v>
      </c>
      <c r="J1556" s="5" t="s">
        <v>2133</v>
      </c>
    </row>
    <row r="1557" customFormat="false" ht="15" hidden="false" customHeight="false" outlineLevel="0" collapsed="false">
      <c r="A1557" s="5" t="s">
        <v>229</v>
      </c>
      <c r="B1557" s="5" t="s">
        <v>168</v>
      </c>
      <c r="C1557" s="5" t="n">
        <v>71</v>
      </c>
      <c r="D1557" s="5" t="s">
        <v>855</v>
      </c>
      <c r="E1557" s="5" t="n">
        <v>1</v>
      </c>
      <c r="F1557" s="20" t="n">
        <v>5.525</v>
      </c>
      <c r="G1557" s="20" t="n">
        <f aca="false">9-F1557</f>
        <v>3.475</v>
      </c>
      <c r="H1557" s="20" t="n">
        <f aca="false">IF(G1557&gt;=1,G1557,0)</f>
        <v>3.475</v>
      </c>
      <c r="I1557" s="5" t="s">
        <v>774</v>
      </c>
      <c r="J1557" s="5" t="s">
        <v>2134</v>
      </c>
    </row>
    <row r="1558" customFormat="false" ht="15" hidden="false" customHeight="false" outlineLevel="0" collapsed="false">
      <c r="A1558" s="5" t="s">
        <v>229</v>
      </c>
      <c r="B1558" s="5" t="s">
        <v>168</v>
      </c>
      <c r="C1558" s="5" t="n">
        <v>72</v>
      </c>
      <c r="D1558" s="5" t="s">
        <v>855</v>
      </c>
      <c r="E1558" s="5" t="n">
        <v>1</v>
      </c>
      <c r="F1558" s="20" t="n">
        <v>5.525</v>
      </c>
      <c r="G1558" s="20" t="n">
        <f aca="false">9-F1558</f>
        <v>3.475</v>
      </c>
      <c r="H1558" s="20" t="n">
        <f aca="false">IF(G1558&gt;=1,G1558,0)</f>
        <v>3.475</v>
      </c>
      <c r="I1558" s="5" t="s">
        <v>774</v>
      </c>
      <c r="J1558" s="5" t="s">
        <v>2135</v>
      </c>
    </row>
    <row r="1559" customFormat="false" ht="15" hidden="false" customHeight="false" outlineLevel="0" collapsed="false">
      <c r="A1559" s="5" t="s">
        <v>229</v>
      </c>
      <c r="B1559" s="5" t="s">
        <v>168</v>
      </c>
      <c r="C1559" s="5" t="n">
        <v>73</v>
      </c>
      <c r="D1559" s="5" t="s">
        <v>855</v>
      </c>
      <c r="E1559" s="5" t="n">
        <v>1</v>
      </c>
      <c r="F1559" s="20" t="n">
        <v>5.525</v>
      </c>
      <c r="G1559" s="20" t="n">
        <f aca="false">9-F1559</f>
        <v>3.475</v>
      </c>
      <c r="H1559" s="20" t="n">
        <f aca="false">IF(G1559&gt;=1,G1559,0)</f>
        <v>3.475</v>
      </c>
      <c r="I1559" s="5" t="s">
        <v>774</v>
      </c>
      <c r="J1559" s="5" t="s">
        <v>2136</v>
      </c>
    </row>
    <row r="1560" customFormat="false" ht="15" hidden="false" customHeight="false" outlineLevel="0" collapsed="false">
      <c r="A1560" s="5" t="s">
        <v>229</v>
      </c>
      <c r="B1560" s="5" t="s">
        <v>168</v>
      </c>
      <c r="C1560" s="5" t="n">
        <v>74</v>
      </c>
      <c r="D1560" s="5" t="s">
        <v>855</v>
      </c>
      <c r="E1560" s="5" t="n">
        <v>1</v>
      </c>
      <c r="F1560" s="20" t="n">
        <v>5.525</v>
      </c>
      <c r="G1560" s="20" t="n">
        <f aca="false">9-F1560</f>
        <v>3.475</v>
      </c>
      <c r="H1560" s="20" t="n">
        <f aca="false">IF(G1560&gt;=1,G1560,0)</f>
        <v>3.475</v>
      </c>
      <c r="I1560" s="5" t="s">
        <v>774</v>
      </c>
      <c r="J1560" s="5" t="s">
        <v>2137</v>
      </c>
    </row>
    <row r="1561" customFormat="false" ht="15" hidden="false" customHeight="false" outlineLevel="0" collapsed="false">
      <c r="A1561" s="5" t="s">
        <v>229</v>
      </c>
      <c r="B1561" s="5" t="s">
        <v>168</v>
      </c>
      <c r="C1561" s="5" t="n">
        <v>75</v>
      </c>
      <c r="D1561" s="5" t="s">
        <v>855</v>
      </c>
      <c r="E1561" s="5" t="n">
        <v>1</v>
      </c>
      <c r="F1561" s="20" t="n">
        <v>5.525</v>
      </c>
      <c r="G1561" s="20" t="n">
        <f aca="false">9-F1561</f>
        <v>3.475</v>
      </c>
      <c r="H1561" s="20" t="n">
        <f aca="false">IF(G1561&gt;=1,G1561,0)</f>
        <v>3.475</v>
      </c>
      <c r="I1561" s="5" t="s">
        <v>774</v>
      </c>
      <c r="J1561" s="5" t="s">
        <v>2138</v>
      </c>
    </row>
    <row r="1562" customFormat="false" ht="15" hidden="false" customHeight="false" outlineLevel="0" collapsed="false">
      <c r="A1562" s="5" t="s">
        <v>229</v>
      </c>
      <c r="B1562" s="5" t="s">
        <v>168</v>
      </c>
      <c r="C1562" s="5" t="n">
        <v>76</v>
      </c>
      <c r="D1562" s="5" t="s">
        <v>855</v>
      </c>
      <c r="E1562" s="5" t="n">
        <v>1</v>
      </c>
      <c r="F1562" s="20" t="n">
        <v>5.525</v>
      </c>
      <c r="G1562" s="20" t="n">
        <f aca="false">9-F1562</f>
        <v>3.475</v>
      </c>
      <c r="H1562" s="20" t="n">
        <f aca="false">IF(G1562&gt;=1,G1562,0)</f>
        <v>3.475</v>
      </c>
      <c r="I1562" s="5" t="s">
        <v>774</v>
      </c>
      <c r="J1562" s="5" t="s">
        <v>2139</v>
      </c>
    </row>
    <row r="1563" customFormat="false" ht="15" hidden="false" customHeight="false" outlineLevel="0" collapsed="false">
      <c r="A1563" s="5" t="s">
        <v>229</v>
      </c>
      <c r="B1563" s="5" t="s">
        <v>168</v>
      </c>
      <c r="C1563" s="5" t="n">
        <v>77</v>
      </c>
      <c r="D1563" s="5" t="s">
        <v>855</v>
      </c>
      <c r="E1563" s="5" t="n">
        <v>1</v>
      </c>
      <c r="F1563" s="20" t="n">
        <v>5.525</v>
      </c>
      <c r="G1563" s="20" t="n">
        <f aca="false">9-F1563</f>
        <v>3.475</v>
      </c>
      <c r="H1563" s="20" t="n">
        <f aca="false">IF(G1563&gt;=1,G1563,0)</f>
        <v>3.475</v>
      </c>
      <c r="I1563" s="5" t="s">
        <v>774</v>
      </c>
      <c r="J1563" s="5" t="s">
        <v>2140</v>
      </c>
    </row>
    <row r="1564" customFormat="false" ht="15" hidden="false" customHeight="false" outlineLevel="0" collapsed="false">
      <c r="A1564" s="5" t="s">
        <v>229</v>
      </c>
      <c r="B1564" s="5" t="s">
        <v>168</v>
      </c>
      <c r="C1564" s="5" t="n">
        <v>78</v>
      </c>
      <c r="D1564" s="5" t="s">
        <v>855</v>
      </c>
      <c r="E1564" s="5" t="n">
        <v>1</v>
      </c>
      <c r="F1564" s="20" t="n">
        <v>5.525</v>
      </c>
      <c r="G1564" s="20" t="n">
        <f aca="false">9-F1564</f>
        <v>3.475</v>
      </c>
      <c r="H1564" s="20" t="n">
        <f aca="false">IF(G1564&gt;=1,G1564,0)</f>
        <v>3.475</v>
      </c>
      <c r="I1564" s="5" t="s">
        <v>774</v>
      </c>
      <c r="J1564" s="5" t="s">
        <v>2141</v>
      </c>
    </row>
    <row r="1565" customFormat="false" ht="15" hidden="false" customHeight="false" outlineLevel="0" collapsed="false">
      <c r="A1565" s="5" t="s">
        <v>229</v>
      </c>
      <c r="B1565" s="5" t="s">
        <v>168</v>
      </c>
      <c r="C1565" s="5" t="n">
        <v>79</v>
      </c>
      <c r="D1565" s="5" t="s">
        <v>855</v>
      </c>
      <c r="E1565" s="5" t="n">
        <v>1</v>
      </c>
      <c r="F1565" s="20" t="n">
        <v>5.525</v>
      </c>
      <c r="G1565" s="20" t="n">
        <f aca="false">9-F1565</f>
        <v>3.475</v>
      </c>
      <c r="H1565" s="20" t="n">
        <f aca="false">IF(G1565&gt;=1,G1565,0)</f>
        <v>3.475</v>
      </c>
      <c r="I1565" s="5" t="s">
        <v>774</v>
      </c>
      <c r="J1565" s="5" t="s">
        <v>2142</v>
      </c>
    </row>
    <row r="1566" customFormat="false" ht="15" hidden="false" customHeight="false" outlineLevel="0" collapsed="false">
      <c r="A1566" s="5" t="s">
        <v>229</v>
      </c>
      <c r="B1566" s="5" t="s">
        <v>168</v>
      </c>
      <c r="C1566" s="5" t="n">
        <v>80</v>
      </c>
      <c r="D1566" s="5" t="s">
        <v>855</v>
      </c>
      <c r="E1566" s="5" t="n">
        <v>1</v>
      </c>
      <c r="F1566" s="20" t="n">
        <v>5.525</v>
      </c>
      <c r="G1566" s="20" t="n">
        <f aca="false">9-F1566</f>
        <v>3.475</v>
      </c>
      <c r="H1566" s="20" t="n">
        <f aca="false">IF(G1566&gt;=1,G1566,0)</f>
        <v>3.475</v>
      </c>
      <c r="I1566" s="5" t="s">
        <v>774</v>
      </c>
      <c r="J1566" s="5" t="s">
        <v>2143</v>
      </c>
    </row>
    <row r="1567" customFormat="false" ht="15" hidden="false" customHeight="false" outlineLevel="0" collapsed="false">
      <c r="A1567" s="5" t="s">
        <v>229</v>
      </c>
      <c r="B1567" s="5" t="s">
        <v>168</v>
      </c>
      <c r="C1567" s="5" t="n">
        <v>81</v>
      </c>
      <c r="D1567" s="5" t="s">
        <v>855</v>
      </c>
      <c r="E1567" s="5" t="n">
        <v>1</v>
      </c>
      <c r="F1567" s="20" t="n">
        <v>5.525</v>
      </c>
      <c r="G1567" s="20" t="n">
        <f aca="false">9-F1567</f>
        <v>3.475</v>
      </c>
      <c r="H1567" s="20" t="n">
        <f aca="false">IF(G1567&gt;=1,G1567,0)</f>
        <v>3.475</v>
      </c>
      <c r="I1567" s="5" t="s">
        <v>774</v>
      </c>
      <c r="J1567" s="5" t="s">
        <v>2144</v>
      </c>
    </row>
    <row r="1568" customFormat="false" ht="15" hidden="false" customHeight="false" outlineLevel="0" collapsed="false">
      <c r="A1568" s="5" t="s">
        <v>229</v>
      </c>
      <c r="B1568" s="5" t="s">
        <v>168</v>
      </c>
      <c r="C1568" s="5" t="n">
        <v>82</v>
      </c>
      <c r="D1568" s="5" t="s">
        <v>881</v>
      </c>
      <c r="E1568" s="5" t="n">
        <v>2</v>
      </c>
      <c r="F1568" s="20" t="n">
        <v>8.32853490925306</v>
      </c>
      <c r="G1568" s="20" t="n">
        <f aca="false">9-F1568</f>
        <v>0.671465090746938</v>
      </c>
      <c r="H1568" s="20" t="n">
        <f aca="false">IF(G1568&gt;=1,G1568,0)</f>
        <v>0</v>
      </c>
      <c r="I1568" s="5" t="s">
        <v>774</v>
      </c>
      <c r="J1568" s="5" t="s">
        <v>2145</v>
      </c>
    </row>
    <row r="1569" customFormat="false" ht="15" hidden="false" customHeight="false" outlineLevel="0" collapsed="false">
      <c r="A1569" s="5" t="s">
        <v>229</v>
      </c>
      <c r="B1569" s="5" t="s">
        <v>168</v>
      </c>
      <c r="C1569" s="5" t="n">
        <v>83</v>
      </c>
      <c r="D1569" s="5" t="s">
        <v>883</v>
      </c>
      <c r="E1569" s="5" t="n">
        <v>2</v>
      </c>
      <c r="F1569" s="20" t="n">
        <v>8.25326609204876</v>
      </c>
      <c r="G1569" s="20" t="n">
        <f aca="false">9-F1569</f>
        <v>0.746733907951242</v>
      </c>
      <c r="H1569" s="20" t="n">
        <f aca="false">IF(G1569&gt;=1,G1569,0)</f>
        <v>0</v>
      </c>
      <c r="I1569" s="5" t="s">
        <v>774</v>
      </c>
      <c r="J1569" s="5" t="s">
        <v>2146</v>
      </c>
    </row>
    <row r="1570" customFormat="false" ht="15" hidden="false" customHeight="false" outlineLevel="0" collapsed="false">
      <c r="A1570" s="5" t="s">
        <v>229</v>
      </c>
      <c r="B1570" s="5" t="s">
        <v>168</v>
      </c>
      <c r="C1570" s="5" t="n">
        <v>84</v>
      </c>
      <c r="D1570" s="5" t="s">
        <v>885</v>
      </c>
      <c r="E1570" s="5" t="n">
        <v>2</v>
      </c>
      <c r="F1570" s="20" t="n">
        <v>8.17799727484446</v>
      </c>
      <c r="G1570" s="20" t="n">
        <f aca="false">9-F1570</f>
        <v>0.822002725155539</v>
      </c>
      <c r="H1570" s="20" t="n">
        <f aca="false">IF(G1570&gt;=1,G1570,0)</f>
        <v>0</v>
      </c>
      <c r="I1570" s="5" t="s">
        <v>774</v>
      </c>
      <c r="J1570" s="5" t="s">
        <v>2147</v>
      </c>
    </row>
    <row r="1571" customFormat="false" ht="15" hidden="false" customHeight="false" outlineLevel="0" collapsed="false">
      <c r="A1571" s="5" t="s">
        <v>229</v>
      </c>
      <c r="B1571" s="5" t="s">
        <v>168</v>
      </c>
      <c r="C1571" s="5" t="n">
        <v>85</v>
      </c>
      <c r="D1571" s="5" t="s">
        <v>887</v>
      </c>
      <c r="E1571" s="5" t="n">
        <v>3</v>
      </c>
      <c r="F1571" s="20" t="n">
        <v>8.95919680776737</v>
      </c>
      <c r="G1571" s="20" t="n">
        <f aca="false">9-F1571</f>
        <v>0.0408031922326302</v>
      </c>
      <c r="H1571" s="20" t="n">
        <f aca="false">IF(G1571&gt;=1,G1571,0)</f>
        <v>0</v>
      </c>
      <c r="I1571" s="5" t="s">
        <v>774</v>
      </c>
      <c r="J1571" s="5" t="s">
        <v>2148</v>
      </c>
    </row>
    <row r="1572" customFormat="false" ht="15" hidden="false" customHeight="false" outlineLevel="0" collapsed="false">
      <c r="A1572" s="5" t="s">
        <v>229</v>
      </c>
      <c r="B1572" s="5" t="s">
        <v>168</v>
      </c>
      <c r="C1572" s="5" t="n">
        <v>86</v>
      </c>
      <c r="D1572" s="5" t="s">
        <v>889</v>
      </c>
      <c r="E1572" s="5" t="n">
        <v>3</v>
      </c>
      <c r="F1572" s="20" t="n">
        <v>8.90646835012721</v>
      </c>
      <c r="G1572" s="20" t="n">
        <f aca="false">9-F1572</f>
        <v>0.0935316498727872</v>
      </c>
      <c r="H1572" s="20" t="n">
        <f aca="false">IF(G1572&gt;=1,G1572,0)</f>
        <v>0</v>
      </c>
      <c r="I1572" s="5" t="s">
        <v>774</v>
      </c>
      <c r="J1572" s="5" t="s">
        <v>2149</v>
      </c>
    </row>
    <row r="1573" customFormat="false" ht="15" hidden="false" customHeight="false" outlineLevel="0" collapsed="false">
      <c r="A1573" s="5" t="s">
        <v>229</v>
      </c>
      <c r="B1573" s="5" t="s">
        <v>168</v>
      </c>
      <c r="C1573" s="5" t="n">
        <v>87</v>
      </c>
      <c r="D1573" s="5" t="s">
        <v>889</v>
      </c>
      <c r="E1573" s="5" t="n">
        <v>3</v>
      </c>
      <c r="F1573" s="20" t="n">
        <v>8.90646835012721</v>
      </c>
      <c r="G1573" s="20" t="n">
        <f aca="false">9-F1573</f>
        <v>0.0935316498727872</v>
      </c>
      <c r="H1573" s="20" t="n">
        <f aca="false">IF(G1573&gt;=1,G1573,0)</f>
        <v>0</v>
      </c>
      <c r="I1573" s="5" t="s">
        <v>774</v>
      </c>
      <c r="J1573" s="5" t="s">
        <v>2150</v>
      </c>
    </row>
    <row r="1574" customFormat="false" ht="15" hidden="false" customHeight="false" outlineLevel="0" collapsed="false">
      <c r="A1574" s="5" t="s">
        <v>229</v>
      </c>
      <c r="B1574" s="5" t="s">
        <v>168</v>
      </c>
      <c r="C1574" s="5" t="n">
        <v>88</v>
      </c>
      <c r="D1574" s="5" t="s">
        <v>889</v>
      </c>
      <c r="E1574" s="5" t="n">
        <v>3</v>
      </c>
      <c r="F1574" s="20" t="n">
        <v>8.90646835012721</v>
      </c>
      <c r="G1574" s="20" t="n">
        <f aca="false">9-F1574</f>
        <v>0.0935316498727872</v>
      </c>
      <c r="H1574" s="20" t="n">
        <f aca="false">IF(G1574&gt;=1,G1574,0)</f>
        <v>0</v>
      </c>
      <c r="I1574" s="5" t="s">
        <v>774</v>
      </c>
      <c r="J1574" s="5" t="s">
        <v>2151</v>
      </c>
    </row>
    <row r="1575" customFormat="false" ht="15" hidden="false" customHeight="false" outlineLevel="0" collapsed="false">
      <c r="A1575" s="5" t="s">
        <v>229</v>
      </c>
      <c r="B1575" s="5" t="s">
        <v>168</v>
      </c>
      <c r="C1575" s="5" t="n">
        <v>89</v>
      </c>
      <c r="D1575" s="5" t="s">
        <v>889</v>
      </c>
      <c r="E1575" s="5" t="n">
        <v>3</v>
      </c>
      <c r="F1575" s="20" t="n">
        <v>8.90646835012721</v>
      </c>
      <c r="G1575" s="20" t="n">
        <f aca="false">9-F1575</f>
        <v>0.0935316498727872</v>
      </c>
      <c r="H1575" s="20" t="n">
        <f aca="false">IF(G1575&gt;=1,G1575,0)</f>
        <v>0</v>
      </c>
      <c r="I1575" s="5" t="s">
        <v>774</v>
      </c>
      <c r="J1575" s="5" t="s">
        <v>2152</v>
      </c>
    </row>
    <row r="1576" customFormat="false" ht="15" hidden="false" customHeight="false" outlineLevel="0" collapsed="false">
      <c r="A1576" s="5" t="s">
        <v>229</v>
      </c>
      <c r="B1576" s="5" t="s">
        <v>168</v>
      </c>
      <c r="C1576" s="5" t="n">
        <v>90</v>
      </c>
      <c r="D1576" s="5" t="s">
        <v>889</v>
      </c>
      <c r="E1576" s="5" t="n">
        <v>3</v>
      </c>
      <c r="F1576" s="20" t="n">
        <v>8.90646835012721</v>
      </c>
      <c r="G1576" s="20" t="n">
        <f aca="false">9-F1576</f>
        <v>0.0935316498727872</v>
      </c>
      <c r="H1576" s="20" t="n">
        <f aca="false">IF(G1576&gt;=1,G1576,0)</f>
        <v>0</v>
      </c>
      <c r="I1576" s="5" t="s">
        <v>774</v>
      </c>
      <c r="J1576" s="5" t="s">
        <v>2153</v>
      </c>
    </row>
    <row r="1577" customFormat="false" ht="15" hidden="false" customHeight="false" outlineLevel="0" collapsed="false">
      <c r="A1577" s="5" t="s">
        <v>229</v>
      </c>
      <c r="B1577" s="5" t="s">
        <v>168</v>
      </c>
      <c r="C1577" s="5" t="n">
        <v>91</v>
      </c>
      <c r="D1577" s="5" t="s">
        <v>889</v>
      </c>
      <c r="E1577" s="5" t="n">
        <v>3</v>
      </c>
      <c r="F1577" s="20" t="n">
        <v>8.90646835012721</v>
      </c>
      <c r="G1577" s="20" t="n">
        <f aca="false">9-F1577</f>
        <v>0.093531649872789</v>
      </c>
      <c r="H1577" s="20" t="n">
        <f aca="false">IF(G1577&gt;=1,G1577,0)</f>
        <v>0</v>
      </c>
      <c r="I1577" s="5" t="s">
        <v>774</v>
      </c>
      <c r="J1577" s="5" t="s">
        <v>2154</v>
      </c>
    </row>
    <row r="1578" customFormat="false" ht="15" hidden="false" customHeight="false" outlineLevel="0" collapsed="false">
      <c r="A1578" s="5" t="s">
        <v>229</v>
      </c>
      <c r="B1578" s="5" t="s">
        <v>168</v>
      </c>
      <c r="C1578" s="5" t="n">
        <v>92</v>
      </c>
      <c r="D1578" s="5" t="s">
        <v>889</v>
      </c>
      <c r="E1578" s="5" t="n">
        <v>3</v>
      </c>
      <c r="F1578" s="20" t="n">
        <v>8.90646835012721</v>
      </c>
      <c r="G1578" s="20" t="n">
        <f aca="false">9-F1578</f>
        <v>0.093531649872789</v>
      </c>
      <c r="H1578" s="20" t="n">
        <f aca="false">IF(G1578&gt;=1,G1578,0)</f>
        <v>0</v>
      </c>
      <c r="I1578" s="5" t="s">
        <v>774</v>
      </c>
      <c r="J1578" s="5" t="s">
        <v>2155</v>
      </c>
    </row>
    <row r="1579" customFormat="false" ht="15" hidden="false" customHeight="false" outlineLevel="0" collapsed="false">
      <c r="A1579" s="5" t="s">
        <v>229</v>
      </c>
      <c r="B1579" s="5" t="s">
        <v>168</v>
      </c>
      <c r="C1579" s="5" t="n">
        <v>93</v>
      </c>
      <c r="D1579" s="5" t="s">
        <v>889</v>
      </c>
      <c r="E1579" s="5" t="n">
        <v>3</v>
      </c>
      <c r="F1579" s="20" t="n">
        <v>8.90646835012721</v>
      </c>
      <c r="G1579" s="20" t="n">
        <f aca="false">9-F1579</f>
        <v>0.093531649872789</v>
      </c>
      <c r="H1579" s="20" t="n">
        <f aca="false">IF(G1579&gt;=1,G1579,0)</f>
        <v>0</v>
      </c>
      <c r="I1579" s="5" t="s">
        <v>774</v>
      </c>
      <c r="J1579" s="5" t="s">
        <v>2156</v>
      </c>
    </row>
    <row r="1580" customFormat="false" ht="15" hidden="false" customHeight="false" outlineLevel="0" collapsed="false">
      <c r="A1580" s="5" t="s">
        <v>229</v>
      </c>
      <c r="B1580" s="5" t="s">
        <v>168</v>
      </c>
      <c r="C1580" s="5" t="n">
        <v>94</v>
      </c>
      <c r="D1580" s="5" t="s">
        <v>889</v>
      </c>
      <c r="E1580" s="5" t="n">
        <v>3</v>
      </c>
      <c r="F1580" s="20" t="n">
        <v>8.90646835012721</v>
      </c>
      <c r="G1580" s="20" t="n">
        <f aca="false">9-F1580</f>
        <v>0.093531649872789</v>
      </c>
      <c r="H1580" s="20" t="n">
        <f aca="false">IF(G1580&gt;=1,G1580,0)</f>
        <v>0</v>
      </c>
      <c r="I1580" s="5" t="s">
        <v>774</v>
      </c>
      <c r="J1580" s="5" t="s">
        <v>2157</v>
      </c>
    </row>
    <row r="1581" customFormat="false" ht="15" hidden="false" customHeight="false" outlineLevel="0" collapsed="false">
      <c r="A1581" s="5" t="s">
        <v>229</v>
      </c>
      <c r="B1581" s="5" t="s">
        <v>168</v>
      </c>
      <c r="C1581" s="5" t="n">
        <v>95</v>
      </c>
      <c r="D1581" s="5" t="s">
        <v>889</v>
      </c>
      <c r="E1581" s="5" t="n">
        <v>3</v>
      </c>
      <c r="F1581" s="20" t="n">
        <v>8.90646835012721</v>
      </c>
      <c r="G1581" s="20" t="n">
        <f aca="false">9-F1581</f>
        <v>0.093531649872789</v>
      </c>
      <c r="H1581" s="20" t="n">
        <f aca="false">IF(G1581&gt;=1,G1581,0)</f>
        <v>0</v>
      </c>
      <c r="I1581" s="5" t="s">
        <v>774</v>
      </c>
      <c r="J1581" s="5" t="s">
        <v>2158</v>
      </c>
    </row>
    <row r="1582" customFormat="false" ht="15" hidden="false" customHeight="false" outlineLevel="0" collapsed="false">
      <c r="A1582" s="5" t="s">
        <v>229</v>
      </c>
      <c r="B1582" s="5" t="s">
        <v>168</v>
      </c>
      <c r="C1582" s="5" t="n">
        <v>96</v>
      </c>
      <c r="D1582" s="5" t="s">
        <v>889</v>
      </c>
      <c r="E1582" s="5" t="n">
        <v>3</v>
      </c>
      <c r="F1582" s="20" t="n">
        <v>8.90646835012721</v>
      </c>
      <c r="G1582" s="20" t="n">
        <f aca="false">9-F1582</f>
        <v>0.093531649872789</v>
      </c>
      <c r="H1582" s="20" t="n">
        <f aca="false">IF(G1582&gt;=1,G1582,0)</f>
        <v>0</v>
      </c>
      <c r="I1582" s="5" t="s">
        <v>774</v>
      </c>
      <c r="J1582" s="5" t="s">
        <v>2159</v>
      </c>
    </row>
    <row r="1583" customFormat="false" ht="15" hidden="false" customHeight="false" outlineLevel="0" collapsed="false">
      <c r="A1583" s="5" t="s">
        <v>229</v>
      </c>
      <c r="B1583" s="5" t="s">
        <v>168</v>
      </c>
      <c r="C1583" s="5" t="n">
        <v>97</v>
      </c>
      <c r="D1583" s="5" t="s">
        <v>889</v>
      </c>
      <c r="E1583" s="5" t="n">
        <v>3</v>
      </c>
      <c r="F1583" s="20" t="n">
        <v>8.90646835012721</v>
      </c>
      <c r="G1583" s="20" t="n">
        <f aca="false">9-F1583</f>
        <v>0.093531649872789</v>
      </c>
      <c r="H1583" s="20" t="n">
        <f aca="false">IF(G1583&gt;=1,G1583,0)</f>
        <v>0</v>
      </c>
      <c r="I1583" s="5" t="s">
        <v>774</v>
      </c>
      <c r="J1583" s="5" t="s">
        <v>2160</v>
      </c>
    </row>
    <row r="1584" customFormat="false" ht="15" hidden="false" customHeight="false" outlineLevel="0" collapsed="false">
      <c r="A1584" s="5" t="s">
        <v>229</v>
      </c>
      <c r="B1584" s="5" t="s">
        <v>168</v>
      </c>
      <c r="C1584" s="5" t="n">
        <v>98</v>
      </c>
      <c r="D1584" s="5" t="s">
        <v>889</v>
      </c>
      <c r="E1584" s="5" t="n">
        <v>3</v>
      </c>
      <c r="F1584" s="20" t="n">
        <v>8.90460677249567</v>
      </c>
      <c r="G1584" s="20" t="n">
        <f aca="false">9-F1584</f>
        <v>0.0953932275043279</v>
      </c>
      <c r="H1584" s="20" t="n">
        <f aca="false">IF(G1584&gt;=1,G1584,0)</f>
        <v>0</v>
      </c>
      <c r="I1584" s="5" t="s">
        <v>774</v>
      </c>
      <c r="J1584" s="5" t="s">
        <v>2161</v>
      </c>
    </row>
    <row r="1585" customFormat="false" ht="15" hidden="false" customHeight="false" outlineLevel="0" collapsed="false">
      <c r="A1585" s="5" t="s">
        <v>229</v>
      </c>
      <c r="B1585" s="5" t="s">
        <v>168</v>
      </c>
      <c r="C1585" s="5" t="n">
        <v>99</v>
      </c>
      <c r="D1585" s="5" t="s">
        <v>903</v>
      </c>
      <c r="E1585" s="5" t="n">
        <v>3</v>
      </c>
      <c r="F1585" s="20" t="n">
        <v>8.84629358196091</v>
      </c>
      <c r="G1585" s="20" t="n">
        <f aca="false">9-F1585</f>
        <v>0.153706418039089</v>
      </c>
      <c r="H1585" s="20" t="n">
        <f aca="false">IF(G1585&gt;=1,G1585,0)</f>
        <v>0</v>
      </c>
      <c r="I1585" s="5" t="s">
        <v>774</v>
      </c>
      <c r="J1585" s="5" t="s">
        <v>2162</v>
      </c>
    </row>
    <row r="1586" customFormat="false" ht="15" hidden="false" customHeight="false" outlineLevel="0" collapsed="false">
      <c r="A1586" s="5" t="s">
        <v>229</v>
      </c>
      <c r="B1586" s="5" t="s">
        <v>168</v>
      </c>
      <c r="C1586" s="5" t="n">
        <v>100</v>
      </c>
      <c r="D1586" s="5" t="s">
        <v>905</v>
      </c>
      <c r="E1586" s="5" t="n">
        <v>3</v>
      </c>
      <c r="F1586" s="20" t="n">
        <v>8.77102476475661</v>
      </c>
      <c r="G1586" s="20" t="n">
        <f aca="false">9-F1586</f>
        <v>0.228975235243389</v>
      </c>
      <c r="H1586" s="20" t="n">
        <f aca="false">IF(G1586&gt;=1,G1586,0)</f>
        <v>0</v>
      </c>
      <c r="I1586" s="5" t="s">
        <v>774</v>
      </c>
      <c r="J1586" s="5" t="s">
        <v>2163</v>
      </c>
    </row>
    <row r="1587" customFormat="false" ht="15" hidden="false" customHeight="false" outlineLevel="0" collapsed="false">
      <c r="A1587" s="5" t="s">
        <v>229</v>
      </c>
      <c r="B1587" s="5" t="s">
        <v>168</v>
      </c>
      <c r="C1587" s="5" t="n">
        <v>101</v>
      </c>
      <c r="D1587" s="5" t="s">
        <v>907</v>
      </c>
      <c r="E1587" s="5" t="n">
        <v>3</v>
      </c>
      <c r="F1587" s="20" t="n">
        <v>8.6957559475523</v>
      </c>
      <c r="G1587" s="20" t="n">
        <f aca="false">9-F1587</f>
        <v>0.304244052447697</v>
      </c>
      <c r="H1587" s="20" t="n">
        <f aca="false">IF(G1587&gt;=1,G1587,0)</f>
        <v>0</v>
      </c>
      <c r="I1587" s="5" t="s">
        <v>774</v>
      </c>
      <c r="J1587" s="5" t="s">
        <v>2164</v>
      </c>
    </row>
    <row r="1588" customFormat="false" ht="15" hidden="false" customHeight="false" outlineLevel="0" collapsed="false">
      <c r="A1588" s="5" t="s">
        <v>229</v>
      </c>
      <c r="B1588" s="5" t="s">
        <v>168</v>
      </c>
      <c r="C1588" s="5" t="n">
        <v>102</v>
      </c>
      <c r="D1588" s="5" t="s">
        <v>909</v>
      </c>
      <c r="E1588" s="5" t="n">
        <v>3</v>
      </c>
      <c r="F1588" s="20" t="n">
        <v>8.62288634238816</v>
      </c>
      <c r="G1588" s="20" t="n">
        <f aca="false">9-F1588</f>
        <v>0.377113657611844</v>
      </c>
      <c r="H1588" s="20" t="n">
        <f aca="false">IF(G1588&gt;=1,G1588,0)</f>
        <v>0</v>
      </c>
      <c r="I1588" s="5" t="s">
        <v>774</v>
      </c>
      <c r="J1588" s="5" t="s">
        <v>2165</v>
      </c>
    </row>
    <row r="1589" customFormat="false" ht="15" hidden="false" customHeight="false" outlineLevel="0" collapsed="false">
      <c r="A1589" s="5" t="s">
        <v>229</v>
      </c>
      <c r="B1589" s="5" t="s">
        <v>168</v>
      </c>
      <c r="C1589" s="5" t="n">
        <v>103</v>
      </c>
      <c r="D1589" s="5" t="s">
        <v>911</v>
      </c>
      <c r="E1589" s="5" t="n">
        <v>3</v>
      </c>
      <c r="F1589" s="20" t="n">
        <v>8.60646835012722</v>
      </c>
      <c r="G1589" s="20" t="n">
        <f aca="false">9-F1589</f>
        <v>0.393531649872783</v>
      </c>
      <c r="H1589" s="20" t="n">
        <f aca="false">IF(G1589&gt;=1,G1589,0)</f>
        <v>0</v>
      </c>
      <c r="I1589" s="5" t="s">
        <v>774</v>
      </c>
      <c r="J1589" s="5" t="s">
        <v>2166</v>
      </c>
    </row>
    <row r="1590" customFormat="false" ht="15" hidden="false" customHeight="false" outlineLevel="0" collapsed="false">
      <c r="A1590" s="5" t="s">
        <v>229</v>
      </c>
      <c r="B1590" s="5" t="s">
        <v>168</v>
      </c>
      <c r="C1590" s="5" t="n">
        <v>104</v>
      </c>
      <c r="D1590" s="5" t="s">
        <v>911</v>
      </c>
      <c r="E1590" s="5" t="n">
        <v>3</v>
      </c>
      <c r="F1590" s="20" t="n">
        <v>8.60646835012722</v>
      </c>
      <c r="G1590" s="20" t="n">
        <f aca="false">9-F1590</f>
        <v>0.393531649872783</v>
      </c>
      <c r="H1590" s="20" t="n">
        <f aca="false">IF(G1590&gt;=1,G1590,0)</f>
        <v>0</v>
      </c>
      <c r="I1590" s="5" t="s">
        <v>774</v>
      </c>
      <c r="J1590" s="5" t="s">
        <v>2167</v>
      </c>
    </row>
    <row r="1591" customFormat="false" ht="15" hidden="false" customHeight="false" outlineLevel="0" collapsed="false">
      <c r="A1591" s="5" t="s">
        <v>229</v>
      </c>
      <c r="B1591" s="5" t="s">
        <v>168</v>
      </c>
      <c r="C1591" s="5" t="n">
        <v>105</v>
      </c>
      <c r="D1591" s="5" t="s">
        <v>911</v>
      </c>
      <c r="E1591" s="5" t="n">
        <v>3</v>
      </c>
      <c r="F1591" s="20" t="n">
        <v>8.60646835012722</v>
      </c>
      <c r="G1591" s="20" t="n">
        <f aca="false">9-F1591</f>
        <v>0.393531649872783</v>
      </c>
      <c r="H1591" s="20" t="n">
        <f aca="false">IF(G1591&gt;=1,G1591,0)</f>
        <v>0</v>
      </c>
      <c r="I1591" s="5" t="s">
        <v>774</v>
      </c>
      <c r="J1591" s="5" t="s">
        <v>2168</v>
      </c>
    </row>
    <row r="1592" customFormat="false" ht="15" hidden="false" customHeight="false" outlineLevel="0" collapsed="false">
      <c r="A1592" s="5" t="s">
        <v>229</v>
      </c>
      <c r="B1592" s="5" t="s">
        <v>168</v>
      </c>
      <c r="C1592" s="5" t="n">
        <v>106</v>
      </c>
      <c r="D1592" s="5" t="s">
        <v>911</v>
      </c>
      <c r="E1592" s="5" t="n">
        <v>3</v>
      </c>
      <c r="F1592" s="20" t="n">
        <v>8.60646835012722</v>
      </c>
      <c r="G1592" s="20" t="n">
        <f aca="false">9-F1592</f>
        <v>0.393531649872783</v>
      </c>
      <c r="H1592" s="20" t="n">
        <f aca="false">IF(G1592&gt;=1,G1592,0)</f>
        <v>0</v>
      </c>
      <c r="I1592" s="5" t="s">
        <v>774</v>
      </c>
      <c r="J1592" s="5" t="s">
        <v>2169</v>
      </c>
    </row>
    <row r="1593" customFormat="false" ht="15" hidden="false" customHeight="false" outlineLevel="0" collapsed="false">
      <c r="A1593" s="5" t="s">
        <v>229</v>
      </c>
      <c r="B1593" s="5" t="s">
        <v>168</v>
      </c>
      <c r="C1593" s="5" t="n">
        <v>107</v>
      </c>
      <c r="D1593" s="5" t="s">
        <v>911</v>
      </c>
      <c r="E1593" s="5" t="n">
        <v>3</v>
      </c>
      <c r="F1593" s="20" t="n">
        <v>8.60646835012722</v>
      </c>
      <c r="G1593" s="20" t="n">
        <f aca="false">9-F1593</f>
        <v>0.393531649872783</v>
      </c>
      <c r="H1593" s="20" t="n">
        <f aca="false">IF(G1593&gt;=1,G1593,0)</f>
        <v>0</v>
      </c>
      <c r="I1593" s="5" t="s">
        <v>774</v>
      </c>
      <c r="J1593" s="5" t="s">
        <v>2170</v>
      </c>
    </row>
    <row r="1594" customFormat="false" ht="15" hidden="false" customHeight="false" outlineLevel="0" collapsed="false">
      <c r="A1594" s="5" t="s">
        <v>229</v>
      </c>
      <c r="B1594" s="5" t="s">
        <v>168</v>
      </c>
      <c r="C1594" s="5" t="n">
        <v>108</v>
      </c>
      <c r="D1594" s="5" t="s">
        <v>911</v>
      </c>
      <c r="E1594" s="5" t="n">
        <v>3</v>
      </c>
      <c r="F1594" s="20" t="n">
        <v>8.60646835012722</v>
      </c>
      <c r="G1594" s="20" t="n">
        <f aca="false">9-F1594</f>
        <v>0.393531649872783</v>
      </c>
      <c r="H1594" s="20" t="n">
        <f aca="false">IF(G1594&gt;=1,G1594,0)</f>
        <v>0</v>
      </c>
      <c r="I1594" s="5" t="s">
        <v>774</v>
      </c>
      <c r="J1594" s="5" t="s">
        <v>2171</v>
      </c>
    </row>
    <row r="1595" customFormat="false" ht="15" hidden="false" customHeight="false" outlineLevel="0" collapsed="false">
      <c r="A1595" s="5" t="s">
        <v>229</v>
      </c>
      <c r="B1595" s="5" t="s">
        <v>168</v>
      </c>
      <c r="C1595" s="5" t="n">
        <v>109</v>
      </c>
      <c r="D1595" s="5" t="s">
        <v>911</v>
      </c>
      <c r="E1595" s="5" t="n">
        <v>3</v>
      </c>
      <c r="F1595" s="20" t="n">
        <v>8.60646835012722</v>
      </c>
      <c r="G1595" s="20" t="n">
        <f aca="false">9-F1595</f>
        <v>0.393531649872783</v>
      </c>
      <c r="H1595" s="20" t="n">
        <f aca="false">IF(G1595&gt;=1,G1595,0)</f>
        <v>0</v>
      </c>
      <c r="I1595" s="5" t="s">
        <v>774</v>
      </c>
      <c r="J1595" s="5" t="s">
        <v>2172</v>
      </c>
    </row>
    <row r="1596" customFormat="false" ht="15" hidden="false" customHeight="false" outlineLevel="0" collapsed="false">
      <c r="A1596" s="5" t="s">
        <v>229</v>
      </c>
      <c r="B1596" s="5" t="s">
        <v>168</v>
      </c>
      <c r="C1596" s="5" t="n">
        <v>110</v>
      </c>
      <c r="D1596" s="5" t="s">
        <v>919</v>
      </c>
      <c r="E1596" s="5" t="n">
        <v>1</v>
      </c>
      <c r="F1596" s="20" t="n">
        <v>3.58847402597399</v>
      </c>
      <c r="G1596" s="20" t="n">
        <f aca="false">9-F1596</f>
        <v>5.41152597402602</v>
      </c>
      <c r="H1596" s="20" t="n">
        <f aca="false">IF(G1596&gt;=1,G1596,0)</f>
        <v>5.41152597402602</v>
      </c>
      <c r="I1596" s="5" t="s">
        <v>774</v>
      </c>
      <c r="J1596" s="5" t="s">
        <v>2173</v>
      </c>
    </row>
    <row r="1597" customFormat="false" ht="15" hidden="false" customHeight="false" outlineLevel="0" collapsed="false">
      <c r="A1597" s="5" t="s">
        <v>229</v>
      </c>
      <c r="B1597" s="5" t="s">
        <v>169</v>
      </c>
      <c r="C1597" s="5" t="n">
        <v>1</v>
      </c>
      <c r="D1597" s="5" t="s">
        <v>930</v>
      </c>
      <c r="E1597" s="5" t="n">
        <v>3</v>
      </c>
      <c r="F1597" s="20" t="n">
        <v>8.94000000000002</v>
      </c>
      <c r="G1597" s="20" t="n">
        <f aca="false">9-F1597</f>
        <v>0.0599999999999845</v>
      </c>
      <c r="H1597" s="20" t="n">
        <f aca="false">IF(G1597&gt;=1,G1597,0)</f>
        <v>0</v>
      </c>
      <c r="I1597" s="5" t="s">
        <v>774</v>
      </c>
      <c r="J1597" s="5" t="s">
        <v>2174</v>
      </c>
    </row>
    <row r="1598" customFormat="false" ht="15" hidden="false" customHeight="false" outlineLevel="0" collapsed="false">
      <c r="A1598" s="5" t="s">
        <v>229</v>
      </c>
      <c r="B1598" s="5" t="s">
        <v>169</v>
      </c>
      <c r="C1598" s="5" t="n">
        <v>2</v>
      </c>
      <c r="D1598" s="5" t="s">
        <v>930</v>
      </c>
      <c r="E1598" s="5" t="n">
        <v>3</v>
      </c>
      <c r="F1598" s="20" t="n">
        <v>8.94000000000001</v>
      </c>
      <c r="G1598" s="20" t="n">
        <f aca="false">9-F1598</f>
        <v>0.0599999999999863</v>
      </c>
      <c r="H1598" s="20" t="n">
        <f aca="false">IF(G1598&gt;=1,G1598,0)</f>
        <v>0</v>
      </c>
      <c r="I1598" s="5" t="s">
        <v>774</v>
      </c>
      <c r="J1598" s="5" t="s">
        <v>2175</v>
      </c>
    </row>
    <row r="1599" customFormat="false" ht="15" hidden="false" customHeight="false" outlineLevel="0" collapsed="false">
      <c r="A1599" s="5" t="s">
        <v>229</v>
      </c>
      <c r="B1599" s="5" t="s">
        <v>169</v>
      </c>
      <c r="C1599" s="5" t="n">
        <v>3</v>
      </c>
      <c r="D1599" s="5" t="s">
        <v>930</v>
      </c>
      <c r="E1599" s="5" t="n">
        <v>3</v>
      </c>
      <c r="F1599" s="20" t="n">
        <v>8.94000000000001</v>
      </c>
      <c r="G1599" s="20" t="n">
        <f aca="false">9-F1599</f>
        <v>0.0599999999999881</v>
      </c>
      <c r="H1599" s="20" t="n">
        <f aca="false">IF(G1599&gt;=1,G1599,0)</f>
        <v>0</v>
      </c>
      <c r="I1599" s="5" t="s">
        <v>774</v>
      </c>
      <c r="J1599" s="5" t="s">
        <v>2176</v>
      </c>
    </row>
    <row r="1600" customFormat="false" ht="15" hidden="false" customHeight="false" outlineLevel="0" collapsed="false">
      <c r="A1600" s="5" t="s">
        <v>229</v>
      </c>
      <c r="B1600" s="5" t="s">
        <v>169</v>
      </c>
      <c r="C1600" s="5" t="n">
        <v>4</v>
      </c>
      <c r="D1600" s="5" t="s">
        <v>930</v>
      </c>
      <c r="E1600" s="5" t="n">
        <v>3</v>
      </c>
      <c r="F1600" s="20" t="n">
        <v>8.94000000000001</v>
      </c>
      <c r="G1600" s="20" t="n">
        <f aca="false">9-F1600</f>
        <v>0.0599999999999881</v>
      </c>
      <c r="H1600" s="20" t="n">
        <f aca="false">IF(G1600&gt;=1,G1600,0)</f>
        <v>0</v>
      </c>
      <c r="I1600" s="5" t="s">
        <v>774</v>
      </c>
      <c r="J1600" s="5" t="s">
        <v>2177</v>
      </c>
    </row>
    <row r="1601" customFormat="false" ht="15" hidden="false" customHeight="false" outlineLevel="0" collapsed="false">
      <c r="A1601" s="5" t="s">
        <v>229</v>
      </c>
      <c r="B1601" s="5" t="s">
        <v>169</v>
      </c>
      <c r="C1601" s="5" t="n">
        <v>5</v>
      </c>
      <c r="D1601" s="5" t="s">
        <v>930</v>
      </c>
      <c r="E1601" s="5" t="n">
        <v>3</v>
      </c>
      <c r="F1601" s="20" t="n">
        <v>8.94000000000001</v>
      </c>
      <c r="G1601" s="20" t="n">
        <f aca="false">9-F1601</f>
        <v>0.0599999999999881</v>
      </c>
      <c r="H1601" s="20" t="n">
        <f aca="false">IF(G1601&gt;=1,G1601,0)</f>
        <v>0</v>
      </c>
      <c r="I1601" s="5" t="s">
        <v>774</v>
      </c>
      <c r="J1601" s="5" t="s">
        <v>2178</v>
      </c>
    </row>
    <row r="1602" customFormat="false" ht="15" hidden="false" customHeight="false" outlineLevel="0" collapsed="false">
      <c r="A1602" s="5" t="s">
        <v>229</v>
      </c>
      <c r="B1602" s="5" t="s">
        <v>169</v>
      </c>
      <c r="C1602" s="5" t="n">
        <v>6</v>
      </c>
      <c r="D1602" s="5" t="s">
        <v>930</v>
      </c>
      <c r="E1602" s="5" t="n">
        <v>3</v>
      </c>
      <c r="F1602" s="20" t="n">
        <v>8.94000000000001</v>
      </c>
      <c r="G1602" s="20" t="n">
        <f aca="false">9-F1602</f>
        <v>0.0599999999999898</v>
      </c>
      <c r="H1602" s="20" t="n">
        <f aca="false">IF(G1602&gt;=1,G1602,0)</f>
        <v>0</v>
      </c>
      <c r="I1602" s="5" t="s">
        <v>774</v>
      </c>
      <c r="J1602" s="5" t="s">
        <v>2179</v>
      </c>
    </row>
    <row r="1603" customFormat="false" ht="15" hidden="false" customHeight="false" outlineLevel="0" collapsed="false">
      <c r="A1603" s="5" t="s">
        <v>229</v>
      </c>
      <c r="B1603" s="5" t="s">
        <v>169</v>
      </c>
      <c r="C1603" s="5" t="n">
        <v>7</v>
      </c>
      <c r="D1603" s="5" t="s">
        <v>930</v>
      </c>
      <c r="E1603" s="5" t="n">
        <v>3</v>
      </c>
      <c r="F1603" s="20" t="n">
        <v>8.94000000000001</v>
      </c>
      <c r="G1603" s="20" t="n">
        <f aca="false">9-F1603</f>
        <v>0.0599999999999898</v>
      </c>
      <c r="H1603" s="20" t="n">
        <f aca="false">IF(G1603&gt;=1,G1603,0)</f>
        <v>0</v>
      </c>
      <c r="I1603" s="5" t="s">
        <v>774</v>
      </c>
      <c r="J1603" s="5" t="s">
        <v>2180</v>
      </c>
    </row>
    <row r="1604" customFormat="false" ht="15" hidden="false" customHeight="false" outlineLevel="0" collapsed="false">
      <c r="A1604" s="5" t="s">
        <v>229</v>
      </c>
      <c r="B1604" s="5" t="s">
        <v>169</v>
      </c>
      <c r="C1604" s="5" t="n">
        <v>8</v>
      </c>
      <c r="D1604" s="5" t="s">
        <v>1616</v>
      </c>
      <c r="E1604" s="5" t="n">
        <v>3</v>
      </c>
      <c r="F1604" s="20" t="n">
        <v>8.68478343051252</v>
      </c>
      <c r="G1604" s="20" t="n">
        <f aca="false">9-F1604</f>
        <v>0.315216569487479</v>
      </c>
      <c r="H1604" s="20" t="n">
        <f aca="false">IF(G1604&gt;=1,G1604,0)</f>
        <v>0</v>
      </c>
      <c r="I1604" s="5" t="s">
        <v>952</v>
      </c>
      <c r="J1604" s="5" t="s">
        <v>2181</v>
      </c>
    </row>
    <row r="1605" customFormat="false" ht="15" hidden="false" customHeight="false" outlineLevel="0" collapsed="false">
      <c r="A1605" s="5" t="s">
        <v>229</v>
      </c>
      <c r="B1605" s="5" t="s">
        <v>169</v>
      </c>
      <c r="C1605" s="5" t="n">
        <v>9</v>
      </c>
      <c r="D1605" s="5" t="s">
        <v>1616</v>
      </c>
      <c r="E1605" s="5" t="n">
        <v>3</v>
      </c>
      <c r="F1605" s="20" t="n">
        <v>8.68478343051252</v>
      </c>
      <c r="G1605" s="20" t="n">
        <f aca="false">9-F1605</f>
        <v>0.315216569487482</v>
      </c>
      <c r="H1605" s="20" t="n">
        <f aca="false">IF(G1605&gt;=1,G1605,0)</f>
        <v>0</v>
      </c>
      <c r="I1605" s="5" t="s">
        <v>952</v>
      </c>
      <c r="J1605" s="5" t="s">
        <v>2182</v>
      </c>
    </row>
    <row r="1606" customFormat="false" ht="15" hidden="false" customHeight="false" outlineLevel="0" collapsed="false">
      <c r="A1606" s="5" t="s">
        <v>229</v>
      </c>
      <c r="B1606" s="5" t="s">
        <v>169</v>
      </c>
      <c r="C1606" s="5" t="n">
        <v>10</v>
      </c>
      <c r="D1606" s="5" t="s">
        <v>1616</v>
      </c>
      <c r="E1606" s="5" t="n">
        <v>3</v>
      </c>
      <c r="F1606" s="20" t="n">
        <v>8.68478343051252</v>
      </c>
      <c r="G1606" s="20" t="n">
        <f aca="false">9-F1606</f>
        <v>0.315216569487484</v>
      </c>
      <c r="H1606" s="20" t="n">
        <f aca="false">IF(G1606&gt;=1,G1606,0)</f>
        <v>0</v>
      </c>
      <c r="I1606" s="5" t="s">
        <v>952</v>
      </c>
      <c r="J1606" s="5" t="s">
        <v>2183</v>
      </c>
    </row>
    <row r="1607" customFormat="false" ht="15" hidden="false" customHeight="false" outlineLevel="0" collapsed="false">
      <c r="A1607" s="5" t="s">
        <v>229</v>
      </c>
      <c r="B1607" s="5" t="s">
        <v>169</v>
      </c>
      <c r="C1607" s="5" t="n">
        <v>11</v>
      </c>
      <c r="D1607" s="5" t="s">
        <v>1616</v>
      </c>
      <c r="E1607" s="5" t="n">
        <v>3</v>
      </c>
      <c r="F1607" s="20" t="n">
        <v>8.68478343051251</v>
      </c>
      <c r="G1607" s="20" t="n">
        <f aca="false">9-F1607</f>
        <v>0.315216569487486</v>
      </c>
      <c r="H1607" s="20" t="n">
        <f aca="false">IF(G1607&gt;=1,G1607,0)</f>
        <v>0</v>
      </c>
      <c r="I1607" s="5" t="s">
        <v>952</v>
      </c>
      <c r="J1607" s="5" t="s">
        <v>2184</v>
      </c>
    </row>
    <row r="1608" customFormat="false" ht="15" hidden="false" customHeight="false" outlineLevel="0" collapsed="false">
      <c r="A1608" s="5" t="s">
        <v>229</v>
      </c>
      <c r="B1608" s="5" t="s">
        <v>169</v>
      </c>
      <c r="C1608" s="5" t="n">
        <v>12</v>
      </c>
      <c r="D1608" s="5" t="s">
        <v>1616</v>
      </c>
      <c r="E1608" s="5" t="n">
        <v>3</v>
      </c>
      <c r="F1608" s="20" t="n">
        <v>8.68478343051251</v>
      </c>
      <c r="G1608" s="20" t="n">
        <f aca="false">9-F1608</f>
        <v>0.315216569487486</v>
      </c>
      <c r="H1608" s="20" t="n">
        <f aca="false">IF(G1608&gt;=1,G1608,0)</f>
        <v>0</v>
      </c>
      <c r="I1608" s="5" t="s">
        <v>952</v>
      </c>
      <c r="J1608" s="5" t="s">
        <v>2185</v>
      </c>
    </row>
    <row r="1609" customFormat="false" ht="15" hidden="false" customHeight="false" outlineLevel="0" collapsed="false">
      <c r="A1609" s="5" t="s">
        <v>229</v>
      </c>
      <c r="B1609" s="5" t="s">
        <v>169</v>
      </c>
      <c r="C1609" s="5" t="n">
        <v>13</v>
      </c>
      <c r="D1609" s="5" t="s">
        <v>1616</v>
      </c>
      <c r="E1609" s="5" t="n">
        <v>3</v>
      </c>
      <c r="F1609" s="20" t="n">
        <v>8.68478343051251</v>
      </c>
      <c r="G1609" s="20" t="n">
        <f aca="false">9-F1609</f>
        <v>0.315216569487493</v>
      </c>
      <c r="H1609" s="20" t="n">
        <f aca="false">IF(G1609&gt;=1,G1609,0)</f>
        <v>0</v>
      </c>
      <c r="I1609" s="5" t="s">
        <v>952</v>
      </c>
      <c r="J1609" s="5" t="s">
        <v>2186</v>
      </c>
    </row>
    <row r="1610" customFormat="false" ht="15" hidden="false" customHeight="false" outlineLevel="0" collapsed="false">
      <c r="A1610" s="5" t="s">
        <v>229</v>
      </c>
      <c r="B1610" s="5" t="s">
        <v>169</v>
      </c>
      <c r="C1610" s="5" t="n">
        <v>14</v>
      </c>
      <c r="D1610" s="5" t="s">
        <v>1623</v>
      </c>
      <c r="E1610" s="5" t="n">
        <v>4</v>
      </c>
      <c r="F1610" s="20" t="n">
        <v>8.94861787060636</v>
      </c>
      <c r="G1610" s="20" t="n">
        <f aca="false">9-F1610</f>
        <v>0.051382129393641</v>
      </c>
      <c r="H1610" s="20" t="n">
        <f aca="false">IF(G1610&gt;=1,G1610,0)</f>
        <v>0</v>
      </c>
      <c r="I1610" s="5" t="s">
        <v>939</v>
      </c>
      <c r="J1610" s="5" t="s">
        <v>2187</v>
      </c>
    </row>
    <row r="1611" customFormat="false" ht="15" hidden="false" customHeight="false" outlineLevel="0" collapsed="false">
      <c r="A1611" s="5" t="s">
        <v>229</v>
      </c>
      <c r="B1611" s="5" t="s">
        <v>169</v>
      </c>
      <c r="C1611" s="5" t="n">
        <v>15</v>
      </c>
      <c r="D1611" s="5" t="s">
        <v>1623</v>
      </c>
      <c r="E1611" s="5" t="n">
        <v>4</v>
      </c>
      <c r="F1611" s="20" t="n">
        <v>8.94861787060636</v>
      </c>
      <c r="G1611" s="20" t="n">
        <f aca="false">9-F1611</f>
        <v>0.051382129393641</v>
      </c>
      <c r="H1611" s="20" t="n">
        <f aca="false">IF(G1611&gt;=1,G1611,0)</f>
        <v>0</v>
      </c>
      <c r="I1611" s="5" t="s">
        <v>939</v>
      </c>
      <c r="J1611" s="5" t="s">
        <v>2188</v>
      </c>
    </row>
    <row r="1612" customFormat="false" ht="15" hidden="false" customHeight="false" outlineLevel="0" collapsed="false">
      <c r="A1612" s="5" t="s">
        <v>229</v>
      </c>
      <c r="B1612" s="5" t="s">
        <v>169</v>
      </c>
      <c r="C1612" s="5" t="n">
        <v>16</v>
      </c>
      <c r="D1612" s="5" t="s">
        <v>1623</v>
      </c>
      <c r="E1612" s="5" t="n">
        <v>4</v>
      </c>
      <c r="F1612" s="20" t="n">
        <v>8.94861787060635</v>
      </c>
      <c r="G1612" s="20" t="n">
        <f aca="false">9-F1612</f>
        <v>0.0513821293936481</v>
      </c>
      <c r="H1612" s="20" t="n">
        <f aca="false">IF(G1612&gt;=1,G1612,0)</f>
        <v>0</v>
      </c>
      <c r="I1612" s="5" t="s">
        <v>939</v>
      </c>
      <c r="J1612" s="5" t="s">
        <v>2189</v>
      </c>
    </row>
    <row r="1613" customFormat="false" ht="15" hidden="false" customHeight="false" outlineLevel="0" collapsed="false">
      <c r="A1613" s="5" t="s">
        <v>229</v>
      </c>
      <c r="B1613" s="5" t="s">
        <v>169</v>
      </c>
      <c r="C1613" s="5" t="n">
        <v>17</v>
      </c>
      <c r="D1613" s="5" t="s">
        <v>1623</v>
      </c>
      <c r="E1613" s="5" t="n">
        <v>4</v>
      </c>
      <c r="F1613" s="20" t="n">
        <v>8.94861787060635</v>
      </c>
      <c r="G1613" s="20" t="n">
        <f aca="false">9-F1613</f>
        <v>0.0513821293936481</v>
      </c>
      <c r="H1613" s="20" t="n">
        <f aca="false">IF(G1613&gt;=1,G1613,0)</f>
        <v>0</v>
      </c>
      <c r="I1613" s="5" t="s">
        <v>939</v>
      </c>
      <c r="J1613" s="5" t="s">
        <v>2190</v>
      </c>
    </row>
    <row r="1614" customFormat="false" ht="15" hidden="false" customHeight="false" outlineLevel="0" collapsed="false">
      <c r="A1614" s="5" t="s">
        <v>229</v>
      </c>
      <c r="B1614" s="5" t="s">
        <v>169</v>
      </c>
      <c r="C1614" s="5" t="n">
        <v>18</v>
      </c>
      <c r="D1614" s="5" t="s">
        <v>1623</v>
      </c>
      <c r="E1614" s="5" t="n">
        <v>4</v>
      </c>
      <c r="F1614" s="20" t="n">
        <v>8.94861787060635</v>
      </c>
      <c r="G1614" s="20" t="n">
        <f aca="false">9-F1614</f>
        <v>0.0513821293936498</v>
      </c>
      <c r="H1614" s="20" t="n">
        <f aca="false">IF(G1614&gt;=1,G1614,0)</f>
        <v>0</v>
      </c>
      <c r="I1614" s="5" t="s">
        <v>939</v>
      </c>
      <c r="J1614" s="5" t="s">
        <v>2191</v>
      </c>
    </row>
    <row r="1615" customFormat="false" ht="15" hidden="false" customHeight="false" outlineLevel="0" collapsed="false">
      <c r="A1615" s="5" t="s">
        <v>229</v>
      </c>
      <c r="B1615" s="5" t="s">
        <v>169</v>
      </c>
      <c r="C1615" s="5" t="n">
        <v>19</v>
      </c>
      <c r="D1615" s="5" t="s">
        <v>1623</v>
      </c>
      <c r="E1615" s="5" t="n">
        <v>4</v>
      </c>
      <c r="F1615" s="20" t="n">
        <v>8.94861787060635</v>
      </c>
      <c r="G1615" s="20" t="n">
        <f aca="false">9-F1615</f>
        <v>0.0513821293936552</v>
      </c>
      <c r="H1615" s="20" t="n">
        <f aca="false">IF(G1615&gt;=1,G1615,0)</f>
        <v>0</v>
      </c>
      <c r="I1615" s="5" t="s">
        <v>939</v>
      </c>
      <c r="J1615" s="5" t="s">
        <v>2192</v>
      </c>
    </row>
    <row r="1616" customFormat="false" ht="15" hidden="false" customHeight="false" outlineLevel="0" collapsed="false">
      <c r="A1616" s="5" t="s">
        <v>229</v>
      </c>
      <c r="B1616" s="5" t="s">
        <v>169</v>
      </c>
      <c r="C1616" s="5" t="n">
        <v>20</v>
      </c>
      <c r="D1616" s="5" t="s">
        <v>946</v>
      </c>
      <c r="E1616" s="5" t="n">
        <v>4</v>
      </c>
      <c r="F1616" s="20" t="n">
        <v>8.9255313803562</v>
      </c>
      <c r="G1616" s="20" t="n">
        <f aca="false">9-F1616</f>
        <v>0.0744686196437971</v>
      </c>
      <c r="H1616" s="20" t="n">
        <f aca="false">IF(G1616&gt;=1,G1616,0)</f>
        <v>0</v>
      </c>
      <c r="I1616" s="5" t="s">
        <v>774</v>
      </c>
      <c r="J1616" s="5" t="s">
        <v>2193</v>
      </c>
    </row>
    <row r="1617" customFormat="false" ht="15" hidden="false" customHeight="false" outlineLevel="0" collapsed="false">
      <c r="A1617" s="5" t="s">
        <v>229</v>
      </c>
      <c r="B1617" s="5" t="s">
        <v>169</v>
      </c>
      <c r="C1617" s="5" t="n">
        <v>21</v>
      </c>
      <c r="D1617" s="5" t="s">
        <v>946</v>
      </c>
      <c r="E1617" s="5" t="n">
        <v>4</v>
      </c>
      <c r="F1617" s="20" t="n">
        <v>8.9255313803562</v>
      </c>
      <c r="G1617" s="20" t="n">
        <f aca="false">9-F1617</f>
        <v>0.0744686196438025</v>
      </c>
      <c r="H1617" s="20" t="n">
        <f aca="false">IF(G1617&gt;=1,G1617,0)</f>
        <v>0</v>
      </c>
      <c r="I1617" s="5" t="s">
        <v>774</v>
      </c>
      <c r="J1617" s="5" t="s">
        <v>2194</v>
      </c>
    </row>
    <row r="1618" customFormat="false" ht="15" hidden="false" customHeight="false" outlineLevel="0" collapsed="false">
      <c r="A1618" s="5" t="s">
        <v>229</v>
      </c>
      <c r="B1618" s="5" t="s">
        <v>169</v>
      </c>
      <c r="C1618" s="5" t="n">
        <v>22</v>
      </c>
      <c r="D1618" s="5" t="s">
        <v>1632</v>
      </c>
      <c r="E1618" s="5" t="n">
        <v>4</v>
      </c>
      <c r="F1618" s="20" t="n">
        <v>8.7927656901781</v>
      </c>
      <c r="G1618" s="20" t="n">
        <f aca="false">9-F1618</f>
        <v>0.207234309821901</v>
      </c>
      <c r="H1618" s="20" t="n">
        <f aca="false">IF(G1618&gt;=1,G1618,0)</f>
        <v>0</v>
      </c>
      <c r="I1618" s="5" t="s">
        <v>952</v>
      </c>
      <c r="J1618" s="5" t="s">
        <v>2195</v>
      </c>
    </row>
    <row r="1619" customFormat="false" ht="15" hidden="false" customHeight="false" outlineLevel="0" collapsed="false">
      <c r="A1619" s="5" t="s">
        <v>229</v>
      </c>
      <c r="B1619" s="5" t="s">
        <v>169</v>
      </c>
      <c r="C1619" s="5" t="n">
        <v>23</v>
      </c>
      <c r="D1619" s="5" t="s">
        <v>954</v>
      </c>
      <c r="E1619" s="5" t="n">
        <v>4</v>
      </c>
      <c r="F1619" s="20" t="n">
        <v>8.66</v>
      </c>
      <c r="G1619" s="20" t="n">
        <f aca="false">9-F1619</f>
        <v>0.339999999999996</v>
      </c>
      <c r="H1619" s="20" t="n">
        <f aca="false">IF(G1619&gt;=1,G1619,0)</f>
        <v>0</v>
      </c>
      <c r="I1619" s="5" t="s">
        <v>77</v>
      </c>
      <c r="J1619" s="5" t="s">
        <v>2196</v>
      </c>
    </row>
    <row r="1620" customFormat="false" ht="15" hidden="false" customHeight="false" outlineLevel="0" collapsed="false">
      <c r="A1620" s="5" t="s">
        <v>229</v>
      </c>
      <c r="B1620" s="5" t="s">
        <v>169</v>
      </c>
      <c r="C1620" s="5" t="n">
        <v>24</v>
      </c>
      <c r="D1620" s="5" t="s">
        <v>954</v>
      </c>
      <c r="E1620" s="5" t="n">
        <v>4</v>
      </c>
      <c r="F1620" s="20" t="n">
        <v>8.66</v>
      </c>
      <c r="G1620" s="20" t="n">
        <f aca="false">9-F1620</f>
        <v>0.34</v>
      </c>
      <c r="H1620" s="20" t="n">
        <f aca="false">IF(G1620&gt;=1,G1620,0)</f>
        <v>0</v>
      </c>
      <c r="I1620" s="5" t="s">
        <v>77</v>
      </c>
      <c r="J1620" s="5" t="s">
        <v>2197</v>
      </c>
    </row>
    <row r="1621" customFormat="false" ht="15" hidden="false" customHeight="false" outlineLevel="0" collapsed="false">
      <c r="A1621" s="5" t="s">
        <v>229</v>
      </c>
      <c r="B1621" s="5" t="s">
        <v>169</v>
      </c>
      <c r="C1621" s="5" t="n">
        <v>25</v>
      </c>
      <c r="D1621" s="5" t="s">
        <v>2198</v>
      </c>
      <c r="E1621" s="5" t="n">
        <v>5</v>
      </c>
      <c r="F1621" s="20" t="n">
        <v>8.88530445277352</v>
      </c>
      <c r="G1621" s="20" t="n">
        <f aca="false">9-F1621</f>
        <v>0.114695547226482</v>
      </c>
      <c r="H1621" s="20" t="n">
        <f aca="false">IF(G1621&gt;=1,G1621,0)</f>
        <v>0</v>
      </c>
      <c r="I1621" s="5" t="s">
        <v>939</v>
      </c>
      <c r="J1621" s="5" t="s">
        <v>2199</v>
      </c>
    </row>
    <row r="1622" customFormat="false" ht="15" hidden="false" customHeight="false" outlineLevel="0" collapsed="false">
      <c r="A1622" s="5" t="s">
        <v>229</v>
      </c>
      <c r="B1622" s="5" t="s">
        <v>169</v>
      </c>
      <c r="C1622" s="5" t="n">
        <v>26</v>
      </c>
      <c r="D1622" s="5" t="s">
        <v>959</v>
      </c>
      <c r="E1622" s="5" t="n">
        <v>5</v>
      </c>
      <c r="F1622" s="20" t="n">
        <v>8.71807014295162</v>
      </c>
      <c r="G1622" s="20" t="n">
        <f aca="false">9-F1622</f>
        <v>0.281929857048377</v>
      </c>
      <c r="H1622" s="20" t="n">
        <f aca="false">IF(G1622&gt;=1,G1622,0)</f>
        <v>0</v>
      </c>
      <c r="I1622" s="5" t="s">
        <v>960</v>
      </c>
      <c r="J1622" s="5" t="s">
        <v>2200</v>
      </c>
    </row>
    <row r="1623" customFormat="false" ht="15" hidden="false" customHeight="false" outlineLevel="0" collapsed="false">
      <c r="A1623" s="5" t="s">
        <v>229</v>
      </c>
      <c r="B1623" s="5" t="s">
        <v>169</v>
      </c>
      <c r="C1623" s="5" t="n">
        <v>27</v>
      </c>
      <c r="D1623" s="5" t="s">
        <v>2201</v>
      </c>
      <c r="E1623" s="5" t="n">
        <v>5</v>
      </c>
      <c r="F1623" s="20" t="n">
        <v>8.89847945277352</v>
      </c>
      <c r="G1623" s="20" t="n">
        <f aca="false">9-F1623</f>
        <v>0.10152054722648</v>
      </c>
      <c r="H1623" s="20" t="n">
        <f aca="false">IF(G1623&gt;=1,G1623,0)</f>
        <v>0</v>
      </c>
      <c r="I1623" s="5" t="s">
        <v>960</v>
      </c>
      <c r="J1623" s="5" t="s">
        <v>2202</v>
      </c>
    </row>
    <row r="1624" customFormat="false" ht="15" hidden="false" customHeight="false" outlineLevel="0" collapsed="false">
      <c r="A1624" s="5" t="s">
        <v>229</v>
      </c>
      <c r="B1624" s="5" t="s">
        <v>169</v>
      </c>
      <c r="C1624" s="5" t="n">
        <v>28</v>
      </c>
      <c r="D1624" s="5" t="s">
        <v>964</v>
      </c>
      <c r="E1624" s="5" t="n">
        <v>5</v>
      </c>
      <c r="F1624" s="20" t="n">
        <v>8.77571376259542</v>
      </c>
      <c r="G1624" s="20" t="n">
        <f aca="false">9-F1624</f>
        <v>0.224286237404584</v>
      </c>
      <c r="H1624" s="20" t="n">
        <f aca="false">IF(G1624&gt;=1,G1624,0)</f>
        <v>0</v>
      </c>
      <c r="I1624" s="5" t="s">
        <v>960</v>
      </c>
      <c r="J1624" s="5" t="s">
        <v>2203</v>
      </c>
    </row>
    <row r="1625" customFormat="false" ht="15" hidden="false" customHeight="false" outlineLevel="0" collapsed="false">
      <c r="A1625" s="5" t="s">
        <v>229</v>
      </c>
      <c r="B1625" s="5" t="s">
        <v>169</v>
      </c>
      <c r="C1625" s="5" t="n">
        <v>29</v>
      </c>
      <c r="D1625" s="5" t="s">
        <v>964</v>
      </c>
      <c r="E1625" s="5" t="n">
        <v>5</v>
      </c>
      <c r="F1625" s="20" t="n">
        <v>8.77571376259542</v>
      </c>
      <c r="G1625" s="20" t="n">
        <f aca="false">9-F1625</f>
        <v>0.224286237404584</v>
      </c>
      <c r="H1625" s="20" t="n">
        <f aca="false">IF(G1625&gt;=1,G1625,0)</f>
        <v>0</v>
      </c>
      <c r="I1625" s="5" t="s">
        <v>960</v>
      </c>
      <c r="J1625" s="5" t="s">
        <v>2204</v>
      </c>
    </row>
    <row r="1626" customFormat="false" ht="15" hidden="false" customHeight="false" outlineLevel="0" collapsed="false">
      <c r="A1626" s="5" t="s">
        <v>229</v>
      </c>
      <c r="B1626" s="5" t="s">
        <v>169</v>
      </c>
      <c r="C1626" s="5" t="n">
        <v>30</v>
      </c>
      <c r="D1626" s="5" t="s">
        <v>964</v>
      </c>
      <c r="E1626" s="5" t="n">
        <v>5</v>
      </c>
      <c r="F1626" s="20" t="n">
        <v>8.77571376259541</v>
      </c>
      <c r="G1626" s="20" t="n">
        <f aca="false">9-F1626</f>
        <v>0.22428623740459</v>
      </c>
      <c r="H1626" s="20" t="n">
        <f aca="false">IF(G1626&gt;=1,G1626,0)</f>
        <v>0</v>
      </c>
      <c r="I1626" s="5" t="s">
        <v>960</v>
      </c>
      <c r="J1626" s="5" t="s">
        <v>2205</v>
      </c>
    </row>
    <row r="1627" customFormat="false" ht="15" hidden="false" customHeight="false" outlineLevel="0" collapsed="false">
      <c r="A1627" s="5" t="s">
        <v>229</v>
      </c>
      <c r="B1627" s="5" t="s">
        <v>169</v>
      </c>
      <c r="C1627" s="5" t="n">
        <v>31</v>
      </c>
      <c r="D1627" s="5" t="s">
        <v>964</v>
      </c>
      <c r="E1627" s="5" t="n">
        <v>5</v>
      </c>
      <c r="F1627" s="20" t="n">
        <v>8.77571376259541</v>
      </c>
      <c r="G1627" s="20" t="n">
        <f aca="false">9-F1627</f>
        <v>0.224286237404591</v>
      </c>
      <c r="H1627" s="20" t="n">
        <f aca="false">IF(G1627&gt;=1,G1627,0)</f>
        <v>0</v>
      </c>
      <c r="I1627" s="5" t="s">
        <v>960</v>
      </c>
      <c r="J1627" s="5" t="s">
        <v>2206</v>
      </c>
    </row>
    <row r="1628" customFormat="false" ht="15" hidden="false" customHeight="false" outlineLevel="0" collapsed="false">
      <c r="A1628" s="5" t="s">
        <v>229</v>
      </c>
      <c r="B1628" s="5" t="s">
        <v>169</v>
      </c>
      <c r="C1628" s="5" t="n">
        <v>32</v>
      </c>
      <c r="D1628" s="5" t="s">
        <v>964</v>
      </c>
      <c r="E1628" s="5" t="n">
        <v>5</v>
      </c>
      <c r="F1628" s="20" t="n">
        <v>8.77571376259541</v>
      </c>
      <c r="G1628" s="20" t="n">
        <f aca="false">9-F1628</f>
        <v>0.224286237404591</v>
      </c>
      <c r="H1628" s="20" t="n">
        <f aca="false">IF(G1628&gt;=1,G1628,0)</f>
        <v>0</v>
      </c>
      <c r="I1628" s="5" t="s">
        <v>960</v>
      </c>
      <c r="J1628" s="5" t="s">
        <v>2207</v>
      </c>
    </row>
    <row r="1629" customFormat="false" ht="15" hidden="false" customHeight="false" outlineLevel="0" collapsed="false">
      <c r="A1629" s="5" t="s">
        <v>229</v>
      </c>
      <c r="B1629" s="5" t="s">
        <v>169</v>
      </c>
      <c r="C1629" s="5" t="n">
        <v>33</v>
      </c>
      <c r="D1629" s="5" t="s">
        <v>2208</v>
      </c>
      <c r="E1629" s="5" t="n">
        <v>5</v>
      </c>
      <c r="F1629" s="20" t="n">
        <v>8.94740505038166</v>
      </c>
      <c r="G1629" s="20" t="n">
        <f aca="false">9-F1629</f>
        <v>0.0525949496183387</v>
      </c>
      <c r="H1629" s="20" t="n">
        <f aca="false">IF(G1629&gt;=1,G1629,0)</f>
        <v>0</v>
      </c>
      <c r="I1629" s="5" t="s">
        <v>2209</v>
      </c>
      <c r="J1629" s="5" t="s">
        <v>2210</v>
      </c>
    </row>
    <row r="1630" customFormat="false" ht="15" hidden="false" customHeight="false" outlineLevel="0" collapsed="false">
      <c r="A1630" s="5" t="s">
        <v>229</v>
      </c>
      <c r="B1630" s="5" t="s">
        <v>169</v>
      </c>
      <c r="C1630" s="5" t="n">
        <v>34</v>
      </c>
      <c r="D1630" s="5" t="s">
        <v>611</v>
      </c>
      <c r="E1630" s="5" t="n">
        <v>6</v>
      </c>
      <c r="F1630" s="20" t="n">
        <v>8.78922638854954</v>
      </c>
      <c r="G1630" s="20" t="n">
        <f aca="false">9-F1630</f>
        <v>0.21077361145046</v>
      </c>
      <c r="H1630" s="20" t="n">
        <f aca="false">IF(G1630&gt;=1,G1630,0)</f>
        <v>0</v>
      </c>
      <c r="I1630" s="5" t="s">
        <v>74</v>
      </c>
      <c r="J1630" s="5" t="s">
        <v>2211</v>
      </c>
    </row>
    <row r="1631" customFormat="false" ht="15" hidden="false" customHeight="false" outlineLevel="0" collapsed="false">
      <c r="A1631" s="5" t="s">
        <v>229</v>
      </c>
      <c r="B1631" s="5" t="s">
        <v>169</v>
      </c>
      <c r="C1631" s="5" t="n">
        <v>35</v>
      </c>
      <c r="D1631" s="5" t="s">
        <v>611</v>
      </c>
      <c r="E1631" s="5" t="n">
        <v>6</v>
      </c>
      <c r="F1631" s="20" t="n">
        <v>8.78922638854954</v>
      </c>
      <c r="G1631" s="20" t="n">
        <f aca="false">9-F1631</f>
        <v>0.21077361145046</v>
      </c>
      <c r="H1631" s="20" t="n">
        <f aca="false">IF(G1631&gt;=1,G1631,0)</f>
        <v>0</v>
      </c>
      <c r="I1631" s="5" t="s">
        <v>74</v>
      </c>
      <c r="J1631" s="5" t="s">
        <v>2212</v>
      </c>
    </row>
    <row r="1632" customFormat="false" ht="15" hidden="false" customHeight="false" outlineLevel="0" collapsed="false">
      <c r="A1632" s="5" t="s">
        <v>229</v>
      </c>
      <c r="B1632" s="5" t="s">
        <v>169</v>
      </c>
      <c r="C1632" s="5" t="n">
        <v>36</v>
      </c>
      <c r="D1632" s="5" t="s">
        <v>611</v>
      </c>
      <c r="E1632" s="5" t="n">
        <v>6</v>
      </c>
      <c r="F1632" s="20" t="n">
        <v>8.78922638854954</v>
      </c>
      <c r="G1632" s="20" t="n">
        <f aca="false">9-F1632</f>
        <v>0.21077361145046</v>
      </c>
      <c r="H1632" s="20" t="n">
        <f aca="false">IF(G1632&gt;=1,G1632,0)</f>
        <v>0</v>
      </c>
      <c r="I1632" s="5" t="s">
        <v>74</v>
      </c>
      <c r="J1632" s="5" t="s">
        <v>2213</v>
      </c>
    </row>
    <row r="1633" customFormat="false" ht="15" hidden="false" customHeight="false" outlineLevel="0" collapsed="false">
      <c r="A1633" s="5" t="s">
        <v>229</v>
      </c>
      <c r="B1633" s="5" t="s">
        <v>169</v>
      </c>
      <c r="C1633" s="5" t="n">
        <v>37</v>
      </c>
      <c r="D1633" s="5" t="s">
        <v>611</v>
      </c>
      <c r="E1633" s="5" t="n">
        <v>6</v>
      </c>
      <c r="F1633" s="20" t="n">
        <v>8.78922638854954</v>
      </c>
      <c r="G1633" s="20" t="n">
        <f aca="false">9-F1633</f>
        <v>0.21077361145046</v>
      </c>
      <c r="H1633" s="20" t="n">
        <f aca="false">IF(G1633&gt;=1,G1633,0)</f>
        <v>0</v>
      </c>
      <c r="I1633" s="5" t="s">
        <v>74</v>
      </c>
      <c r="J1633" s="5" t="s">
        <v>2214</v>
      </c>
    </row>
    <row r="1634" customFormat="false" ht="15" hidden="false" customHeight="false" outlineLevel="0" collapsed="false">
      <c r="A1634" s="5" t="s">
        <v>229</v>
      </c>
      <c r="B1634" s="5" t="s">
        <v>169</v>
      </c>
      <c r="C1634" s="5" t="n">
        <v>38</v>
      </c>
      <c r="D1634" s="5" t="s">
        <v>611</v>
      </c>
      <c r="E1634" s="5" t="n">
        <v>6</v>
      </c>
      <c r="F1634" s="20" t="n">
        <v>8.78922638854953</v>
      </c>
      <c r="G1634" s="20" t="n">
        <f aca="false">9-F1634</f>
        <v>0.210773611450469</v>
      </c>
      <c r="H1634" s="20" t="n">
        <f aca="false">IF(G1634&gt;=1,G1634,0)</f>
        <v>0</v>
      </c>
      <c r="I1634" s="5" t="s">
        <v>74</v>
      </c>
      <c r="J1634" s="5" t="s">
        <v>2215</v>
      </c>
    </row>
    <row r="1635" customFormat="false" ht="15" hidden="false" customHeight="false" outlineLevel="0" collapsed="false">
      <c r="A1635" s="5" t="s">
        <v>229</v>
      </c>
      <c r="B1635" s="5" t="s">
        <v>169</v>
      </c>
      <c r="C1635" s="5" t="n">
        <v>39</v>
      </c>
      <c r="D1635" s="5" t="s">
        <v>611</v>
      </c>
      <c r="E1635" s="5" t="n">
        <v>6</v>
      </c>
      <c r="F1635" s="20" t="n">
        <v>8.78922638854953</v>
      </c>
      <c r="G1635" s="20" t="n">
        <f aca="false">9-F1635</f>
        <v>0.210773611450474</v>
      </c>
      <c r="H1635" s="20" t="n">
        <f aca="false">IF(G1635&gt;=1,G1635,0)</f>
        <v>0</v>
      </c>
      <c r="I1635" s="5" t="s">
        <v>74</v>
      </c>
      <c r="J1635" s="5" t="s">
        <v>2216</v>
      </c>
    </row>
    <row r="1636" customFormat="false" ht="15" hidden="false" customHeight="false" outlineLevel="0" collapsed="false">
      <c r="A1636" s="5" t="s">
        <v>229</v>
      </c>
      <c r="B1636" s="5" t="s">
        <v>169</v>
      </c>
      <c r="C1636" s="5" t="n">
        <v>40</v>
      </c>
      <c r="D1636" s="5" t="s">
        <v>611</v>
      </c>
      <c r="E1636" s="5" t="n">
        <v>6</v>
      </c>
      <c r="F1636" s="20" t="n">
        <v>8.78922638854953</v>
      </c>
      <c r="G1636" s="20" t="n">
        <f aca="false">9-F1636</f>
        <v>0.210773611450474</v>
      </c>
      <c r="H1636" s="20" t="n">
        <f aca="false">IF(G1636&gt;=1,G1636,0)</f>
        <v>0</v>
      </c>
      <c r="I1636" s="5" t="s">
        <v>74</v>
      </c>
      <c r="J1636" s="5" t="s">
        <v>2217</v>
      </c>
    </row>
    <row r="1637" customFormat="false" ht="15" hidden="false" customHeight="false" outlineLevel="0" collapsed="false">
      <c r="A1637" s="5" t="s">
        <v>229</v>
      </c>
      <c r="B1637" s="5" t="s">
        <v>169</v>
      </c>
      <c r="C1637" s="5" t="n">
        <v>41</v>
      </c>
      <c r="D1637" s="5" t="s">
        <v>611</v>
      </c>
      <c r="E1637" s="5" t="n">
        <v>6</v>
      </c>
      <c r="F1637" s="20" t="n">
        <v>8.78922638854953</v>
      </c>
      <c r="G1637" s="20" t="n">
        <f aca="false">9-F1637</f>
        <v>0.210773611450474</v>
      </c>
      <c r="H1637" s="20" t="n">
        <f aca="false">IF(G1637&gt;=1,G1637,0)</f>
        <v>0</v>
      </c>
      <c r="I1637" s="5" t="s">
        <v>74</v>
      </c>
      <c r="J1637" s="5" t="s">
        <v>2218</v>
      </c>
    </row>
    <row r="1638" customFormat="false" ht="15" hidden="false" customHeight="false" outlineLevel="0" collapsed="false">
      <c r="A1638" s="5" t="s">
        <v>229</v>
      </c>
      <c r="B1638" s="5" t="s">
        <v>169</v>
      </c>
      <c r="C1638" s="5" t="n">
        <v>42</v>
      </c>
      <c r="D1638" s="5" t="s">
        <v>611</v>
      </c>
      <c r="E1638" s="5" t="n">
        <v>6</v>
      </c>
      <c r="F1638" s="20" t="n">
        <v>8.78922638854953</v>
      </c>
      <c r="G1638" s="20" t="n">
        <f aca="false">9-F1638</f>
        <v>0.210773611450474</v>
      </c>
      <c r="H1638" s="20" t="n">
        <f aca="false">IF(G1638&gt;=1,G1638,0)</f>
        <v>0</v>
      </c>
      <c r="I1638" s="5" t="s">
        <v>74</v>
      </c>
      <c r="J1638" s="5" t="s">
        <v>2219</v>
      </c>
    </row>
    <row r="1639" customFormat="false" ht="15" hidden="false" customHeight="false" outlineLevel="0" collapsed="false">
      <c r="A1639" s="5" t="s">
        <v>229</v>
      </c>
      <c r="B1639" s="5" t="s">
        <v>169</v>
      </c>
      <c r="C1639" s="5" t="n">
        <v>43</v>
      </c>
      <c r="D1639" s="5" t="s">
        <v>611</v>
      </c>
      <c r="E1639" s="5" t="n">
        <v>6</v>
      </c>
      <c r="F1639" s="20" t="n">
        <v>8.78922638854953</v>
      </c>
      <c r="G1639" s="20" t="n">
        <f aca="false">9-F1639</f>
        <v>0.210773611450474</v>
      </c>
      <c r="H1639" s="20" t="n">
        <f aca="false">IF(G1639&gt;=1,G1639,0)</f>
        <v>0</v>
      </c>
      <c r="I1639" s="5" t="s">
        <v>74</v>
      </c>
      <c r="J1639" s="5" t="s">
        <v>2220</v>
      </c>
    </row>
    <row r="1640" customFormat="false" ht="15" hidden="false" customHeight="false" outlineLevel="0" collapsed="false">
      <c r="A1640" s="5" t="s">
        <v>229</v>
      </c>
      <c r="B1640" s="5" t="s">
        <v>169</v>
      </c>
      <c r="C1640" s="5" t="n">
        <v>44</v>
      </c>
      <c r="D1640" s="5" t="s">
        <v>611</v>
      </c>
      <c r="E1640" s="5" t="n">
        <v>6</v>
      </c>
      <c r="F1640" s="20" t="n">
        <v>8.78922638854953</v>
      </c>
      <c r="G1640" s="20" t="n">
        <f aca="false">9-F1640</f>
        <v>0.210773611450474</v>
      </c>
      <c r="H1640" s="20" t="n">
        <f aca="false">IF(G1640&gt;=1,G1640,0)</f>
        <v>0</v>
      </c>
      <c r="I1640" s="5" t="s">
        <v>74</v>
      </c>
      <c r="J1640" s="5" t="s">
        <v>2221</v>
      </c>
    </row>
    <row r="1641" customFormat="false" ht="15" hidden="false" customHeight="false" outlineLevel="0" collapsed="false">
      <c r="A1641" s="5" t="s">
        <v>229</v>
      </c>
      <c r="B1641" s="5" t="s">
        <v>169</v>
      </c>
      <c r="C1641" s="5" t="n">
        <v>45</v>
      </c>
      <c r="D1641" s="5" t="s">
        <v>611</v>
      </c>
      <c r="E1641" s="5" t="n">
        <v>6</v>
      </c>
      <c r="F1641" s="20" t="n">
        <v>8.78922638854953</v>
      </c>
      <c r="G1641" s="20" t="n">
        <f aca="false">9-F1641</f>
        <v>0.210773611450474</v>
      </c>
      <c r="H1641" s="20" t="n">
        <f aca="false">IF(G1641&gt;=1,G1641,0)</f>
        <v>0</v>
      </c>
      <c r="I1641" s="5" t="s">
        <v>74</v>
      </c>
      <c r="J1641" s="5" t="s">
        <v>2222</v>
      </c>
    </row>
    <row r="1642" customFormat="false" ht="15" hidden="false" customHeight="false" outlineLevel="0" collapsed="false">
      <c r="A1642" s="5" t="s">
        <v>229</v>
      </c>
      <c r="B1642" s="5" t="s">
        <v>169</v>
      </c>
      <c r="C1642" s="5" t="n">
        <v>46</v>
      </c>
      <c r="D1642" s="5" t="s">
        <v>611</v>
      </c>
      <c r="E1642" s="5" t="n">
        <v>6</v>
      </c>
      <c r="F1642" s="20" t="n">
        <v>8.78922638854953</v>
      </c>
      <c r="G1642" s="20" t="n">
        <f aca="false">9-F1642</f>
        <v>0.210773611450474</v>
      </c>
      <c r="H1642" s="20" t="n">
        <f aca="false">IF(G1642&gt;=1,G1642,0)</f>
        <v>0</v>
      </c>
      <c r="I1642" s="5" t="s">
        <v>74</v>
      </c>
      <c r="J1642" s="5" t="s">
        <v>2223</v>
      </c>
    </row>
    <row r="1643" customFormat="false" ht="15" hidden="false" customHeight="false" outlineLevel="0" collapsed="false">
      <c r="A1643" s="5" t="s">
        <v>229</v>
      </c>
      <c r="B1643" s="5" t="s">
        <v>169</v>
      </c>
      <c r="C1643" s="5" t="n">
        <v>47</v>
      </c>
      <c r="D1643" s="5" t="s">
        <v>611</v>
      </c>
      <c r="E1643" s="5" t="n">
        <v>6</v>
      </c>
      <c r="F1643" s="20" t="n">
        <v>8.78922638854952</v>
      </c>
      <c r="G1643" s="20" t="n">
        <f aca="false">9-F1643</f>
        <v>0.210773611450477</v>
      </c>
      <c r="H1643" s="20" t="n">
        <f aca="false">IF(G1643&gt;=1,G1643,0)</f>
        <v>0</v>
      </c>
      <c r="I1643" s="5" t="s">
        <v>74</v>
      </c>
      <c r="J1643" s="5" t="s">
        <v>2224</v>
      </c>
    </row>
    <row r="1644" customFormat="false" ht="15" hidden="false" customHeight="false" outlineLevel="0" collapsed="false">
      <c r="A1644" s="5" t="s">
        <v>229</v>
      </c>
      <c r="B1644" s="5" t="s">
        <v>169</v>
      </c>
      <c r="C1644" s="5" t="n">
        <v>48</v>
      </c>
      <c r="D1644" s="5" t="s">
        <v>611</v>
      </c>
      <c r="E1644" s="5" t="n">
        <v>6</v>
      </c>
      <c r="F1644" s="20" t="n">
        <v>8.78922638854952</v>
      </c>
      <c r="G1644" s="20" t="n">
        <f aca="false">9-F1644</f>
        <v>0.210773611450483</v>
      </c>
      <c r="H1644" s="20" t="n">
        <f aca="false">IF(G1644&gt;=1,G1644,0)</f>
        <v>0</v>
      </c>
      <c r="I1644" s="5" t="s">
        <v>74</v>
      </c>
      <c r="J1644" s="5" t="s">
        <v>2225</v>
      </c>
    </row>
    <row r="1645" customFormat="false" ht="15" hidden="false" customHeight="false" outlineLevel="0" collapsed="false">
      <c r="A1645" s="5" t="s">
        <v>229</v>
      </c>
      <c r="B1645" s="5" t="s">
        <v>169</v>
      </c>
      <c r="C1645" s="5" t="n">
        <v>49</v>
      </c>
      <c r="D1645" s="5" t="s">
        <v>611</v>
      </c>
      <c r="E1645" s="5" t="n">
        <v>6</v>
      </c>
      <c r="F1645" s="20" t="n">
        <v>8.78922638854952</v>
      </c>
      <c r="G1645" s="20" t="n">
        <f aca="false">9-F1645</f>
        <v>0.210773611450483</v>
      </c>
      <c r="H1645" s="20" t="n">
        <f aca="false">IF(G1645&gt;=1,G1645,0)</f>
        <v>0</v>
      </c>
      <c r="I1645" s="5" t="s">
        <v>74</v>
      </c>
      <c r="J1645" s="5" t="s">
        <v>2226</v>
      </c>
    </row>
    <row r="1646" customFormat="false" ht="15" hidden="false" customHeight="false" outlineLevel="0" collapsed="false">
      <c r="A1646" s="5" t="s">
        <v>229</v>
      </c>
      <c r="B1646" s="5" t="s">
        <v>169</v>
      </c>
      <c r="C1646" s="5" t="n">
        <v>50</v>
      </c>
      <c r="D1646" s="5" t="s">
        <v>611</v>
      </c>
      <c r="E1646" s="5" t="n">
        <v>6</v>
      </c>
      <c r="F1646" s="20" t="n">
        <v>8.78922638854952</v>
      </c>
      <c r="G1646" s="20" t="n">
        <f aca="false">9-F1646</f>
        <v>0.210773611450483</v>
      </c>
      <c r="H1646" s="20" t="n">
        <f aca="false">IF(G1646&gt;=1,G1646,0)</f>
        <v>0</v>
      </c>
      <c r="I1646" s="5" t="s">
        <v>74</v>
      </c>
      <c r="J1646" s="5" t="s">
        <v>2227</v>
      </c>
    </row>
    <row r="1647" customFormat="false" ht="15" hidden="false" customHeight="false" outlineLevel="0" collapsed="false">
      <c r="A1647" s="5" t="s">
        <v>229</v>
      </c>
      <c r="B1647" s="5" t="s">
        <v>169</v>
      </c>
      <c r="C1647" s="5" t="n">
        <v>51</v>
      </c>
      <c r="D1647" s="5" t="s">
        <v>611</v>
      </c>
      <c r="E1647" s="5" t="n">
        <v>6</v>
      </c>
      <c r="F1647" s="20" t="n">
        <v>8.78922638854952</v>
      </c>
      <c r="G1647" s="20" t="n">
        <f aca="false">9-F1647</f>
        <v>0.210773611450483</v>
      </c>
      <c r="H1647" s="20" t="n">
        <f aca="false">IF(G1647&gt;=1,G1647,0)</f>
        <v>0</v>
      </c>
      <c r="I1647" s="5" t="s">
        <v>74</v>
      </c>
      <c r="J1647" s="5" t="s">
        <v>2228</v>
      </c>
    </row>
    <row r="1648" customFormat="false" ht="15" hidden="false" customHeight="false" outlineLevel="0" collapsed="false">
      <c r="A1648" s="5" t="s">
        <v>229</v>
      </c>
      <c r="B1648" s="5" t="s">
        <v>169</v>
      </c>
      <c r="C1648" s="5" t="n">
        <v>52</v>
      </c>
      <c r="D1648" s="5" t="s">
        <v>611</v>
      </c>
      <c r="E1648" s="5" t="n">
        <v>6</v>
      </c>
      <c r="F1648" s="20" t="n">
        <v>8.78922638854952</v>
      </c>
      <c r="G1648" s="20" t="n">
        <f aca="false">9-F1648</f>
        <v>0.210773611450483</v>
      </c>
      <c r="H1648" s="20" t="n">
        <f aca="false">IF(G1648&gt;=1,G1648,0)</f>
        <v>0</v>
      </c>
      <c r="I1648" s="5" t="s">
        <v>74</v>
      </c>
      <c r="J1648" s="5" t="s">
        <v>2229</v>
      </c>
    </row>
    <row r="1649" customFormat="false" ht="15" hidden="false" customHeight="false" outlineLevel="0" collapsed="false">
      <c r="A1649" s="5" t="s">
        <v>229</v>
      </c>
      <c r="B1649" s="5" t="s">
        <v>169</v>
      </c>
      <c r="C1649" s="5" t="n">
        <v>53</v>
      </c>
      <c r="D1649" s="5" t="s">
        <v>611</v>
      </c>
      <c r="E1649" s="5" t="n">
        <v>6</v>
      </c>
      <c r="F1649" s="20" t="n">
        <v>8.78922638854952</v>
      </c>
      <c r="G1649" s="20" t="n">
        <f aca="false">9-F1649</f>
        <v>0.210773611450483</v>
      </c>
      <c r="H1649" s="20" t="n">
        <f aca="false">IF(G1649&gt;=1,G1649,0)</f>
        <v>0</v>
      </c>
      <c r="I1649" s="5" t="s">
        <v>74</v>
      </c>
      <c r="J1649" s="5" t="s">
        <v>2230</v>
      </c>
    </row>
    <row r="1650" customFormat="false" ht="15" hidden="false" customHeight="false" outlineLevel="0" collapsed="false">
      <c r="A1650" s="5" t="s">
        <v>229</v>
      </c>
      <c r="B1650" s="5" t="s">
        <v>169</v>
      </c>
      <c r="C1650" s="5" t="n">
        <v>54</v>
      </c>
      <c r="D1650" s="5" t="s">
        <v>611</v>
      </c>
      <c r="E1650" s="5" t="n">
        <v>6</v>
      </c>
      <c r="F1650" s="20" t="n">
        <v>8.78922638854952</v>
      </c>
      <c r="G1650" s="20" t="n">
        <f aca="false">9-F1650</f>
        <v>0.210773611450483</v>
      </c>
      <c r="H1650" s="20" t="n">
        <f aca="false">IF(G1650&gt;=1,G1650,0)</f>
        <v>0</v>
      </c>
      <c r="I1650" s="5" t="s">
        <v>74</v>
      </c>
      <c r="J1650" s="5" t="s">
        <v>2231</v>
      </c>
    </row>
    <row r="1651" customFormat="false" ht="15" hidden="false" customHeight="false" outlineLevel="0" collapsed="false">
      <c r="A1651" s="5" t="s">
        <v>229</v>
      </c>
      <c r="B1651" s="5" t="s">
        <v>169</v>
      </c>
      <c r="C1651" s="5" t="n">
        <v>55</v>
      </c>
      <c r="D1651" s="5" t="s">
        <v>611</v>
      </c>
      <c r="E1651" s="5" t="n">
        <v>6</v>
      </c>
      <c r="F1651" s="20" t="n">
        <v>8.78922638854952</v>
      </c>
      <c r="G1651" s="20" t="n">
        <f aca="false">9-F1651</f>
        <v>0.210773611450483</v>
      </c>
      <c r="H1651" s="20" t="n">
        <f aca="false">IF(G1651&gt;=1,G1651,0)</f>
        <v>0</v>
      </c>
      <c r="I1651" s="5" t="s">
        <v>74</v>
      </c>
      <c r="J1651" s="5" t="s">
        <v>2232</v>
      </c>
    </row>
    <row r="1652" customFormat="false" ht="15" hidden="false" customHeight="false" outlineLevel="0" collapsed="false">
      <c r="A1652" s="5" t="s">
        <v>229</v>
      </c>
      <c r="B1652" s="5" t="s">
        <v>169</v>
      </c>
      <c r="C1652" s="5" t="n">
        <v>56</v>
      </c>
      <c r="D1652" s="5" t="s">
        <v>611</v>
      </c>
      <c r="E1652" s="5" t="n">
        <v>6</v>
      </c>
      <c r="F1652" s="20" t="n">
        <v>8.78922638854952</v>
      </c>
      <c r="G1652" s="20" t="n">
        <f aca="false">9-F1652</f>
        <v>0.210773611450483</v>
      </c>
      <c r="H1652" s="20" t="n">
        <f aca="false">IF(G1652&gt;=1,G1652,0)</f>
        <v>0</v>
      </c>
      <c r="I1652" s="5" t="s">
        <v>74</v>
      </c>
      <c r="J1652" s="5" t="s">
        <v>2233</v>
      </c>
    </row>
    <row r="1653" customFormat="false" ht="15" hidden="false" customHeight="false" outlineLevel="0" collapsed="false">
      <c r="A1653" s="5" t="s">
        <v>229</v>
      </c>
      <c r="B1653" s="5" t="s">
        <v>169</v>
      </c>
      <c r="C1653" s="5" t="n">
        <v>57</v>
      </c>
      <c r="D1653" s="5" t="s">
        <v>611</v>
      </c>
      <c r="E1653" s="5" t="n">
        <v>6</v>
      </c>
      <c r="F1653" s="20" t="n">
        <v>8.78922638854951</v>
      </c>
      <c r="G1653" s="20" t="n">
        <f aca="false">9-F1653</f>
        <v>0.210773611450486</v>
      </c>
      <c r="H1653" s="20" t="n">
        <f aca="false">IF(G1653&gt;=1,G1653,0)</f>
        <v>0</v>
      </c>
      <c r="I1653" s="5" t="s">
        <v>74</v>
      </c>
      <c r="J1653" s="5" t="s">
        <v>2234</v>
      </c>
    </row>
    <row r="1654" customFormat="false" ht="15" hidden="false" customHeight="false" outlineLevel="0" collapsed="false">
      <c r="A1654" s="5" t="s">
        <v>229</v>
      </c>
      <c r="B1654" s="5" t="s">
        <v>169</v>
      </c>
      <c r="C1654" s="5" t="n">
        <v>58</v>
      </c>
      <c r="D1654" s="5" t="s">
        <v>611</v>
      </c>
      <c r="E1654" s="5" t="n">
        <v>6</v>
      </c>
      <c r="F1654" s="20" t="n">
        <v>8.78922638854951</v>
      </c>
      <c r="G1654" s="20" t="n">
        <f aca="false">9-F1654</f>
        <v>0.210773611450486</v>
      </c>
      <c r="H1654" s="20" t="n">
        <f aca="false">IF(G1654&gt;=1,G1654,0)</f>
        <v>0</v>
      </c>
      <c r="I1654" s="5" t="s">
        <v>74</v>
      </c>
      <c r="J1654" s="5" t="s">
        <v>2235</v>
      </c>
    </row>
    <row r="1655" customFormat="false" ht="15" hidden="false" customHeight="false" outlineLevel="0" collapsed="false">
      <c r="A1655" s="5" t="s">
        <v>229</v>
      </c>
      <c r="B1655" s="5" t="s">
        <v>169</v>
      </c>
      <c r="C1655" s="5" t="n">
        <v>59</v>
      </c>
      <c r="D1655" s="5" t="s">
        <v>611</v>
      </c>
      <c r="E1655" s="5" t="n">
        <v>6</v>
      </c>
      <c r="F1655" s="20" t="n">
        <v>8.78922638854951</v>
      </c>
      <c r="G1655" s="20" t="n">
        <f aca="false">9-F1655</f>
        <v>0.210773611450486</v>
      </c>
      <c r="H1655" s="20" t="n">
        <f aca="false">IF(G1655&gt;=1,G1655,0)</f>
        <v>0</v>
      </c>
      <c r="I1655" s="5" t="s">
        <v>74</v>
      </c>
      <c r="J1655" s="5" t="s">
        <v>2236</v>
      </c>
    </row>
    <row r="1656" customFormat="false" ht="15" hidden="false" customHeight="false" outlineLevel="0" collapsed="false">
      <c r="A1656" s="5" t="s">
        <v>229</v>
      </c>
      <c r="B1656" s="5" t="s">
        <v>169</v>
      </c>
      <c r="C1656" s="5" t="n">
        <v>60</v>
      </c>
      <c r="D1656" s="5" t="s">
        <v>611</v>
      </c>
      <c r="E1656" s="5" t="n">
        <v>6</v>
      </c>
      <c r="F1656" s="20" t="n">
        <v>8.78922638854951</v>
      </c>
      <c r="G1656" s="20" t="n">
        <f aca="false">9-F1656</f>
        <v>0.210773611450486</v>
      </c>
      <c r="H1656" s="20" t="n">
        <f aca="false">IF(G1656&gt;=1,G1656,0)</f>
        <v>0</v>
      </c>
      <c r="I1656" s="5" t="s">
        <v>74</v>
      </c>
      <c r="J1656" s="5" t="s">
        <v>2237</v>
      </c>
    </row>
    <row r="1657" customFormat="false" ht="15" hidden="false" customHeight="false" outlineLevel="0" collapsed="false">
      <c r="A1657" s="5" t="s">
        <v>229</v>
      </c>
      <c r="B1657" s="5" t="s">
        <v>169</v>
      </c>
      <c r="C1657" s="5" t="n">
        <v>61</v>
      </c>
      <c r="D1657" s="5" t="s">
        <v>611</v>
      </c>
      <c r="E1657" s="5" t="n">
        <v>6</v>
      </c>
      <c r="F1657" s="20" t="n">
        <v>8.78922638854951</v>
      </c>
      <c r="G1657" s="20" t="n">
        <f aca="false">9-F1657</f>
        <v>0.210773611450492</v>
      </c>
      <c r="H1657" s="20" t="n">
        <f aca="false">IF(G1657&gt;=1,G1657,0)</f>
        <v>0</v>
      </c>
      <c r="I1657" s="5" t="s">
        <v>74</v>
      </c>
      <c r="J1657" s="5" t="s">
        <v>2238</v>
      </c>
    </row>
    <row r="1658" customFormat="false" ht="15" hidden="false" customHeight="false" outlineLevel="0" collapsed="false">
      <c r="A1658" s="5" t="s">
        <v>229</v>
      </c>
      <c r="B1658" s="5" t="s">
        <v>169</v>
      </c>
      <c r="C1658" s="5" t="n">
        <v>62</v>
      </c>
      <c r="D1658" s="5" t="s">
        <v>611</v>
      </c>
      <c r="E1658" s="5" t="n">
        <v>6</v>
      </c>
      <c r="F1658" s="20" t="n">
        <v>8.78922638854951</v>
      </c>
      <c r="G1658" s="20" t="n">
        <f aca="false">9-F1658</f>
        <v>0.210773611450495</v>
      </c>
      <c r="H1658" s="20" t="n">
        <f aca="false">IF(G1658&gt;=1,G1658,0)</f>
        <v>0</v>
      </c>
      <c r="I1658" s="5" t="s">
        <v>74</v>
      </c>
      <c r="J1658" s="5" t="s">
        <v>2239</v>
      </c>
    </row>
    <row r="1659" customFormat="false" ht="15" hidden="false" customHeight="false" outlineLevel="0" collapsed="false">
      <c r="A1659" s="5" t="s">
        <v>229</v>
      </c>
      <c r="B1659" s="5" t="s">
        <v>169</v>
      </c>
      <c r="C1659" s="5" t="n">
        <v>63</v>
      </c>
      <c r="D1659" s="5" t="s">
        <v>611</v>
      </c>
      <c r="E1659" s="5" t="n">
        <v>6</v>
      </c>
      <c r="F1659" s="20" t="n">
        <v>8.78922638854951</v>
      </c>
      <c r="G1659" s="20" t="n">
        <f aca="false">9-F1659</f>
        <v>0.210773611450495</v>
      </c>
      <c r="H1659" s="20" t="n">
        <f aca="false">IF(G1659&gt;=1,G1659,0)</f>
        <v>0</v>
      </c>
      <c r="I1659" s="5" t="s">
        <v>74</v>
      </c>
      <c r="J1659" s="5" t="s">
        <v>2240</v>
      </c>
    </row>
    <row r="1660" customFormat="false" ht="15" hidden="false" customHeight="false" outlineLevel="0" collapsed="false">
      <c r="A1660" s="5" t="s">
        <v>229</v>
      </c>
      <c r="B1660" s="5" t="s">
        <v>169</v>
      </c>
      <c r="C1660" s="5" t="n">
        <v>64</v>
      </c>
      <c r="D1660" s="5" t="s">
        <v>611</v>
      </c>
      <c r="E1660" s="5" t="n">
        <v>6</v>
      </c>
      <c r="F1660" s="20" t="n">
        <v>8.78922638854951</v>
      </c>
      <c r="G1660" s="20" t="n">
        <f aca="false">9-F1660</f>
        <v>0.210773611450495</v>
      </c>
      <c r="H1660" s="20" t="n">
        <f aca="false">IF(G1660&gt;=1,G1660,0)</f>
        <v>0</v>
      </c>
      <c r="I1660" s="5" t="s">
        <v>74</v>
      </c>
      <c r="J1660" s="5" t="s">
        <v>2241</v>
      </c>
    </row>
    <row r="1661" customFormat="false" ht="15" hidden="false" customHeight="false" outlineLevel="0" collapsed="false">
      <c r="A1661" s="5" t="s">
        <v>229</v>
      </c>
      <c r="B1661" s="5" t="s">
        <v>169</v>
      </c>
      <c r="C1661" s="5" t="n">
        <v>65</v>
      </c>
      <c r="D1661" s="5" t="s">
        <v>611</v>
      </c>
      <c r="E1661" s="5" t="n">
        <v>6</v>
      </c>
      <c r="F1661" s="20" t="n">
        <v>8.78922638854951</v>
      </c>
      <c r="G1661" s="20" t="n">
        <f aca="false">9-F1661</f>
        <v>0.210773611450495</v>
      </c>
      <c r="H1661" s="20" t="n">
        <f aca="false">IF(G1661&gt;=1,G1661,0)</f>
        <v>0</v>
      </c>
      <c r="I1661" s="5" t="s">
        <v>74</v>
      </c>
      <c r="J1661" s="5" t="s">
        <v>2242</v>
      </c>
    </row>
    <row r="1662" customFormat="false" ht="15" hidden="false" customHeight="false" outlineLevel="0" collapsed="false">
      <c r="A1662" s="5" t="s">
        <v>229</v>
      </c>
      <c r="B1662" s="5" t="s">
        <v>169</v>
      </c>
      <c r="C1662" s="5" t="n">
        <v>66</v>
      </c>
      <c r="D1662" s="5" t="s">
        <v>611</v>
      </c>
      <c r="E1662" s="5" t="n">
        <v>6</v>
      </c>
      <c r="F1662" s="20" t="n">
        <v>8.78922638854951</v>
      </c>
      <c r="G1662" s="20" t="n">
        <f aca="false">9-F1662</f>
        <v>0.210773611450495</v>
      </c>
      <c r="H1662" s="20" t="n">
        <f aca="false">IF(G1662&gt;=1,G1662,0)</f>
        <v>0</v>
      </c>
      <c r="I1662" s="5" t="s">
        <v>74</v>
      </c>
      <c r="J1662" s="5" t="s">
        <v>2243</v>
      </c>
    </row>
    <row r="1663" customFormat="false" ht="15" hidden="false" customHeight="false" outlineLevel="0" collapsed="false">
      <c r="A1663" s="5" t="s">
        <v>229</v>
      </c>
      <c r="B1663" s="5" t="s">
        <v>169</v>
      </c>
      <c r="C1663" s="5" t="n">
        <v>67</v>
      </c>
      <c r="D1663" s="5" t="s">
        <v>611</v>
      </c>
      <c r="E1663" s="5" t="n">
        <v>6</v>
      </c>
      <c r="F1663" s="20" t="n">
        <v>8.78922638854951</v>
      </c>
      <c r="G1663" s="20" t="n">
        <f aca="false">9-F1663</f>
        <v>0.210773611450495</v>
      </c>
      <c r="H1663" s="20" t="n">
        <f aca="false">IF(G1663&gt;=1,G1663,0)</f>
        <v>0</v>
      </c>
      <c r="I1663" s="5" t="s">
        <v>74</v>
      </c>
      <c r="J1663" s="5" t="s">
        <v>2244</v>
      </c>
    </row>
    <row r="1664" customFormat="false" ht="15" hidden="false" customHeight="false" outlineLevel="0" collapsed="false">
      <c r="A1664" s="5" t="s">
        <v>229</v>
      </c>
      <c r="B1664" s="5" t="s">
        <v>169</v>
      </c>
      <c r="C1664" s="5" t="n">
        <v>68</v>
      </c>
      <c r="D1664" s="5" t="s">
        <v>611</v>
      </c>
      <c r="E1664" s="5" t="n">
        <v>6</v>
      </c>
      <c r="F1664" s="20" t="n">
        <v>8.7892263885495</v>
      </c>
      <c r="G1664" s="20" t="n">
        <f aca="false">9-F1664</f>
        <v>0.210773611450497</v>
      </c>
      <c r="H1664" s="20" t="n">
        <f aca="false">IF(G1664&gt;=1,G1664,0)</f>
        <v>0</v>
      </c>
      <c r="I1664" s="5" t="s">
        <v>74</v>
      </c>
      <c r="J1664" s="5" t="s">
        <v>2245</v>
      </c>
    </row>
    <row r="1665" customFormat="false" ht="15" hidden="false" customHeight="false" outlineLevel="0" collapsed="false">
      <c r="A1665" s="5" t="s">
        <v>229</v>
      </c>
      <c r="B1665" s="5" t="s">
        <v>169</v>
      </c>
      <c r="C1665" s="5" t="n">
        <v>69</v>
      </c>
      <c r="D1665" s="5" t="s">
        <v>611</v>
      </c>
      <c r="E1665" s="5" t="n">
        <v>6</v>
      </c>
      <c r="F1665" s="20" t="n">
        <v>8.7892263885495</v>
      </c>
      <c r="G1665" s="20" t="n">
        <f aca="false">9-F1665</f>
        <v>0.210773611450499</v>
      </c>
      <c r="H1665" s="20" t="n">
        <f aca="false">IF(G1665&gt;=1,G1665,0)</f>
        <v>0</v>
      </c>
      <c r="I1665" s="5" t="s">
        <v>74</v>
      </c>
      <c r="J1665" s="5" t="s">
        <v>2246</v>
      </c>
    </row>
    <row r="1666" customFormat="false" ht="15" hidden="false" customHeight="false" outlineLevel="0" collapsed="false">
      <c r="A1666" s="5" t="s">
        <v>229</v>
      </c>
      <c r="B1666" s="5" t="s">
        <v>169</v>
      </c>
      <c r="C1666" s="5" t="n">
        <v>70</v>
      </c>
      <c r="D1666" s="5" t="s">
        <v>611</v>
      </c>
      <c r="E1666" s="5" t="n">
        <v>6</v>
      </c>
      <c r="F1666" s="20" t="n">
        <v>8.7892263885495</v>
      </c>
      <c r="G1666" s="20" t="n">
        <f aca="false">9-F1666</f>
        <v>0.210773611450501</v>
      </c>
      <c r="H1666" s="20" t="n">
        <f aca="false">IF(G1666&gt;=1,G1666,0)</f>
        <v>0</v>
      </c>
      <c r="I1666" s="5" t="s">
        <v>74</v>
      </c>
      <c r="J1666" s="5" t="s">
        <v>2247</v>
      </c>
    </row>
    <row r="1667" customFormat="false" ht="15" hidden="false" customHeight="false" outlineLevel="0" collapsed="false">
      <c r="A1667" s="5" t="s">
        <v>229</v>
      </c>
      <c r="B1667" s="5" t="s">
        <v>169</v>
      </c>
      <c r="C1667" s="5" t="n">
        <v>71</v>
      </c>
      <c r="D1667" s="5" t="s">
        <v>611</v>
      </c>
      <c r="E1667" s="5" t="n">
        <v>6</v>
      </c>
      <c r="F1667" s="20" t="n">
        <v>8.7892263885495</v>
      </c>
      <c r="G1667" s="20" t="n">
        <f aca="false">9-F1667</f>
        <v>0.210773611450504</v>
      </c>
      <c r="H1667" s="20" t="n">
        <f aca="false">IF(G1667&gt;=1,G1667,0)</f>
        <v>0</v>
      </c>
      <c r="I1667" s="5" t="s">
        <v>74</v>
      </c>
      <c r="J1667" s="5" t="s">
        <v>2248</v>
      </c>
    </row>
    <row r="1668" customFormat="false" ht="15" hidden="false" customHeight="false" outlineLevel="0" collapsed="false">
      <c r="A1668" s="5" t="s">
        <v>229</v>
      </c>
      <c r="B1668" s="5" t="s">
        <v>169</v>
      </c>
      <c r="C1668" s="5" t="n">
        <v>72</v>
      </c>
      <c r="D1668" s="5" t="s">
        <v>611</v>
      </c>
      <c r="E1668" s="5" t="n">
        <v>6</v>
      </c>
      <c r="F1668" s="20" t="n">
        <v>8.7892263885495</v>
      </c>
      <c r="G1668" s="20" t="n">
        <f aca="false">9-F1668</f>
        <v>0.210773611450504</v>
      </c>
      <c r="H1668" s="20" t="n">
        <f aca="false">IF(G1668&gt;=1,G1668,0)</f>
        <v>0</v>
      </c>
      <c r="I1668" s="5" t="s">
        <v>74</v>
      </c>
      <c r="J1668" s="5" t="s">
        <v>2249</v>
      </c>
    </row>
    <row r="1669" customFormat="false" ht="15" hidden="false" customHeight="false" outlineLevel="0" collapsed="false">
      <c r="A1669" s="5" t="s">
        <v>229</v>
      </c>
      <c r="B1669" s="5" t="s">
        <v>169</v>
      </c>
      <c r="C1669" s="5" t="n">
        <v>73</v>
      </c>
      <c r="D1669" s="5" t="s">
        <v>611</v>
      </c>
      <c r="E1669" s="5" t="n">
        <v>6</v>
      </c>
      <c r="F1669" s="20" t="n">
        <v>8.7892263885495</v>
      </c>
      <c r="G1669" s="20" t="n">
        <f aca="false">9-F1669</f>
        <v>0.210773611450504</v>
      </c>
      <c r="H1669" s="20" t="n">
        <f aca="false">IF(G1669&gt;=1,G1669,0)</f>
        <v>0</v>
      </c>
      <c r="I1669" s="5" t="s">
        <v>74</v>
      </c>
      <c r="J1669" s="5" t="s">
        <v>2250</v>
      </c>
    </row>
    <row r="1670" customFormat="false" ht="15" hidden="false" customHeight="false" outlineLevel="0" collapsed="false">
      <c r="A1670" s="5" t="s">
        <v>229</v>
      </c>
      <c r="B1670" s="5" t="s">
        <v>169</v>
      </c>
      <c r="C1670" s="5" t="n">
        <v>74</v>
      </c>
      <c r="D1670" s="5" t="s">
        <v>611</v>
      </c>
      <c r="E1670" s="5" t="n">
        <v>6</v>
      </c>
      <c r="F1670" s="20" t="n">
        <v>8.7892263885495</v>
      </c>
      <c r="G1670" s="20" t="n">
        <f aca="false">9-F1670</f>
        <v>0.210773611450504</v>
      </c>
      <c r="H1670" s="20" t="n">
        <f aca="false">IF(G1670&gt;=1,G1670,0)</f>
        <v>0</v>
      </c>
      <c r="I1670" s="5" t="s">
        <v>74</v>
      </c>
      <c r="J1670" s="5" t="s">
        <v>2251</v>
      </c>
    </row>
    <row r="1671" customFormat="false" ht="15" hidden="false" customHeight="false" outlineLevel="0" collapsed="false">
      <c r="A1671" s="5" t="s">
        <v>229</v>
      </c>
      <c r="B1671" s="5" t="s">
        <v>169</v>
      </c>
      <c r="C1671" s="5" t="n">
        <v>75</v>
      </c>
      <c r="D1671" s="5" t="s">
        <v>611</v>
      </c>
      <c r="E1671" s="5" t="n">
        <v>6</v>
      </c>
      <c r="F1671" s="20" t="n">
        <v>8.7892263885495</v>
      </c>
      <c r="G1671" s="20" t="n">
        <f aca="false">9-F1671</f>
        <v>0.210773611450504</v>
      </c>
      <c r="H1671" s="20" t="n">
        <f aca="false">IF(G1671&gt;=1,G1671,0)</f>
        <v>0</v>
      </c>
      <c r="I1671" s="5" t="s">
        <v>74</v>
      </c>
      <c r="J1671" s="5" t="s">
        <v>2252</v>
      </c>
    </row>
    <row r="1672" customFormat="false" ht="15" hidden="false" customHeight="false" outlineLevel="0" collapsed="false">
      <c r="A1672" s="5" t="s">
        <v>229</v>
      </c>
      <c r="B1672" s="5" t="s">
        <v>169</v>
      </c>
      <c r="C1672" s="5" t="n">
        <v>76</v>
      </c>
      <c r="D1672" s="5" t="s">
        <v>611</v>
      </c>
      <c r="E1672" s="5" t="n">
        <v>6</v>
      </c>
      <c r="F1672" s="20" t="n">
        <v>8.7892263885495</v>
      </c>
      <c r="G1672" s="20" t="n">
        <f aca="false">9-F1672</f>
        <v>0.210773611450504</v>
      </c>
      <c r="H1672" s="20" t="n">
        <f aca="false">IF(G1672&gt;=1,G1672,0)</f>
        <v>0</v>
      </c>
      <c r="I1672" s="5" t="s">
        <v>74</v>
      </c>
      <c r="J1672" s="5" t="s">
        <v>2253</v>
      </c>
    </row>
    <row r="1673" customFormat="false" ht="15" hidden="false" customHeight="false" outlineLevel="0" collapsed="false">
      <c r="A1673" s="5" t="s">
        <v>229</v>
      </c>
      <c r="B1673" s="5" t="s">
        <v>169</v>
      </c>
      <c r="C1673" s="5" t="n">
        <v>77</v>
      </c>
      <c r="D1673" s="5" t="s">
        <v>611</v>
      </c>
      <c r="E1673" s="5" t="n">
        <v>6</v>
      </c>
      <c r="F1673" s="20" t="n">
        <v>8.7892263885495</v>
      </c>
      <c r="G1673" s="20" t="n">
        <f aca="false">9-F1673</f>
        <v>0.210773611450504</v>
      </c>
      <c r="H1673" s="20" t="n">
        <f aca="false">IF(G1673&gt;=1,G1673,0)</f>
        <v>0</v>
      </c>
      <c r="I1673" s="5" t="s">
        <v>74</v>
      </c>
      <c r="J1673" s="5" t="s">
        <v>2254</v>
      </c>
    </row>
    <row r="1674" customFormat="false" ht="15" hidden="false" customHeight="false" outlineLevel="0" collapsed="false">
      <c r="A1674" s="5" t="s">
        <v>229</v>
      </c>
      <c r="B1674" s="5" t="s">
        <v>169</v>
      </c>
      <c r="C1674" s="5" t="n">
        <v>78</v>
      </c>
      <c r="D1674" s="5" t="s">
        <v>611</v>
      </c>
      <c r="E1674" s="5" t="n">
        <v>6</v>
      </c>
      <c r="F1674" s="20" t="n">
        <v>8.7892263885495</v>
      </c>
      <c r="G1674" s="20" t="n">
        <f aca="false">9-F1674</f>
        <v>0.210773611450504</v>
      </c>
      <c r="H1674" s="20" t="n">
        <f aca="false">IF(G1674&gt;=1,G1674,0)</f>
        <v>0</v>
      </c>
      <c r="I1674" s="5" t="s">
        <v>74</v>
      </c>
      <c r="J1674" s="5" t="s">
        <v>2255</v>
      </c>
    </row>
    <row r="1675" customFormat="false" ht="15" hidden="false" customHeight="false" outlineLevel="0" collapsed="false">
      <c r="A1675" s="5" t="s">
        <v>229</v>
      </c>
      <c r="B1675" s="5" t="s">
        <v>169</v>
      </c>
      <c r="C1675" s="5" t="n">
        <v>79</v>
      </c>
      <c r="D1675" s="5" t="s">
        <v>611</v>
      </c>
      <c r="E1675" s="5" t="n">
        <v>6</v>
      </c>
      <c r="F1675" s="20" t="n">
        <v>8.78922638854949</v>
      </c>
      <c r="G1675" s="20" t="n">
        <f aca="false">9-F1675</f>
        <v>0.210773611450506</v>
      </c>
      <c r="H1675" s="20" t="n">
        <f aca="false">IF(G1675&gt;=1,G1675,0)</f>
        <v>0</v>
      </c>
      <c r="I1675" s="5" t="s">
        <v>74</v>
      </c>
      <c r="J1675" s="5" t="s">
        <v>2256</v>
      </c>
    </row>
    <row r="1676" customFormat="false" ht="15" hidden="false" customHeight="false" outlineLevel="0" collapsed="false">
      <c r="A1676" s="5" t="s">
        <v>229</v>
      </c>
      <c r="B1676" s="5" t="s">
        <v>169</v>
      </c>
      <c r="C1676" s="5" t="n">
        <v>80</v>
      </c>
      <c r="D1676" s="5" t="s">
        <v>611</v>
      </c>
      <c r="E1676" s="5" t="n">
        <v>6</v>
      </c>
      <c r="F1676" s="20" t="n">
        <v>8.78922638854949</v>
      </c>
      <c r="G1676" s="20" t="n">
        <f aca="false">9-F1676</f>
        <v>0.210773611450509</v>
      </c>
      <c r="H1676" s="20" t="n">
        <f aca="false">IF(G1676&gt;=1,G1676,0)</f>
        <v>0</v>
      </c>
      <c r="I1676" s="5" t="s">
        <v>74</v>
      </c>
      <c r="J1676" s="5" t="s">
        <v>2257</v>
      </c>
    </row>
    <row r="1677" customFormat="false" ht="15" hidden="false" customHeight="false" outlineLevel="0" collapsed="false">
      <c r="A1677" s="5" t="s">
        <v>229</v>
      </c>
      <c r="B1677" s="5" t="s">
        <v>169</v>
      </c>
      <c r="C1677" s="5" t="n">
        <v>81</v>
      </c>
      <c r="D1677" s="5" t="s">
        <v>611</v>
      </c>
      <c r="E1677" s="5" t="n">
        <v>6</v>
      </c>
      <c r="F1677" s="20" t="n">
        <v>8.78922638854949</v>
      </c>
      <c r="G1677" s="20" t="n">
        <f aca="false">9-F1677</f>
        <v>0.210773611450509</v>
      </c>
      <c r="H1677" s="20" t="n">
        <f aca="false">IF(G1677&gt;=1,G1677,0)</f>
        <v>0</v>
      </c>
      <c r="I1677" s="5" t="s">
        <v>74</v>
      </c>
      <c r="J1677" s="5" t="s">
        <v>2258</v>
      </c>
    </row>
    <row r="1678" customFormat="false" ht="15" hidden="false" customHeight="false" outlineLevel="0" collapsed="false">
      <c r="A1678" s="5" t="s">
        <v>229</v>
      </c>
      <c r="B1678" s="5" t="s">
        <v>169</v>
      </c>
      <c r="C1678" s="5" t="n">
        <v>82</v>
      </c>
      <c r="D1678" s="5" t="s">
        <v>611</v>
      </c>
      <c r="E1678" s="5" t="n">
        <v>6</v>
      </c>
      <c r="F1678" s="20" t="n">
        <v>8.78922638854949</v>
      </c>
      <c r="G1678" s="20" t="n">
        <f aca="false">9-F1678</f>
        <v>0.210773611450509</v>
      </c>
      <c r="H1678" s="20" t="n">
        <f aca="false">IF(G1678&gt;=1,G1678,0)</f>
        <v>0</v>
      </c>
      <c r="I1678" s="5" t="s">
        <v>74</v>
      </c>
      <c r="J1678" s="5" t="s">
        <v>2259</v>
      </c>
    </row>
    <row r="1679" customFormat="false" ht="15" hidden="false" customHeight="false" outlineLevel="0" collapsed="false">
      <c r="A1679" s="5" t="s">
        <v>229</v>
      </c>
      <c r="B1679" s="5" t="s">
        <v>169</v>
      </c>
      <c r="C1679" s="5" t="n">
        <v>83</v>
      </c>
      <c r="D1679" s="5" t="s">
        <v>611</v>
      </c>
      <c r="E1679" s="5" t="n">
        <v>6</v>
      </c>
      <c r="F1679" s="20" t="n">
        <v>8.78922638854949</v>
      </c>
      <c r="G1679" s="20" t="n">
        <f aca="false">9-F1679</f>
        <v>0.210773611450509</v>
      </c>
      <c r="H1679" s="20" t="n">
        <f aca="false">IF(G1679&gt;=1,G1679,0)</f>
        <v>0</v>
      </c>
      <c r="I1679" s="5" t="s">
        <v>74</v>
      </c>
      <c r="J1679" s="5" t="s">
        <v>2260</v>
      </c>
    </row>
    <row r="1680" customFormat="false" ht="15" hidden="false" customHeight="false" outlineLevel="0" collapsed="false">
      <c r="A1680" s="5" t="s">
        <v>229</v>
      </c>
      <c r="B1680" s="5" t="s">
        <v>169</v>
      </c>
      <c r="C1680" s="5" t="n">
        <v>84</v>
      </c>
      <c r="D1680" s="5" t="s">
        <v>611</v>
      </c>
      <c r="E1680" s="5" t="n">
        <v>6</v>
      </c>
      <c r="F1680" s="20" t="n">
        <v>8.78922638854949</v>
      </c>
      <c r="G1680" s="20" t="n">
        <f aca="false">9-F1680</f>
        <v>0.210773611450509</v>
      </c>
      <c r="H1680" s="20" t="n">
        <f aca="false">IF(G1680&gt;=1,G1680,0)</f>
        <v>0</v>
      </c>
      <c r="I1680" s="5" t="s">
        <v>74</v>
      </c>
      <c r="J1680" s="5" t="s">
        <v>2261</v>
      </c>
    </row>
    <row r="1681" customFormat="false" ht="15" hidden="false" customHeight="false" outlineLevel="0" collapsed="false">
      <c r="A1681" s="5" t="s">
        <v>229</v>
      </c>
      <c r="B1681" s="5" t="s">
        <v>169</v>
      </c>
      <c r="C1681" s="5" t="n">
        <v>85</v>
      </c>
      <c r="D1681" s="5" t="s">
        <v>611</v>
      </c>
      <c r="E1681" s="5" t="n">
        <v>6</v>
      </c>
      <c r="F1681" s="20" t="n">
        <v>8.78922638854949</v>
      </c>
      <c r="G1681" s="20" t="n">
        <f aca="false">9-F1681</f>
        <v>0.210773611450509</v>
      </c>
      <c r="H1681" s="20" t="n">
        <f aca="false">IF(G1681&gt;=1,G1681,0)</f>
        <v>0</v>
      </c>
      <c r="I1681" s="5" t="s">
        <v>74</v>
      </c>
      <c r="J1681" s="5" t="s">
        <v>2262</v>
      </c>
    </row>
    <row r="1682" customFormat="false" ht="15" hidden="false" customHeight="false" outlineLevel="0" collapsed="false">
      <c r="A1682" s="5" t="s">
        <v>229</v>
      </c>
      <c r="B1682" s="5" t="s">
        <v>169</v>
      </c>
      <c r="C1682" s="5" t="n">
        <v>86</v>
      </c>
      <c r="D1682" s="5" t="s">
        <v>611</v>
      </c>
      <c r="E1682" s="5" t="n">
        <v>6</v>
      </c>
      <c r="F1682" s="20" t="n">
        <v>8.78922638854949</v>
      </c>
      <c r="G1682" s="20" t="n">
        <f aca="false">9-F1682</f>
        <v>0.210773611450509</v>
      </c>
      <c r="H1682" s="20" t="n">
        <f aca="false">IF(G1682&gt;=1,G1682,0)</f>
        <v>0</v>
      </c>
      <c r="I1682" s="5" t="s">
        <v>74</v>
      </c>
      <c r="J1682" s="5" t="s">
        <v>2263</v>
      </c>
    </row>
    <row r="1683" customFormat="false" ht="15" hidden="false" customHeight="false" outlineLevel="0" collapsed="false">
      <c r="A1683" s="5" t="s">
        <v>229</v>
      </c>
      <c r="B1683" s="5" t="s">
        <v>169</v>
      </c>
      <c r="C1683" s="5" t="n">
        <v>87</v>
      </c>
      <c r="D1683" s="5" t="s">
        <v>611</v>
      </c>
      <c r="E1683" s="5" t="n">
        <v>6</v>
      </c>
      <c r="F1683" s="20" t="n">
        <v>8.78922638854949</v>
      </c>
      <c r="G1683" s="20" t="n">
        <f aca="false">9-F1683</f>
        <v>0.210773611450509</v>
      </c>
      <c r="H1683" s="20" t="n">
        <f aca="false">IF(G1683&gt;=1,G1683,0)</f>
        <v>0</v>
      </c>
      <c r="I1683" s="5" t="s">
        <v>74</v>
      </c>
      <c r="J1683" s="5" t="s">
        <v>2264</v>
      </c>
    </row>
    <row r="1684" customFormat="false" ht="15" hidden="false" customHeight="false" outlineLevel="0" collapsed="false">
      <c r="A1684" s="5" t="s">
        <v>229</v>
      </c>
      <c r="B1684" s="5" t="s">
        <v>169</v>
      </c>
      <c r="C1684" s="5" t="n">
        <v>88</v>
      </c>
      <c r="D1684" s="5" t="s">
        <v>611</v>
      </c>
      <c r="E1684" s="5" t="n">
        <v>6</v>
      </c>
      <c r="F1684" s="20" t="n">
        <v>8.78922638854949</v>
      </c>
      <c r="G1684" s="20" t="n">
        <f aca="false">9-F1684</f>
        <v>0.210773611450509</v>
      </c>
      <c r="H1684" s="20" t="n">
        <f aca="false">IF(G1684&gt;=1,G1684,0)</f>
        <v>0</v>
      </c>
      <c r="I1684" s="5" t="s">
        <v>74</v>
      </c>
      <c r="J1684" s="5" t="s">
        <v>2265</v>
      </c>
    </row>
    <row r="1685" customFormat="false" ht="15" hidden="false" customHeight="false" outlineLevel="0" collapsed="false">
      <c r="A1685" s="5" t="s">
        <v>229</v>
      </c>
      <c r="B1685" s="5" t="s">
        <v>169</v>
      </c>
      <c r="C1685" s="5" t="n">
        <v>89</v>
      </c>
      <c r="D1685" s="5" t="s">
        <v>611</v>
      </c>
      <c r="E1685" s="5" t="n">
        <v>6</v>
      </c>
      <c r="F1685" s="20" t="n">
        <v>8.78922638854949</v>
      </c>
      <c r="G1685" s="20" t="n">
        <f aca="false">9-F1685</f>
        <v>0.210773611450513</v>
      </c>
      <c r="H1685" s="20" t="n">
        <f aca="false">IF(G1685&gt;=1,G1685,0)</f>
        <v>0</v>
      </c>
      <c r="I1685" s="5" t="s">
        <v>74</v>
      </c>
      <c r="J1685" s="5" t="s">
        <v>2266</v>
      </c>
    </row>
    <row r="1686" customFormat="false" ht="15" hidden="false" customHeight="false" outlineLevel="0" collapsed="false">
      <c r="A1686" s="5" t="s">
        <v>229</v>
      </c>
      <c r="B1686" s="5" t="s">
        <v>169</v>
      </c>
      <c r="C1686" s="5" t="n">
        <v>90</v>
      </c>
      <c r="D1686" s="5" t="s">
        <v>611</v>
      </c>
      <c r="E1686" s="5" t="n">
        <v>6</v>
      </c>
      <c r="F1686" s="20" t="n">
        <v>8.78922638854949</v>
      </c>
      <c r="G1686" s="20" t="n">
        <f aca="false">9-F1686</f>
        <v>0.210773611450513</v>
      </c>
      <c r="H1686" s="20" t="n">
        <f aca="false">IF(G1686&gt;=1,G1686,0)</f>
        <v>0</v>
      </c>
      <c r="I1686" s="5" t="s">
        <v>74</v>
      </c>
      <c r="J1686" s="5" t="s">
        <v>2267</v>
      </c>
    </row>
    <row r="1687" customFormat="false" ht="15" hidden="false" customHeight="false" outlineLevel="0" collapsed="false">
      <c r="A1687" s="5" t="s">
        <v>229</v>
      </c>
      <c r="B1687" s="5" t="s">
        <v>169</v>
      </c>
      <c r="C1687" s="5" t="n">
        <v>91</v>
      </c>
      <c r="D1687" s="5" t="s">
        <v>611</v>
      </c>
      <c r="E1687" s="5" t="n">
        <v>6</v>
      </c>
      <c r="F1687" s="20" t="n">
        <v>8.78922638854949</v>
      </c>
      <c r="G1687" s="20" t="n">
        <f aca="false">9-F1687</f>
        <v>0.210773611450513</v>
      </c>
      <c r="H1687" s="20" t="n">
        <f aca="false">IF(G1687&gt;=1,G1687,0)</f>
        <v>0</v>
      </c>
      <c r="I1687" s="5" t="s">
        <v>74</v>
      </c>
      <c r="J1687" s="5" t="s">
        <v>2268</v>
      </c>
    </row>
    <row r="1688" customFormat="false" ht="15" hidden="false" customHeight="false" outlineLevel="0" collapsed="false">
      <c r="A1688" s="5" t="s">
        <v>229</v>
      </c>
      <c r="B1688" s="5" t="s">
        <v>169</v>
      </c>
      <c r="C1688" s="5" t="n">
        <v>92</v>
      </c>
      <c r="D1688" s="5" t="s">
        <v>611</v>
      </c>
      <c r="E1688" s="5" t="n">
        <v>6</v>
      </c>
      <c r="F1688" s="20" t="n">
        <v>8.78922638854949</v>
      </c>
      <c r="G1688" s="20" t="n">
        <f aca="false">9-F1688</f>
        <v>0.210773611450513</v>
      </c>
      <c r="H1688" s="20" t="n">
        <f aca="false">IF(G1688&gt;=1,G1688,0)</f>
        <v>0</v>
      </c>
      <c r="I1688" s="5" t="s">
        <v>74</v>
      </c>
      <c r="J1688" s="5" t="s">
        <v>2269</v>
      </c>
    </row>
    <row r="1689" customFormat="false" ht="15" hidden="false" customHeight="false" outlineLevel="0" collapsed="false">
      <c r="A1689" s="5" t="s">
        <v>229</v>
      </c>
      <c r="B1689" s="5" t="s">
        <v>169</v>
      </c>
      <c r="C1689" s="5" t="n">
        <v>93</v>
      </c>
      <c r="D1689" s="5" t="s">
        <v>611</v>
      </c>
      <c r="E1689" s="5" t="n">
        <v>6</v>
      </c>
      <c r="F1689" s="20" t="n">
        <v>8.78922638854949</v>
      </c>
      <c r="G1689" s="20" t="n">
        <f aca="false">9-F1689</f>
        <v>0.210773611450513</v>
      </c>
      <c r="H1689" s="20" t="n">
        <f aca="false">IF(G1689&gt;=1,G1689,0)</f>
        <v>0</v>
      </c>
      <c r="I1689" s="5" t="s">
        <v>74</v>
      </c>
      <c r="J1689" s="5" t="s">
        <v>2270</v>
      </c>
    </row>
    <row r="1690" customFormat="false" ht="15" hidden="false" customHeight="false" outlineLevel="0" collapsed="false">
      <c r="A1690" s="5" t="s">
        <v>229</v>
      </c>
      <c r="B1690" s="5" t="s">
        <v>169</v>
      </c>
      <c r="C1690" s="5" t="n">
        <v>94</v>
      </c>
      <c r="D1690" s="5" t="s">
        <v>611</v>
      </c>
      <c r="E1690" s="5" t="n">
        <v>6</v>
      </c>
      <c r="F1690" s="20" t="n">
        <v>8.78922638854949</v>
      </c>
      <c r="G1690" s="20" t="n">
        <f aca="false">9-F1690</f>
        <v>0.210773611450513</v>
      </c>
      <c r="H1690" s="20" t="n">
        <f aca="false">IF(G1690&gt;=1,G1690,0)</f>
        <v>0</v>
      </c>
      <c r="I1690" s="5" t="s">
        <v>74</v>
      </c>
      <c r="J1690" s="5" t="s">
        <v>2271</v>
      </c>
    </row>
    <row r="1691" customFormat="false" ht="15" hidden="false" customHeight="false" outlineLevel="0" collapsed="false">
      <c r="A1691" s="5" t="s">
        <v>229</v>
      </c>
      <c r="B1691" s="5" t="s">
        <v>169</v>
      </c>
      <c r="C1691" s="5" t="n">
        <v>95</v>
      </c>
      <c r="D1691" s="5" t="s">
        <v>611</v>
      </c>
      <c r="E1691" s="5" t="n">
        <v>6</v>
      </c>
      <c r="F1691" s="20" t="n">
        <v>8.78922638854949</v>
      </c>
      <c r="G1691" s="20" t="n">
        <f aca="false">9-F1691</f>
        <v>0.210773611450513</v>
      </c>
      <c r="H1691" s="20" t="n">
        <f aca="false">IF(G1691&gt;=1,G1691,0)</f>
        <v>0</v>
      </c>
      <c r="I1691" s="5" t="s">
        <v>74</v>
      </c>
      <c r="J1691" s="5" t="s">
        <v>2272</v>
      </c>
    </row>
    <row r="1692" customFormat="false" ht="15" hidden="false" customHeight="false" outlineLevel="0" collapsed="false">
      <c r="A1692" s="5" t="s">
        <v>229</v>
      </c>
      <c r="B1692" s="5" t="s">
        <v>169</v>
      </c>
      <c r="C1692" s="5" t="n">
        <v>96</v>
      </c>
      <c r="D1692" s="5" t="s">
        <v>611</v>
      </c>
      <c r="E1692" s="5" t="n">
        <v>6</v>
      </c>
      <c r="F1692" s="20" t="n">
        <v>8.78922638854949</v>
      </c>
      <c r="G1692" s="20" t="n">
        <f aca="false">9-F1692</f>
        <v>0.210773611450513</v>
      </c>
      <c r="H1692" s="20" t="n">
        <f aca="false">IF(G1692&gt;=1,G1692,0)</f>
        <v>0</v>
      </c>
      <c r="I1692" s="5" t="s">
        <v>74</v>
      </c>
      <c r="J1692" s="5" t="s">
        <v>2273</v>
      </c>
    </row>
    <row r="1693" customFormat="false" ht="15" hidden="false" customHeight="false" outlineLevel="0" collapsed="false">
      <c r="A1693" s="5" t="s">
        <v>229</v>
      </c>
      <c r="B1693" s="5" t="s">
        <v>169</v>
      </c>
      <c r="C1693" s="5" t="n">
        <v>97</v>
      </c>
      <c r="D1693" s="5" t="s">
        <v>611</v>
      </c>
      <c r="E1693" s="5" t="n">
        <v>6</v>
      </c>
      <c r="F1693" s="20" t="n">
        <v>8.78922638854949</v>
      </c>
      <c r="G1693" s="20" t="n">
        <f aca="false">9-F1693</f>
        <v>0.210773611450513</v>
      </c>
      <c r="H1693" s="20" t="n">
        <f aca="false">IF(G1693&gt;=1,G1693,0)</f>
        <v>0</v>
      </c>
      <c r="I1693" s="5" t="s">
        <v>74</v>
      </c>
      <c r="J1693" s="5" t="s">
        <v>2274</v>
      </c>
    </row>
    <row r="1694" customFormat="false" ht="15" hidden="false" customHeight="false" outlineLevel="0" collapsed="false">
      <c r="A1694" s="5" t="s">
        <v>229</v>
      </c>
      <c r="B1694" s="5" t="s">
        <v>169</v>
      </c>
      <c r="C1694" s="5" t="n">
        <v>98</v>
      </c>
      <c r="D1694" s="5" t="s">
        <v>611</v>
      </c>
      <c r="E1694" s="5" t="n">
        <v>6</v>
      </c>
      <c r="F1694" s="20" t="n">
        <v>8.78922638854948</v>
      </c>
      <c r="G1694" s="20" t="n">
        <f aca="false">9-F1694</f>
        <v>0.210773611450522</v>
      </c>
      <c r="H1694" s="20" t="n">
        <f aca="false">IF(G1694&gt;=1,G1694,0)</f>
        <v>0</v>
      </c>
      <c r="I1694" s="5" t="s">
        <v>74</v>
      </c>
      <c r="J1694" s="5" t="s">
        <v>2275</v>
      </c>
    </row>
    <row r="1695" customFormat="false" ht="15" hidden="false" customHeight="false" outlineLevel="0" collapsed="false">
      <c r="A1695" s="5" t="s">
        <v>229</v>
      </c>
      <c r="B1695" s="5" t="s">
        <v>169</v>
      </c>
      <c r="C1695" s="5" t="n">
        <v>99</v>
      </c>
      <c r="D1695" s="5" t="s">
        <v>611</v>
      </c>
      <c r="E1695" s="5" t="n">
        <v>6</v>
      </c>
      <c r="F1695" s="20" t="n">
        <v>8.78922638854948</v>
      </c>
      <c r="G1695" s="20" t="n">
        <f aca="false">9-F1695</f>
        <v>0.210773611450525</v>
      </c>
      <c r="H1695" s="20" t="n">
        <f aca="false">IF(G1695&gt;=1,G1695,0)</f>
        <v>0</v>
      </c>
      <c r="I1695" s="5" t="s">
        <v>74</v>
      </c>
      <c r="J1695" s="5" t="s">
        <v>2276</v>
      </c>
    </row>
    <row r="1696" customFormat="false" ht="15" hidden="false" customHeight="false" outlineLevel="0" collapsed="false">
      <c r="A1696" s="5" t="s">
        <v>229</v>
      </c>
      <c r="B1696" s="5" t="s">
        <v>169</v>
      </c>
      <c r="C1696" s="5" t="n">
        <v>100</v>
      </c>
      <c r="D1696" s="5" t="s">
        <v>611</v>
      </c>
      <c r="E1696" s="5" t="n">
        <v>6</v>
      </c>
      <c r="F1696" s="20" t="n">
        <v>8.78922638854948</v>
      </c>
      <c r="G1696" s="20" t="n">
        <f aca="false">9-F1696</f>
        <v>0.210773611450525</v>
      </c>
      <c r="H1696" s="20" t="n">
        <f aca="false">IF(G1696&gt;=1,G1696,0)</f>
        <v>0</v>
      </c>
      <c r="I1696" s="5" t="s">
        <v>74</v>
      </c>
      <c r="J1696" s="5" t="s">
        <v>2277</v>
      </c>
    </row>
    <row r="1697" customFormat="false" ht="15" hidden="false" customHeight="false" outlineLevel="0" collapsed="false">
      <c r="A1697" s="5" t="s">
        <v>229</v>
      </c>
      <c r="B1697" s="5" t="s">
        <v>169</v>
      </c>
      <c r="C1697" s="5" t="n">
        <v>101</v>
      </c>
      <c r="D1697" s="5" t="s">
        <v>611</v>
      </c>
      <c r="E1697" s="5" t="n">
        <v>6</v>
      </c>
      <c r="F1697" s="20" t="n">
        <v>8.78922638854947</v>
      </c>
      <c r="G1697" s="20" t="n">
        <f aca="false">9-F1697</f>
        <v>0.210773611450527</v>
      </c>
      <c r="H1697" s="20" t="n">
        <f aca="false">IF(G1697&gt;=1,G1697,0)</f>
        <v>0</v>
      </c>
      <c r="I1697" s="5" t="s">
        <v>74</v>
      </c>
      <c r="J1697" s="5" t="s">
        <v>2278</v>
      </c>
    </row>
    <row r="1698" customFormat="false" ht="15" hidden="false" customHeight="false" outlineLevel="0" collapsed="false">
      <c r="A1698" s="5" t="s">
        <v>229</v>
      </c>
      <c r="B1698" s="5" t="s">
        <v>169</v>
      </c>
      <c r="C1698" s="5" t="n">
        <v>102</v>
      </c>
      <c r="D1698" s="5" t="s">
        <v>611</v>
      </c>
      <c r="E1698" s="5" t="n">
        <v>6</v>
      </c>
      <c r="F1698" s="20" t="n">
        <v>8.78922638854947</v>
      </c>
      <c r="G1698" s="20" t="n">
        <f aca="false">9-F1698</f>
        <v>0.210773611450527</v>
      </c>
      <c r="H1698" s="20" t="n">
        <f aca="false">IF(G1698&gt;=1,G1698,0)</f>
        <v>0</v>
      </c>
      <c r="I1698" s="5" t="s">
        <v>74</v>
      </c>
      <c r="J1698" s="5" t="s">
        <v>2279</v>
      </c>
    </row>
    <row r="1699" customFormat="false" ht="15" hidden="false" customHeight="false" outlineLevel="0" collapsed="false">
      <c r="A1699" s="5" t="s">
        <v>229</v>
      </c>
      <c r="B1699" s="5" t="s">
        <v>169</v>
      </c>
      <c r="C1699" s="5" t="n">
        <v>103</v>
      </c>
      <c r="D1699" s="5" t="s">
        <v>611</v>
      </c>
      <c r="E1699" s="5" t="n">
        <v>6</v>
      </c>
      <c r="F1699" s="20" t="n">
        <v>8.78922638854947</v>
      </c>
      <c r="G1699" s="20" t="n">
        <f aca="false">9-F1699</f>
        <v>0.210773611450527</v>
      </c>
      <c r="H1699" s="20" t="n">
        <f aca="false">IF(G1699&gt;=1,G1699,0)</f>
        <v>0</v>
      </c>
      <c r="I1699" s="5" t="s">
        <v>74</v>
      </c>
      <c r="J1699" s="5" t="s">
        <v>2280</v>
      </c>
    </row>
    <row r="1700" customFormat="false" ht="15" hidden="false" customHeight="false" outlineLevel="0" collapsed="false">
      <c r="A1700" s="5" t="s">
        <v>229</v>
      </c>
      <c r="B1700" s="5" t="s">
        <v>169</v>
      </c>
      <c r="C1700" s="5" t="n">
        <v>104</v>
      </c>
      <c r="D1700" s="5" t="s">
        <v>611</v>
      </c>
      <c r="E1700" s="5" t="n">
        <v>6</v>
      </c>
      <c r="F1700" s="20" t="n">
        <v>8.78922638854947</v>
      </c>
      <c r="G1700" s="20" t="n">
        <f aca="false">9-F1700</f>
        <v>0.210773611450527</v>
      </c>
      <c r="H1700" s="20" t="n">
        <f aca="false">IF(G1700&gt;=1,G1700,0)</f>
        <v>0</v>
      </c>
      <c r="I1700" s="5" t="s">
        <v>74</v>
      </c>
      <c r="J1700" s="5" t="s">
        <v>2281</v>
      </c>
    </row>
    <row r="1701" customFormat="false" ht="15" hidden="false" customHeight="false" outlineLevel="0" collapsed="false">
      <c r="A1701" s="5" t="s">
        <v>229</v>
      </c>
      <c r="B1701" s="5" t="s">
        <v>169</v>
      </c>
      <c r="C1701" s="5" t="n">
        <v>105</v>
      </c>
      <c r="D1701" s="5" t="s">
        <v>611</v>
      </c>
      <c r="E1701" s="5" t="n">
        <v>6</v>
      </c>
      <c r="F1701" s="20" t="n">
        <v>8.78922638854947</v>
      </c>
      <c r="G1701" s="20" t="n">
        <f aca="false">9-F1701</f>
        <v>0.210773611450527</v>
      </c>
      <c r="H1701" s="20" t="n">
        <f aca="false">IF(G1701&gt;=1,G1701,0)</f>
        <v>0</v>
      </c>
      <c r="I1701" s="5" t="s">
        <v>74</v>
      </c>
      <c r="J1701" s="5" t="s">
        <v>2282</v>
      </c>
    </row>
    <row r="1702" customFormat="false" ht="15" hidden="false" customHeight="false" outlineLevel="0" collapsed="false">
      <c r="A1702" s="5" t="s">
        <v>229</v>
      </c>
      <c r="B1702" s="5" t="s">
        <v>169</v>
      </c>
      <c r="C1702" s="5" t="n">
        <v>106</v>
      </c>
      <c r="D1702" s="5" t="s">
        <v>611</v>
      </c>
      <c r="E1702" s="5" t="n">
        <v>6</v>
      </c>
      <c r="F1702" s="20" t="n">
        <v>8.78922638854947</v>
      </c>
      <c r="G1702" s="20" t="n">
        <f aca="false">9-F1702</f>
        <v>0.210773611450527</v>
      </c>
      <c r="H1702" s="20" t="n">
        <f aca="false">IF(G1702&gt;=1,G1702,0)</f>
        <v>0</v>
      </c>
      <c r="I1702" s="5" t="s">
        <v>74</v>
      </c>
      <c r="J1702" s="5" t="s">
        <v>2283</v>
      </c>
    </row>
    <row r="1703" customFormat="false" ht="15" hidden="false" customHeight="false" outlineLevel="0" collapsed="false">
      <c r="A1703" s="5" t="s">
        <v>229</v>
      </c>
      <c r="B1703" s="5" t="s">
        <v>169</v>
      </c>
      <c r="C1703" s="5" t="n">
        <v>107</v>
      </c>
      <c r="D1703" s="5" t="s">
        <v>611</v>
      </c>
      <c r="E1703" s="5" t="n">
        <v>6</v>
      </c>
      <c r="F1703" s="20" t="n">
        <v>8.78922638854947</v>
      </c>
      <c r="G1703" s="20" t="n">
        <f aca="false">9-F1703</f>
        <v>0.210773611450533</v>
      </c>
      <c r="H1703" s="20" t="n">
        <f aca="false">IF(G1703&gt;=1,G1703,0)</f>
        <v>0</v>
      </c>
      <c r="I1703" s="5" t="s">
        <v>74</v>
      </c>
      <c r="J1703" s="5" t="s">
        <v>2284</v>
      </c>
    </row>
    <row r="1704" customFormat="false" ht="15" hidden="false" customHeight="false" outlineLevel="0" collapsed="false">
      <c r="A1704" s="5" t="s">
        <v>229</v>
      </c>
      <c r="B1704" s="5" t="s">
        <v>169</v>
      </c>
      <c r="C1704" s="5" t="n">
        <v>108</v>
      </c>
      <c r="D1704" s="5" t="s">
        <v>611</v>
      </c>
      <c r="E1704" s="5" t="n">
        <v>6</v>
      </c>
      <c r="F1704" s="20" t="n">
        <v>8.78922638854946</v>
      </c>
      <c r="G1704" s="20" t="n">
        <f aca="false">9-F1704</f>
        <v>0.210773611450536</v>
      </c>
      <c r="H1704" s="20" t="n">
        <f aca="false">IF(G1704&gt;=1,G1704,0)</f>
        <v>0</v>
      </c>
      <c r="I1704" s="5" t="s">
        <v>74</v>
      </c>
      <c r="J1704" s="5" t="s">
        <v>2285</v>
      </c>
    </row>
    <row r="1705" customFormat="false" ht="15" hidden="false" customHeight="false" outlineLevel="0" collapsed="false">
      <c r="A1705" s="5" t="s">
        <v>229</v>
      </c>
      <c r="B1705" s="5" t="s">
        <v>169</v>
      </c>
      <c r="C1705" s="5" t="n">
        <v>109</v>
      </c>
      <c r="D1705" s="5" t="s">
        <v>611</v>
      </c>
      <c r="E1705" s="5" t="n">
        <v>6</v>
      </c>
      <c r="F1705" s="20" t="n">
        <v>8.78922638854946</v>
      </c>
      <c r="G1705" s="20" t="n">
        <f aca="false">9-F1705</f>
        <v>0.210773611450536</v>
      </c>
      <c r="H1705" s="20" t="n">
        <f aca="false">IF(G1705&gt;=1,G1705,0)</f>
        <v>0</v>
      </c>
      <c r="I1705" s="5" t="s">
        <v>74</v>
      </c>
      <c r="J1705" s="5" t="s">
        <v>2286</v>
      </c>
    </row>
    <row r="1706" customFormat="false" ht="15" hidden="false" customHeight="false" outlineLevel="0" collapsed="false">
      <c r="A1706" s="5" t="s">
        <v>229</v>
      </c>
      <c r="B1706" s="5" t="s">
        <v>169</v>
      </c>
      <c r="C1706" s="5" t="n">
        <v>110</v>
      </c>
      <c r="D1706" s="5" t="s">
        <v>611</v>
      </c>
      <c r="E1706" s="5" t="n">
        <v>6</v>
      </c>
      <c r="F1706" s="20" t="n">
        <v>8.78922638854946</v>
      </c>
      <c r="G1706" s="20" t="n">
        <f aca="false">9-F1706</f>
        <v>0.210773611450536</v>
      </c>
      <c r="H1706" s="20" t="n">
        <f aca="false">IF(G1706&gt;=1,G1706,0)</f>
        <v>0</v>
      </c>
      <c r="I1706" s="5" t="s">
        <v>74</v>
      </c>
      <c r="J1706" s="5" t="s">
        <v>2287</v>
      </c>
    </row>
    <row r="1707" customFormat="false" ht="15" hidden="false" customHeight="false" outlineLevel="0" collapsed="false">
      <c r="A1707" s="5" t="s">
        <v>229</v>
      </c>
      <c r="B1707" s="5" t="s">
        <v>169</v>
      </c>
      <c r="C1707" s="5" t="n">
        <v>111</v>
      </c>
      <c r="D1707" s="5" t="s">
        <v>611</v>
      </c>
      <c r="E1707" s="5" t="n">
        <v>6</v>
      </c>
      <c r="F1707" s="20" t="n">
        <v>8.78922638854946</v>
      </c>
      <c r="G1707" s="20" t="n">
        <f aca="false">9-F1707</f>
        <v>0.210773611450536</v>
      </c>
      <c r="H1707" s="20" t="n">
        <f aca="false">IF(G1707&gt;=1,G1707,0)</f>
        <v>0</v>
      </c>
      <c r="I1707" s="5" t="s">
        <v>74</v>
      </c>
      <c r="J1707" s="5" t="s">
        <v>2288</v>
      </c>
    </row>
    <row r="1708" customFormat="false" ht="15" hidden="false" customHeight="false" outlineLevel="0" collapsed="false">
      <c r="A1708" s="5" t="s">
        <v>229</v>
      </c>
      <c r="B1708" s="5" t="s">
        <v>169</v>
      </c>
      <c r="C1708" s="5" t="n">
        <v>112</v>
      </c>
      <c r="D1708" s="5" t="s">
        <v>611</v>
      </c>
      <c r="E1708" s="5" t="n">
        <v>6</v>
      </c>
      <c r="F1708" s="20" t="n">
        <v>8.78922638854946</v>
      </c>
      <c r="G1708" s="20" t="n">
        <f aca="false">9-F1708</f>
        <v>0.210773611450541</v>
      </c>
      <c r="H1708" s="20" t="n">
        <f aca="false">IF(G1708&gt;=1,G1708,0)</f>
        <v>0</v>
      </c>
      <c r="I1708" s="5" t="s">
        <v>74</v>
      </c>
      <c r="J1708" s="5" t="s">
        <v>2289</v>
      </c>
    </row>
    <row r="1709" customFormat="false" ht="15" hidden="false" customHeight="false" outlineLevel="0" collapsed="false">
      <c r="A1709" s="5" t="s">
        <v>229</v>
      </c>
      <c r="B1709" s="5" t="s">
        <v>169</v>
      </c>
      <c r="C1709" s="5" t="n">
        <v>113</v>
      </c>
      <c r="D1709" s="5" t="s">
        <v>611</v>
      </c>
      <c r="E1709" s="5" t="n">
        <v>6</v>
      </c>
      <c r="F1709" s="20" t="n">
        <v>8.78922638854946</v>
      </c>
      <c r="G1709" s="20" t="n">
        <f aca="false">9-F1709</f>
        <v>0.210773611450541</v>
      </c>
      <c r="H1709" s="20" t="n">
        <f aca="false">IF(G1709&gt;=1,G1709,0)</f>
        <v>0</v>
      </c>
      <c r="I1709" s="5" t="s">
        <v>74</v>
      </c>
      <c r="J1709" s="5" t="s">
        <v>2290</v>
      </c>
    </row>
    <row r="1710" customFormat="false" ht="15" hidden="false" customHeight="false" outlineLevel="0" collapsed="false">
      <c r="A1710" s="5" t="s">
        <v>229</v>
      </c>
      <c r="B1710" s="5" t="s">
        <v>169</v>
      </c>
      <c r="C1710" s="5" t="n">
        <v>114</v>
      </c>
      <c r="D1710" s="5" t="s">
        <v>611</v>
      </c>
      <c r="E1710" s="5" t="n">
        <v>6</v>
      </c>
      <c r="F1710" s="20" t="n">
        <v>8.78922638854946</v>
      </c>
      <c r="G1710" s="20" t="n">
        <f aca="false">9-F1710</f>
        <v>0.210773611450541</v>
      </c>
      <c r="H1710" s="20" t="n">
        <f aca="false">IF(G1710&gt;=1,G1710,0)</f>
        <v>0</v>
      </c>
      <c r="I1710" s="5" t="s">
        <v>74</v>
      </c>
      <c r="J1710" s="5" t="s">
        <v>2291</v>
      </c>
    </row>
    <row r="1711" customFormat="false" ht="15" hidden="false" customHeight="false" outlineLevel="0" collapsed="false">
      <c r="A1711" s="5" t="s">
        <v>229</v>
      </c>
      <c r="B1711" s="5" t="s">
        <v>169</v>
      </c>
      <c r="C1711" s="5" t="n">
        <v>115</v>
      </c>
      <c r="D1711" s="5" t="s">
        <v>611</v>
      </c>
      <c r="E1711" s="5" t="n">
        <v>6</v>
      </c>
      <c r="F1711" s="20" t="n">
        <v>8.78922638854946</v>
      </c>
      <c r="G1711" s="20" t="n">
        <f aca="false">9-F1711</f>
        <v>0.210773611450541</v>
      </c>
      <c r="H1711" s="20" t="n">
        <f aca="false">IF(G1711&gt;=1,G1711,0)</f>
        <v>0</v>
      </c>
      <c r="I1711" s="5" t="s">
        <v>74</v>
      </c>
      <c r="J1711" s="5" t="s">
        <v>2292</v>
      </c>
    </row>
    <row r="1712" customFormat="false" ht="15" hidden="false" customHeight="false" outlineLevel="0" collapsed="false">
      <c r="A1712" s="5" t="s">
        <v>229</v>
      </c>
      <c r="B1712" s="5" t="s">
        <v>169</v>
      </c>
      <c r="C1712" s="5" t="n">
        <v>116</v>
      </c>
      <c r="D1712" s="5" t="s">
        <v>2293</v>
      </c>
      <c r="E1712" s="5" t="n">
        <v>6</v>
      </c>
      <c r="F1712" s="20" t="n">
        <v>8.8435126259541</v>
      </c>
      <c r="G1712" s="20" t="n">
        <f aca="false">9-F1712</f>
        <v>0.156487374045897</v>
      </c>
      <c r="H1712" s="20" t="n">
        <f aca="false">IF(G1712&gt;=1,G1712,0)</f>
        <v>0</v>
      </c>
      <c r="I1712" s="5" t="s">
        <v>1073</v>
      </c>
      <c r="J1712" s="5" t="s">
        <v>2294</v>
      </c>
    </row>
    <row r="1713" customFormat="false" ht="15" hidden="false" customHeight="false" outlineLevel="0" collapsed="false">
      <c r="A1713" s="5" t="s">
        <v>229</v>
      </c>
      <c r="B1713" s="5" t="s">
        <v>169</v>
      </c>
      <c r="C1713" s="5" t="n">
        <v>117</v>
      </c>
      <c r="D1713" s="5" t="s">
        <v>1075</v>
      </c>
      <c r="E1713" s="5" t="n">
        <v>7</v>
      </c>
      <c r="F1713" s="20" t="n">
        <v>8.90475391374041</v>
      </c>
      <c r="G1713" s="20" t="n">
        <f aca="false">9-F1713</f>
        <v>0.0952460862595892</v>
      </c>
      <c r="H1713" s="20" t="n">
        <f aca="false">IF(G1713&gt;=1,G1713,0)</f>
        <v>0</v>
      </c>
      <c r="I1713" s="5" t="s">
        <v>1076</v>
      </c>
      <c r="J1713" s="5" t="s">
        <v>2295</v>
      </c>
    </row>
    <row r="1714" customFormat="false" ht="15" hidden="false" customHeight="false" outlineLevel="0" collapsed="false">
      <c r="A1714" s="5" t="s">
        <v>229</v>
      </c>
      <c r="B1714" s="5" t="s">
        <v>169</v>
      </c>
      <c r="C1714" s="5" t="n">
        <v>118</v>
      </c>
      <c r="D1714" s="5" t="s">
        <v>1075</v>
      </c>
      <c r="E1714" s="5" t="n">
        <v>7</v>
      </c>
      <c r="F1714" s="20" t="n">
        <v>8.90475391374041</v>
      </c>
      <c r="G1714" s="20" t="n">
        <f aca="false">9-F1714</f>
        <v>0.0952460862595892</v>
      </c>
      <c r="H1714" s="20" t="n">
        <f aca="false">IF(G1714&gt;=1,G1714,0)</f>
        <v>0</v>
      </c>
      <c r="I1714" s="5" t="s">
        <v>1076</v>
      </c>
      <c r="J1714" s="5" t="s">
        <v>2296</v>
      </c>
    </row>
    <row r="1715" customFormat="false" ht="15" hidden="false" customHeight="false" outlineLevel="0" collapsed="false">
      <c r="A1715" s="5" t="s">
        <v>229</v>
      </c>
      <c r="B1715" s="5" t="s">
        <v>169</v>
      </c>
      <c r="C1715" s="5" t="n">
        <v>119</v>
      </c>
      <c r="D1715" s="5" t="s">
        <v>1075</v>
      </c>
      <c r="E1715" s="5" t="n">
        <v>7</v>
      </c>
      <c r="F1715" s="20" t="n">
        <v>8.9047539137404</v>
      </c>
      <c r="G1715" s="20" t="n">
        <f aca="false">9-F1715</f>
        <v>0.0952460862595963</v>
      </c>
      <c r="H1715" s="20" t="n">
        <f aca="false">IF(G1715&gt;=1,G1715,0)</f>
        <v>0</v>
      </c>
      <c r="I1715" s="5" t="s">
        <v>1076</v>
      </c>
      <c r="J1715" s="5" t="s">
        <v>2297</v>
      </c>
    </row>
    <row r="1716" customFormat="false" ht="15" hidden="false" customHeight="false" outlineLevel="0" collapsed="false">
      <c r="A1716" s="5" t="s">
        <v>229</v>
      </c>
      <c r="B1716" s="5" t="s">
        <v>169</v>
      </c>
      <c r="C1716" s="5" t="n">
        <v>120</v>
      </c>
      <c r="D1716" s="5" t="s">
        <v>1075</v>
      </c>
      <c r="E1716" s="5" t="n">
        <v>7</v>
      </c>
      <c r="F1716" s="20" t="n">
        <v>8.9047539137404</v>
      </c>
      <c r="G1716" s="20" t="n">
        <f aca="false">9-F1716</f>
        <v>0.0952460862596034</v>
      </c>
      <c r="H1716" s="20" t="n">
        <f aca="false">IF(G1716&gt;=1,G1716,0)</f>
        <v>0</v>
      </c>
      <c r="I1716" s="5" t="s">
        <v>1076</v>
      </c>
      <c r="J1716" s="5" t="s">
        <v>2298</v>
      </c>
    </row>
    <row r="1717" customFormat="false" ht="15" hidden="false" customHeight="false" outlineLevel="0" collapsed="false">
      <c r="A1717" s="5" t="s">
        <v>229</v>
      </c>
      <c r="B1717" s="5" t="s">
        <v>169</v>
      </c>
      <c r="C1717" s="5" t="n">
        <v>121</v>
      </c>
      <c r="D1717" s="5" t="s">
        <v>1075</v>
      </c>
      <c r="E1717" s="5" t="n">
        <v>7</v>
      </c>
      <c r="F1717" s="20" t="n">
        <v>8.90475391374039</v>
      </c>
      <c r="G1717" s="20" t="n">
        <f aca="false">9-F1717</f>
        <v>0.0952460862596105</v>
      </c>
      <c r="H1717" s="20" t="n">
        <f aca="false">IF(G1717&gt;=1,G1717,0)</f>
        <v>0</v>
      </c>
      <c r="I1717" s="5" t="s">
        <v>1076</v>
      </c>
      <c r="J1717" s="5" t="s">
        <v>2299</v>
      </c>
    </row>
    <row r="1718" customFormat="false" ht="15" hidden="false" customHeight="false" outlineLevel="0" collapsed="false">
      <c r="A1718" s="5" t="s">
        <v>229</v>
      </c>
      <c r="B1718" s="5" t="s">
        <v>169</v>
      </c>
      <c r="C1718" s="5" t="n">
        <v>122</v>
      </c>
      <c r="D1718" s="5" t="s">
        <v>1075</v>
      </c>
      <c r="E1718" s="5" t="n">
        <v>7</v>
      </c>
      <c r="F1718" s="20" t="n">
        <v>8.90475391374038</v>
      </c>
      <c r="G1718" s="20" t="n">
        <f aca="false">9-F1718</f>
        <v>0.0952460862596194</v>
      </c>
      <c r="H1718" s="20" t="n">
        <f aca="false">IF(G1718&gt;=1,G1718,0)</f>
        <v>0</v>
      </c>
      <c r="I1718" s="5" t="s">
        <v>1076</v>
      </c>
      <c r="J1718" s="5" t="s">
        <v>2300</v>
      </c>
    </row>
    <row r="1719" customFormat="false" ht="15" hidden="false" customHeight="false" outlineLevel="0" collapsed="false">
      <c r="A1719" s="5" t="s">
        <v>229</v>
      </c>
      <c r="B1719" s="5" t="s">
        <v>169</v>
      </c>
      <c r="C1719" s="5" t="n">
        <v>123</v>
      </c>
      <c r="D1719" s="5" t="s">
        <v>1075</v>
      </c>
      <c r="E1719" s="5" t="n">
        <v>7</v>
      </c>
      <c r="F1719" s="20" t="n">
        <v>8.90475391374038</v>
      </c>
      <c r="G1719" s="20" t="n">
        <f aca="false">9-F1719</f>
        <v>0.0952460862596194</v>
      </c>
      <c r="H1719" s="20" t="n">
        <f aca="false">IF(G1719&gt;=1,G1719,0)</f>
        <v>0</v>
      </c>
      <c r="I1719" s="5" t="s">
        <v>1076</v>
      </c>
      <c r="J1719" s="5" t="s">
        <v>2301</v>
      </c>
    </row>
    <row r="1720" customFormat="false" ht="15" hidden="false" customHeight="false" outlineLevel="0" collapsed="false">
      <c r="A1720" s="5" t="s">
        <v>229</v>
      </c>
      <c r="B1720" s="5" t="s">
        <v>169</v>
      </c>
      <c r="C1720" s="5" t="n">
        <v>124</v>
      </c>
      <c r="D1720" s="5" t="s">
        <v>1075</v>
      </c>
      <c r="E1720" s="5" t="n">
        <v>7</v>
      </c>
      <c r="F1720" s="20" t="n">
        <v>8.90475391374038</v>
      </c>
      <c r="G1720" s="20" t="n">
        <f aca="false">9-F1720</f>
        <v>0.0952460862596194</v>
      </c>
      <c r="H1720" s="20" t="n">
        <f aca="false">IF(G1720&gt;=1,G1720,0)</f>
        <v>0</v>
      </c>
      <c r="I1720" s="5" t="s">
        <v>1076</v>
      </c>
      <c r="J1720" s="5" t="s">
        <v>2302</v>
      </c>
    </row>
    <row r="1721" customFormat="false" ht="15" hidden="false" customHeight="false" outlineLevel="0" collapsed="false">
      <c r="A1721" s="5" t="s">
        <v>229</v>
      </c>
      <c r="B1721" s="5" t="s">
        <v>169</v>
      </c>
      <c r="C1721" s="5" t="n">
        <v>125</v>
      </c>
      <c r="D1721" s="5" t="s">
        <v>1075</v>
      </c>
      <c r="E1721" s="5" t="n">
        <v>7</v>
      </c>
      <c r="F1721" s="20" t="n">
        <v>8.90475391374038</v>
      </c>
      <c r="G1721" s="20" t="n">
        <f aca="false">9-F1721</f>
        <v>0.0952460862596194</v>
      </c>
      <c r="H1721" s="20" t="n">
        <f aca="false">IF(G1721&gt;=1,G1721,0)</f>
        <v>0</v>
      </c>
      <c r="I1721" s="5" t="s">
        <v>1076</v>
      </c>
      <c r="J1721" s="5" t="s">
        <v>2303</v>
      </c>
    </row>
    <row r="1722" customFormat="false" ht="15" hidden="false" customHeight="false" outlineLevel="0" collapsed="false">
      <c r="A1722" s="5" t="s">
        <v>229</v>
      </c>
      <c r="B1722" s="5" t="s">
        <v>169</v>
      </c>
      <c r="C1722" s="5" t="n">
        <v>126</v>
      </c>
      <c r="D1722" s="5" t="s">
        <v>1075</v>
      </c>
      <c r="E1722" s="5" t="n">
        <v>7</v>
      </c>
      <c r="F1722" s="20" t="n">
        <v>8.90475391374038</v>
      </c>
      <c r="G1722" s="20" t="n">
        <f aca="false">9-F1722</f>
        <v>0.0952460862596194</v>
      </c>
      <c r="H1722" s="20" t="n">
        <f aca="false">IF(G1722&gt;=1,G1722,0)</f>
        <v>0</v>
      </c>
      <c r="I1722" s="5" t="s">
        <v>1076</v>
      </c>
      <c r="J1722" s="5" t="s">
        <v>2304</v>
      </c>
    </row>
    <row r="1723" customFormat="false" ht="15" hidden="false" customHeight="false" outlineLevel="0" collapsed="false">
      <c r="A1723" s="5" t="s">
        <v>229</v>
      </c>
      <c r="B1723" s="5" t="s">
        <v>169</v>
      </c>
      <c r="C1723" s="5" t="n">
        <v>127</v>
      </c>
      <c r="D1723" s="5" t="s">
        <v>1075</v>
      </c>
      <c r="E1723" s="5" t="n">
        <v>7</v>
      </c>
      <c r="F1723" s="20" t="n">
        <v>8.90475391374038</v>
      </c>
      <c r="G1723" s="20" t="n">
        <f aca="false">9-F1723</f>
        <v>0.0952460862596194</v>
      </c>
      <c r="H1723" s="20" t="n">
        <f aca="false">IF(G1723&gt;=1,G1723,0)</f>
        <v>0</v>
      </c>
      <c r="I1723" s="5" t="s">
        <v>1076</v>
      </c>
      <c r="J1723" s="5" t="s">
        <v>2305</v>
      </c>
    </row>
    <row r="1724" customFormat="false" ht="15" hidden="false" customHeight="false" outlineLevel="0" collapsed="false">
      <c r="A1724" s="5" t="s">
        <v>229</v>
      </c>
      <c r="B1724" s="5" t="s">
        <v>169</v>
      </c>
      <c r="C1724" s="5" t="n">
        <v>128</v>
      </c>
      <c r="D1724" s="5" t="s">
        <v>1075</v>
      </c>
      <c r="E1724" s="5" t="n">
        <v>7</v>
      </c>
      <c r="F1724" s="20" t="n">
        <v>8.90475391374038</v>
      </c>
      <c r="G1724" s="20" t="n">
        <f aca="false">9-F1724</f>
        <v>0.0952460862596194</v>
      </c>
      <c r="H1724" s="20" t="n">
        <f aca="false">IF(G1724&gt;=1,G1724,0)</f>
        <v>0</v>
      </c>
      <c r="I1724" s="5" t="s">
        <v>1076</v>
      </c>
      <c r="J1724" s="5" t="s">
        <v>2306</v>
      </c>
    </row>
    <row r="1725" customFormat="false" ht="15" hidden="false" customHeight="false" outlineLevel="0" collapsed="false">
      <c r="A1725" s="5" t="s">
        <v>229</v>
      </c>
      <c r="B1725" s="5" t="s">
        <v>169</v>
      </c>
      <c r="C1725" s="5" t="n">
        <v>129</v>
      </c>
      <c r="D1725" s="5" t="s">
        <v>1075</v>
      </c>
      <c r="E1725" s="5" t="n">
        <v>7</v>
      </c>
      <c r="F1725" s="20" t="n">
        <v>8.90475391374038</v>
      </c>
      <c r="G1725" s="20" t="n">
        <f aca="false">9-F1725</f>
        <v>0.0952460862596194</v>
      </c>
      <c r="H1725" s="20" t="n">
        <f aca="false">IF(G1725&gt;=1,G1725,0)</f>
        <v>0</v>
      </c>
      <c r="I1725" s="5" t="s">
        <v>1076</v>
      </c>
      <c r="J1725" s="5" t="s">
        <v>2307</v>
      </c>
    </row>
    <row r="1726" customFormat="false" ht="15" hidden="false" customHeight="false" outlineLevel="0" collapsed="false">
      <c r="A1726" s="5" t="s">
        <v>229</v>
      </c>
      <c r="B1726" s="5" t="s">
        <v>169</v>
      </c>
      <c r="C1726" s="5" t="n">
        <v>130</v>
      </c>
      <c r="D1726" s="5" t="s">
        <v>1075</v>
      </c>
      <c r="E1726" s="5" t="n">
        <v>7</v>
      </c>
      <c r="F1726" s="20" t="n">
        <v>8.90475391374038</v>
      </c>
      <c r="G1726" s="20" t="n">
        <f aca="false">9-F1726</f>
        <v>0.0952460862596194</v>
      </c>
      <c r="H1726" s="20" t="n">
        <f aca="false">IF(G1726&gt;=1,G1726,0)</f>
        <v>0</v>
      </c>
      <c r="I1726" s="5" t="s">
        <v>1076</v>
      </c>
      <c r="J1726" s="5" t="s">
        <v>2308</v>
      </c>
    </row>
    <row r="1727" customFormat="false" ht="15" hidden="false" customHeight="false" outlineLevel="0" collapsed="false">
      <c r="A1727" s="5" t="s">
        <v>229</v>
      </c>
      <c r="B1727" s="5" t="s">
        <v>169</v>
      </c>
      <c r="C1727" s="5" t="n">
        <v>131</v>
      </c>
      <c r="D1727" s="5" t="s">
        <v>1075</v>
      </c>
      <c r="E1727" s="5" t="n">
        <v>7</v>
      </c>
      <c r="F1727" s="20" t="n">
        <v>8.90475391374038</v>
      </c>
      <c r="G1727" s="20" t="n">
        <f aca="false">9-F1727</f>
        <v>0.0952460862596194</v>
      </c>
      <c r="H1727" s="20" t="n">
        <f aca="false">IF(G1727&gt;=1,G1727,0)</f>
        <v>0</v>
      </c>
      <c r="I1727" s="5" t="s">
        <v>1076</v>
      </c>
      <c r="J1727" s="5" t="s">
        <v>2309</v>
      </c>
    </row>
    <row r="1728" customFormat="false" ht="15" hidden="false" customHeight="false" outlineLevel="0" collapsed="false">
      <c r="A1728" s="5" t="s">
        <v>229</v>
      </c>
      <c r="B1728" s="5" t="s">
        <v>169</v>
      </c>
      <c r="C1728" s="5" t="n">
        <v>132</v>
      </c>
      <c r="D1728" s="5" t="s">
        <v>1075</v>
      </c>
      <c r="E1728" s="5" t="n">
        <v>7</v>
      </c>
      <c r="F1728" s="20" t="n">
        <v>8.90475391374038</v>
      </c>
      <c r="G1728" s="20" t="n">
        <f aca="false">9-F1728</f>
        <v>0.0952460862596194</v>
      </c>
      <c r="H1728" s="20" t="n">
        <f aca="false">IF(G1728&gt;=1,G1728,0)</f>
        <v>0</v>
      </c>
      <c r="I1728" s="5" t="s">
        <v>1076</v>
      </c>
      <c r="J1728" s="5" t="s">
        <v>2310</v>
      </c>
    </row>
    <row r="1729" customFormat="false" ht="15" hidden="false" customHeight="false" outlineLevel="0" collapsed="false">
      <c r="A1729" s="5" t="s">
        <v>229</v>
      </c>
      <c r="B1729" s="5" t="s">
        <v>169</v>
      </c>
      <c r="C1729" s="5" t="n">
        <v>133</v>
      </c>
      <c r="D1729" s="5" t="s">
        <v>1075</v>
      </c>
      <c r="E1729" s="5" t="n">
        <v>7</v>
      </c>
      <c r="F1729" s="20" t="n">
        <v>8.90475391374038</v>
      </c>
      <c r="G1729" s="20" t="n">
        <f aca="false">9-F1729</f>
        <v>0.0952460862596212</v>
      </c>
      <c r="H1729" s="20" t="n">
        <f aca="false">IF(G1729&gt;=1,G1729,0)</f>
        <v>0</v>
      </c>
      <c r="I1729" s="5" t="s">
        <v>1076</v>
      </c>
      <c r="J1729" s="5" t="s">
        <v>2311</v>
      </c>
    </row>
    <row r="1730" customFormat="false" ht="15" hidden="false" customHeight="false" outlineLevel="0" collapsed="false">
      <c r="A1730" s="5" t="s">
        <v>229</v>
      </c>
      <c r="B1730" s="5" t="s">
        <v>169</v>
      </c>
      <c r="C1730" s="5" t="n">
        <v>134</v>
      </c>
      <c r="D1730" s="5" t="s">
        <v>1075</v>
      </c>
      <c r="E1730" s="5" t="n">
        <v>7</v>
      </c>
      <c r="F1730" s="20" t="n">
        <v>8.90475391374038</v>
      </c>
      <c r="G1730" s="20" t="n">
        <f aca="false">9-F1730</f>
        <v>0.0952460862596247</v>
      </c>
      <c r="H1730" s="20" t="n">
        <f aca="false">IF(G1730&gt;=1,G1730,0)</f>
        <v>0</v>
      </c>
      <c r="I1730" s="5" t="s">
        <v>1076</v>
      </c>
      <c r="J1730" s="5" t="s">
        <v>2312</v>
      </c>
    </row>
    <row r="1731" customFormat="false" ht="15" hidden="false" customHeight="false" outlineLevel="0" collapsed="false">
      <c r="A1731" s="5" t="s">
        <v>229</v>
      </c>
      <c r="B1731" s="5" t="s">
        <v>169</v>
      </c>
      <c r="C1731" s="5" t="n">
        <v>135</v>
      </c>
      <c r="D1731" s="5" t="s">
        <v>1075</v>
      </c>
      <c r="E1731" s="5" t="n">
        <v>7</v>
      </c>
      <c r="F1731" s="20" t="n">
        <v>8.90475391374038</v>
      </c>
      <c r="G1731" s="20" t="n">
        <f aca="false">9-F1731</f>
        <v>0.0952460862596247</v>
      </c>
      <c r="H1731" s="20" t="n">
        <f aca="false">IF(G1731&gt;=1,G1731,0)</f>
        <v>0</v>
      </c>
      <c r="I1731" s="5" t="s">
        <v>1076</v>
      </c>
      <c r="J1731" s="5" t="s">
        <v>2313</v>
      </c>
    </row>
    <row r="1732" customFormat="false" ht="15" hidden="false" customHeight="false" outlineLevel="0" collapsed="false">
      <c r="A1732" s="5" t="s">
        <v>229</v>
      </c>
      <c r="B1732" s="5" t="s">
        <v>169</v>
      </c>
      <c r="C1732" s="5" t="n">
        <v>136</v>
      </c>
      <c r="D1732" s="5" t="s">
        <v>1075</v>
      </c>
      <c r="E1732" s="5" t="n">
        <v>7</v>
      </c>
      <c r="F1732" s="20" t="n">
        <v>8.90475391374038</v>
      </c>
      <c r="G1732" s="20" t="n">
        <f aca="false">9-F1732</f>
        <v>0.0952460862596247</v>
      </c>
      <c r="H1732" s="20" t="n">
        <f aca="false">IF(G1732&gt;=1,G1732,0)</f>
        <v>0</v>
      </c>
      <c r="I1732" s="5" t="s">
        <v>1076</v>
      </c>
      <c r="J1732" s="5" t="s">
        <v>2314</v>
      </c>
    </row>
    <row r="1733" customFormat="false" ht="15" hidden="false" customHeight="false" outlineLevel="0" collapsed="false">
      <c r="A1733" s="5" t="s">
        <v>229</v>
      </c>
      <c r="B1733" s="5" t="s">
        <v>169</v>
      </c>
      <c r="C1733" s="5" t="n">
        <v>137</v>
      </c>
      <c r="D1733" s="5" t="s">
        <v>1075</v>
      </c>
      <c r="E1733" s="5" t="n">
        <v>7</v>
      </c>
      <c r="F1733" s="20" t="n">
        <v>8.90475391374038</v>
      </c>
      <c r="G1733" s="20" t="n">
        <f aca="false">9-F1733</f>
        <v>0.0952460862596247</v>
      </c>
      <c r="H1733" s="20" t="n">
        <f aca="false">IF(G1733&gt;=1,G1733,0)</f>
        <v>0</v>
      </c>
      <c r="I1733" s="5" t="s">
        <v>1076</v>
      </c>
      <c r="J1733" s="5" t="s">
        <v>2315</v>
      </c>
    </row>
    <row r="1734" customFormat="false" ht="15" hidden="false" customHeight="false" outlineLevel="0" collapsed="false">
      <c r="A1734" s="5" t="s">
        <v>229</v>
      </c>
      <c r="B1734" s="5" t="s">
        <v>169</v>
      </c>
      <c r="C1734" s="5" t="n">
        <v>138</v>
      </c>
      <c r="D1734" s="5" t="s">
        <v>1075</v>
      </c>
      <c r="E1734" s="5" t="n">
        <v>7</v>
      </c>
      <c r="F1734" s="20" t="n">
        <v>8.90475391374038</v>
      </c>
      <c r="G1734" s="20" t="n">
        <f aca="false">9-F1734</f>
        <v>0.0952460862596247</v>
      </c>
      <c r="H1734" s="20" t="n">
        <f aca="false">IF(G1734&gt;=1,G1734,0)</f>
        <v>0</v>
      </c>
      <c r="I1734" s="5" t="s">
        <v>1076</v>
      </c>
      <c r="J1734" s="5" t="s">
        <v>2316</v>
      </c>
    </row>
    <row r="1735" customFormat="false" ht="15" hidden="false" customHeight="false" outlineLevel="0" collapsed="false">
      <c r="A1735" s="5" t="s">
        <v>229</v>
      </c>
      <c r="B1735" s="5" t="s">
        <v>169</v>
      </c>
      <c r="C1735" s="5" t="n">
        <v>139</v>
      </c>
      <c r="D1735" s="5" t="s">
        <v>1075</v>
      </c>
      <c r="E1735" s="5" t="n">
        <v>7</v>
      </c>
      <c r="F1735" s="20" t="n">
        <v>8.90475391374037</v>
      </c>
      <c r="G1735" s="20" t="n">
        <f aca="false">9-F1735</f>
        <v>0.0952460862596265</v>
      </c>
      <c r="H1735" s="20" t="n">
        <f aca="false">IF(G1735&gt;=1,G1735,0)</f>
        <v>0</v>
      </c>
      <c r="I1735" s="5" t="s">
        <v>1076</v>
      </c>
      <c r="J1735" s="5" t="s">
        <v>2317</v>
      </c>
    </row>
    <row r="1736" customFormat="false" ht="15" hidden="false" customHeight="false" outlineLevel="0" collapsed="false">
      <c r="A1736" s="5" t="s">
        <v>229</v>
      </c>
      <c r="B1736" s="5" t="s">
        <v>169</v>
      </c>
      <c r="C1736" s="5" t="n">
        <v>140</v>
      </c>
      <c r="D1736" s="5" t="s">
        <v>1075</v>
      </c>
      <c r="E1736" s="5" t="n">
        <v>7</v>
      </c>
      <c r="F1736" s="20" t="n">
        <v>8.90475391374037</v>
      </c>
      <c r="G1736" s="20" t="n">
        <f aca="false">9-F1736</f>
        <v>0.0952460862596265</v>
      </c>
      <c r="H1736" s="20" t="n">
        <f aca="false">IF(G1736&gt;=1,G1736,0)</f>
        <v>0</v>
      </c>
      <c r="I1736" s="5" t="s">
        <v>1076</v>
      </c>
      <c r="J1736" s="5" t="s">
        <v>2318</v>
      </c>
    </row>
    <row r="1737" customFormat="false" ht="15" hidden="false" customHeight="false" outlineLevel="0" collapsed="false">
      <c r="A1737" s="5" t="s">
        <v>229</v>
      </c>
      <c r="B1737" s="5" t="s">
        <v>169</v>
      </c>
      <c r="C1737" s="5" t="n">
        <v>141</v>
      </c>
      <c r="D1737" s="5" t="s">
        <v>1075</v>
      </c>
      <c r="E1737" s="5" t="n">
        <v>7</v>
      </c>
      <c r="F1737" s="20" t="n">
        <v>8.90475391374037</v>
      </c>
      <c r="G1737" s="20" t="n">
        <f aca="false">9-F1737</f>
        <v>0.0952460862596265</v>
      </c>
      <c r="H1737" s="20" t="n">
        <f aca="false">IF(G1737&gt;=1,G1737,0)</f>
        <v>0</v>
      </c>
      <c r="I1737" s="5" t="s">
        <v>1076</v>
      </c>
      <c r="J1737" s="5" t="s">
        <v>2319</v>
      </c>
    </row>
    <row r="1738" customFormat="false" ht="15" hidden="false" customHeight="false" outlineLevel="0" collapsed="false">
      <c r="A1738" s="5" t="s">
        <v>229</v>
      </c>
      <c r="B1738" s="5" t="s">
        <v>169</v>
      </c>
      <c r="C1738" s="5" t="n">
        <v>142</v>
      </c>
      <c r="D1738" s="5" t="s">
        <v>1075</v>
      </c>
      <c r="E1738" s="5" t="n">
        <v>7</v>
      </c>
      <c r="F1738" s="20" t="n">
        <v>8.90475391374037</v>
      </c>
      <c r="G1738" s="20" t="n">
        <f aca="false">9-F1738</f>
        <v>0.0952460862596265</v>
      </c>
      <c r="H1738" s="20" t="n">
        <f aca="false">IF(G1738&gt;=1,G1738,0)</f>
        <v>0</v>
      </c>
      <c r="I1738" s="5" t="s">
        <v>1076</v>
      </c>
      <c r="J1738" s="5" t="s">
        <v>2320</v>
      </c>
    </row>
    <row r="1739" customFormat="false" ht="15" hidden="false" customHeight="false" outlineLevel="0" collapsed="false">
      <c r="A1739" s="5" t="s">
        <v>229</v>
      </c>
      <c r="B1739" s="5" t="s">
        <v>169</v>
      </c>
      <c r="C1739" s="5" t="n">
        <v>143</v>
      </c>
      <c r="D1739" s="5" t="s">
        <v>1075</v>
      </c>
      <c r="E1739" s="5" t="n">
        <v>7</v>
      </c>
      <c r="F1739" s="20" t="n">
        <v>8.90475391374037</v>
      </c>
      <c r="G1739" s="20" t="n">
        <f aca="false">9-F1739</f>
        <v>0.0952460862596265</v>
      </c>
      <c r="H1739" s="20" t="n">
        <f aca="false">IF(G1739&gt;=1,G1739,0)</f>
        <v>0</v>
      </c>
      <c r="I1739" s="5" t="s">
        <v>1076</v>
      </c>
      <c r="J1739" s="5" t="s">
        <v>2321</v>
      </c>
    </row>
    <row r="1740" customFormat="false" ht="15" hidden="false" customHeight="false" outlineLevel="0" collapsed="false">
      <c r="A1740" s="5" t="s">
        <v>229</v>
      </c>
      <c r="B1740" s="5" t="s">
        <v>169</v>
      </c>
      <c r="C1740" s="5" t="n">
        <v>144</v>
      </c>
      <c r="D1740" s="5" t="s">
        <v>1075</v>
      </c>
      <c r="E1740" s="5" t="n">
        <v>7</v>
      </c>
      <c r="F1740" s="20" t="n">
        <v>8.90475391374037</v>
      </c>
      <c r="G1740" s="20" t="n">
        <f aca="false">9-F1740</f>
        <v>0.0952460862596265</v>
      </c>
      <c r="H1740" s="20" t="n">
        <f aca="false">IF(G1740&gt;=1,G1740,0)</f>
        <v>0</v>
      </c>
      <c r="I1740" s="5" t="s">
        <v>1076</v>
      </c>
      <c r="J1740" s="5" t="s">
        <v>2322</v>
      </c>
    </row>
    <row r="1741" customFormat="false" ht="15" hidden="false" customHeight="false" outlineLevel="0" collapsed="false">
      <c r="A1741" s="5" t="s">
        <v>229</v>
      </c>
      <c r="B1741" s="5" t="s">
        <v>169</v>
      </c>
      <c r="C1741" s="5" t="n">
        <v>145</v>
      </c>
      <c r="D1741" s="5" t="s">
        <v>1075</v>
      </c>
      <c r="E1741" s="5" t="n">
        <v>7</v>
      </c>
      <c r="F1741" s="20" t="n">
        <v>8.90475391374037</v>
      </c>
      <c r="G1741" s="20" t="n">
        <f aca="false">9-F1741</f>
        <v>0.0952460862596283</v>
      </c>
      <c r="H1741" s="20" t="n">
        <f aca="false">IF(G1741&gt;=1,G1741,0)</f>
        <v>0</v>
      </c>
      <c r="I1741" s="5" t="s">
        <v>1076</v>
      </c>
      <c r="J1741" s="5" t="s">
        <v>2323</v>
      </c>
    </row>
    <row r="1742" customFormat="false" ht="15" hidden="false" customHeight="false" outlineLevel="0" collapsed="false">
      <c r="A1742" s="5" t="s">
        <v>229</v>
      </c>
      <c r="B1742" s="5" t="s">
        <v>169</v>
      </c>
      <c r="C1742" s="5" t="n">
        <v>146</v>
      </c>
      <c r="D1742" s="5" t="s">
        <v>1075</v>
      </c>
      <c r="E1742" s="5" t="n">
        <v>7</v>
      </c>
      <c r="F1742" s="20" t="n">
        <v>8.90475391374037</v>
      </c>
      <c r="G1742" s="20" t="n">
        <f aca="false">9-F1742</f>
        <v>0.0952460862596301</v>
      </c>
      <c r="H1742" s="20" t="n">
        <f aca="false">IF(G1742&gt;=1,G1742,0)</f>
        <v>0</v>
      </c>
      <c r="I1742" s="5" t="s">
        <v>1076</v>
      </c>
      <c r="J1742" s="5" t="s">
        <v>2324</v>
      </c>
    </row>
    <row r="1743" customFormat="false" ht="15" hidden="false" customHeight="false" outlineLevel="0" collapsed="false">
      <c r="A1743" s="5" t="s">
        <v>229</v>
      </c>
      <c r="B1743" s="5" t="s">
        <v>169</v>
      </c>
      <c r="C1743" s="5" t="n">
        <v>147</v>
      </c>
      <c r="D1743" s="5" t="s">
        <v>1075</v>
      </c>
      <c r="E1743" s="5" t="n">
        <v>7</v>
      </c>
      <c r="F1743" s="20" t="n">
        <v>8.90475391374037</v>
      </c>
      <c r="G1743" s="20" t="n">
        <f aca="false">9-F1743</f>
        <v>0.0952460862596318</v>
      </c>
      <c r="H1743" s="20" t="n">
        <f aca="false">IF(G1743&gt;=1,G1743,0)</f>
        <v>0</v>
      </c>
      <c r="I1743" s="5" t="s">
        <v>1076</v>
      </c>
      <c r="J1743" s="5" t="s">
        <v>2325</v>
      </c>
    </row>
    <row r="1744" customFormat="false" ht="15" hidden="false" customHeight="false" outlineLevel="0" collapsed="false">
      <c r="A1744" s="5" t="s">
        <v>229</v>
      </c>
      <c r="B1744" s="5" t="s">
        <v>169</v>
      </c>
      <c r="C1744" s="5" t="n">
        <v>148</v>
      </c>
      <c r="D1744" s="5" t="s">
        <v>1075</v>
      </c>
      <c r="E1744" s="5" t="n">
        <v>7</v>
      </c>
      <c r="F1744" s="20" t="n">
        <v>8.90475391374037</v>
      </c>
      <c r="G1744" s="20" t="n">
        <f aca="false">9-F1744</f>
        <v>0.0952460862596318</v>
      </c>
      <c r="H1744" s="20" t="n">
        <f aca="false">IF(G1744&gt;=1,G1744,0)</f>
        <v>0</v>
      </c>
      <c r="I1744" s="5" t="s">
        <v>1076</v>
      </c>
      <c r="J1744" s="5" t="s">
        <v>2326</v>
      </c>
    </row>
    <row r="1745" customFormat="false" ht="15" hidden="false" customHeight="false" outlineLevel="0" collapsed="false">
      <c r="A1745" s="5" t="s">
        <v>229</v>
      </c>
      <c r="B1745" s="5" t="s">
        <v>169</v>
      </c>
      <c r="C1745" s="5" t="n">
        <v>149</v>
      </c>
      <c r="D1745" s="5" t="s">
        <v>1075</v>
      </c>
      <c r="E1745" s="5" t="n">
        <v>7</v>
      </c>
      <c r="F1745" s="20" t="n">
        <v>8.90475391374037</v>
      </c>
      <c r="G1745" s="20" t="n">
        <f aca="false">9-F1745</f>
        <v>0.0952460862596318</v>
      </c>
      <c r="H1745" s="20" t="n">
        <f aca="false">IF(G1745&gt;=1,G1745,0)</f>
        <v>0</v>
      </c>
      <c r="I1745" s="5" t="s">
        <v>1076</v>
      </c>
      <c r="J1745" s="5" t="s">
        <v>2327</v>
      </c>
    </row>
    <row r="1746" customFormat="false" ht="15" hidden="false" customHeight="false" outlineLevel="0" collapsed="false">
      <c r="A1746" s="5" t="s">
        <v>229</v>
      </c>
      <c r="B1746" s="5" t="s">
        <v>169</v>
      </c>
      <c r="C1746" s="5" t="n">
        <v>150</v>
      </c>
      <c r="D1746" s="5" t="s">
        <v>1075</v>
      </c>
      <c r="E1746" s="5" t="n">
        <v>7</v>
      </c>
      <c r="F1746" s="20" t="n">
        <v>8.90475391374037</v>
      </c>
      <c r="G1746" s="20" t="n">
        <f aca="false">9-F1746</f>
        <v>0.0952460862596318</v>
      </c>
      <c r="H1746" s="20" t="n">
        <f aca="false">IF(G1746&gt;=1,G1746,0)</f>
        <v>0</v>
      </c>
      <c r="I1746" s="5" t="s">
        <v>1076</v>
      </c>
      <c r="J1746" s="5" t="s">
        <v>2328</v>
      </c>
    </row>
    <row r="1747" customFormat="false" ht="15" hidden="false" customHeight="false" outlineLevel="0" collapsed="false">
      <c r="A1747" s="5" t="s">
        <v>229</v>
      </c>
      <c r="B1747" s="5" t="s">
        <v>169</v>
      </c>
      <c r="C1747" s="5" t="n">
        <v>151</v>
      </c>
      <c r="D1747" s="5" t="s">
        <v>1075</v>
      </c>
      <c r="E1747" s="5" t="n">
        <v>7</v>
      </c>
      <c r="F1747" s="20" t="n">
        <v>8.90475391374037</v>
      </c>
      <c r="G1747" s="20" t="n">
        <f aca="false">9-F1747</f>
        <v>0.0952460862596318</v>
      </c>
      <c r="H1747" s="20" t="n">
        <f aca="false">IF(G1747&gt;=1,G1747,0)</f>
        <v>0</v>
      </c>
      <c r="I1747" s="5" t="s">
        <v>1076</v>
      </c>
      <c r="J1747" s="5" t="s">
        <v>2329</v>
      </c>
    </row>
    <row r="1748" customFormat="false" ht="15" hidden="false" customHeight="false" outlineLevel="0" collapsed="false">
      <c r="A1748" s="5" t="s">
        <v>229</v>
      </c>
      <c r="B1748" s="5" t="s">
        <v>169</v>
      </c>
      <c r="C1748" s="5" t="n">
        <v>152</v>
      </c>
      <c r="D1748" s="5" t="s">
        <v>1075</v>
      </c>
      <c r="E1748" s="5" t="n">
        <v>7</v>
      </c>
      <c r="F1748" s="20" t="n">
        <v>8.90475391374037</v>
      </c>
      <c r="G1748" s="20" t="n">
        <f aca="false">9-F1748</f>
        <v>0.0952460862596318</v>
      </c>
      <c r="H1748" s="20" t="n">
        <f aca="false">IF(G1748&gt;=1,G1748,0)</f>
        <v>0</v>
      </c>
      <c r="I1748" s="5" t="s">
        <v>1076</v>
      </c>
      <c r="J1748" s="5" t="s">
        <v>2330</v>
      </c>
    </row>
    <row r="1749" customFormat="false" ht="15" hidden="false" customHeight="false" outlineLevel="0" collapsed="false">
      <c r="A1749" s="5" t="s">
        <v>229</v>
      </c>
      <c r="B1749" s="5" t="s">
        <v>169</v>
      </c>
      <c r="C1749" s="5" t="n">
        <v>153</v>
      </c>
      <c r="D1749" s="5" t="s">
        <v>1075</v>
      </c>
      <c r="E1749" s="5" t="n">
        <v>7</v>
      </c>
      <c r="F1749" s="20" t="n">
        <v>8.90475391374037</v>
      </c>
      <c r="G1749" s="20" t="n">
        <f aca="false">9-F1749</f>
        <v>0.0952460862596318</v>
      </c>
      <c r="H1749" s="20" t="n">
        <f aca="false">IF(G1749&gt;=1,G1749,0)</f>
        <v>0</v>
      </c>
      <c r="I1749" s="5" t="s">
        <v>1076</v>
      </c>
      <c r="J1749" s="5" t="s">
        <v>2331</v>
      </c>
    </row>
    <row r="1750" customFormat="false" ht="15" hidden="false" customHeight="false" outlineLevel="0" collapsed="false">
      <c r="A1750" s="5" t="s">
        <v>229</v>
      </c>
      <c r="B1750" s="5" t="s">
        <v>169</v>
      </c>
      <c r="C1750" s="5" t="n">
        <v>154</v>
      </c>
      <c r="D1750" s="5" t="s">
        <v>1075</v>
      </c>
      <c r="E1750" s="5" t="n">
        <v>7</v>
      </c>
      <c r="F1750" s="20" t="n">
        <v>8.90475391374037</v>
      </c>
      <c r="G1750" s="20" t="n">
        <f aca="false">9-F1750</f>
        <v>0.0952460862596318</v>
      </c>
      <c r="H1750" s="20" t="n">
        <f aca="false">IF(G1750&gt;=1,G1750,0)</f>
        <v>0</v>
      </c>
      <c r="I1750" s="5" t="s">
        <v>1076</v>
      </c>
      <c r="J1750" s="5" t="s">
        <v>2332</v>
      </c>
    </row>
    <row r="1751" customFormat="false" ht="15" hidden="false" customHeight="false" outlineLevel="0" collapsed="false">
      <c r="A1751" s="5" t="s">
        <v>229</v>
      </c>
      <c r="B1751" s="5" t="s">
        <v>169</v>
      </c>
      <c r="C1751" s="5" t="n">
        <v>155</v>
      </c>
      <c r="D1751" s="5" t="s">
        <v>1075</v>
      </c>
      <c r="E1751" s="5" t="n">
        <v>7</v>
      </c>
      <c r="F1751" s="20" t="n">
        <v>8.90475391374037</v>
      </c>
      <c r="G1751" s="20" t="n">
        <f aca="false">9-F1751</f>
        <v>0.0952460862596318</v>
      </c>
      <c r="H1751" s="20" t="n">
        <f aca="false">IF(G1751&gt;=1,G1751,0)</f>
        <v>0</v>
      </c>
      <c r="I1751" s="5" t="s">
        <v>1076</v>
      </c>
      <c r="J1751" s="5" t="s">
        <v>2333</v>
      </c>
    </row>
    <row r="1752" customFormat="false" ht="15" hidden="false" customHeight="false" outlineLevel="0" collapsed="false">
      <c r="A1752" s="5" t="s">
        <v>229</v>
      </c>
      <c r="B1752" s="5" t="s">
        <v>169</v>
      </c>
      <c r="C1752" s="5" t="n">
        <v>156</v>
      </c>
      <c r="D1752" s="5" t="s">
        <v>1075</v>
      </c>
      <c r="E1752" s="5" t="n">
        <v>7</v>
      </c>
      <c r="F1752" s="20" t="n">
        <v>8.90475391374037</v>
      </c>
      <c r="G1752" s="20" t="n">
        <f aca="false">9-F1752</f>
        <v>0.0952460862596318</v>
      </c>
      <c r="H1752" s="20" t="n">
        <f aca="false">IF(G1752&gt;=1,G1752,0)</f>
        <v>0</v>
      </c>
      <c r="I1752" s="5" t="s">
        <v>1076</v>
      </c>
      <c r="J1752" s="5" t="s">
        <v>2334</v>
      </c>
    </row>
    <row r="1753" customFormat="false" ht="15" hidden="false" customHeight="false" outlineLevel="0" collapsed="false">
      <c r="A1753" s="5" t="s">
        <v>229</v>
      </c>
      <c r="B1753" s="5" t="s">
        <v>169</v>
      </c>
      <c r="C1753" s="5" t="n">
        <v>157</v>
      </c>
      <c r="D1753" s="5" t="s">
        <v>1075</v>
      </c>
      <c r="E1753" s="5" t="n">
        <v>7</v>
      </c>
      <c r="F1753" s="20" t="n">
        <v>8.90475391374036</v>
      </c>
      <c r="G1753" s="20" t="n">
        <f aca="false">9-F1753</f>
        <v>0.0952460862596372</v>
      </c>
      <c r="H1753" s="20" t="n">
        <f aca="false">IF(G1753&gt;=1,G1753,0)</f>
        <v>0</v>
      </c>
      <c r="I1753" s="5" t="s">
        <v>1076</v>
      </c>
      <c r="J1753" s="5" t="s">
        <v>2335</v>
      </c>
    </row>
    <row r="1754" customFormat="false" ht="15" hidden="false" customHeight="false" outlineLevel="0" collapsed="false">
      <c r="A1754" s="5" t="s">
        <v>229</v>
      </c>
      <c r="B1754" s="5" t="s">
        <v>169</v>
      </c>
      <c r="C1754" s="5" t="n">
        <v>158</v>
      </c>
      <c r="D1754" s="5" t="s">
        <v>1075</v>
      </c>
      <c r="E1754" s="5" t="n">
        <v>7</v>
      </c>
      <c r="F1754" s="20" t="n">
        <v>8.90475391374036</v>
      </c>
      <c r="G1754" s="20" t="n">
        <f aca="false">9-F1754</f>
        <v>0.0952460862596407</v>
      </c>
      <c r="H1754" s="20" t="n">
        <f aca="false">IF(G1754&gt;=1,G1754,0)</f>
        <v>0</v>
      </c>
      <c r="I1754" s="5" t="s">
        <v>1076</v>
      </c>
      <c r="J1754" s="5" t="s">
        <v>2336</v>
      </c>
    </row>
    <row r="1755" customFormat="false" ht="15" hidden="false" customHeight="false" outlineLevel="0" collapsed="false">
      <c r="A1755" s="5" t="s">
        <v>229</v>
      </c>
      <c r="B1755" s="5" t="s">
        <v>169</v>
      </c>
      <c r="C1755" s="5" t="n">
        <v>159</v>
      </c>
      <c r="D1755" s="5" t="s">
        <v>1075</v>
      </c>
      <c r="E1755" s="5" t="n">
        <v>7</v>
      </c>
      <c r="F1755" s="20" t="n">
        <v>8.90475391374036</v>
      </c>
      <c r="G1755" s="20" t="n">
        <f aca="false">9-F1755</f>
        <v>0.0952460862596407</v>
      </c>
      <c r="H1755" s="20" t="n">
        <f aca="false">IF(G1755&gt;=1,G1755,0)</f>
        <v>0</v>
      </c>
      <c r="I1755" s="5" t="s">
        <v>1076</v>
      </c>
      <c r="J1755" s="5" t="s">
        <v>2337</v>
      </c>
    </row>
    <row r="1756" customFormat="false" ht="15" hidden="false" customHeight="false" outlineLevel="0" collapsed="false">
      <c r="A1756" s="5" t="s">
        <v>229</v>
      </c>
      <c r="B1756" s="5" t="s">
        <v>169</v>
      </c>
      <c r="C1756" s="5" t="n">
        <v>160</v>
      </c>
      <c r="D1756" s="5" t="s">
        <v>1075</v>
      </c>
      <c r="E1756" s="5" t="n">
        <v>7</v>
      </c>
      <c r="F1756" s="20" t="n">
        <v>8.90475391374036</v>
      </c>
      <c r="G1756" s="20" t="n">
        <f aca="false">9-F1756</f>
        <v>0.0952460862596407</v>
      </c>
      <c r="H1756" s="20" t="n">
        <f aca="false">IF(G1756&gt;=1,G1756,0)</f>
        <v>0</v>
      </c>
      <c r="I1756" s="5" t="s">
        <v>1076</v>
      </c>
      <c r="J1756" s="5" t="s">
        <v>2337</v>
      </c>
    </row>
    <row r="1757" customFormat="false" ht="15" hidden="false" customHeight="false" outlineLevel="0" collapsed="false">
      <c r="A1757" s="5" t="s">
        <v>229</v>
      </c>
      <c r="B1757" s="5" t="s">
        <v>169</v>
      </c>
      <c r="C1757" s="5" t="n">
        <v>161</v>
      </c>
      <c r="D1757" s="5" t="s">
        <v>1075</v>
      </c>
      <c r="E1757" s="5" t="n">
        <v>7</v>
      </c>
      <c r="F1757" s="20" t="n">
        <v>8.90475391374036</v>
      </c>
      <c r="G1757" s="20" t="n">
        <f aca="false">9-F1757</f>
        <v>0.0952460862596407</v>
      </c>
      <c r="H1757" s="20" t="n">
        <f aca="false">IF(G1757&gt;=1,G1757,0)</f>
        <v>0</v>
      </c>
      <c r="I1757" s="5" t="s">
        <v>1076</v>
      </c>
      <c r="J1757" s="5" t="s">
        <v>2338</v>
      </c>
    </row>
    <row r="1758" customFormat="false" ht="15" hidden="false" customHeight="false" outlineLevel="0" collapsed="false">
      <c r="A1758" s="5" t="s">
        <v>229</v>
      </c>
      <c r="B1758" s="5" t="s">
        <v>169</v>
      </c>
      <c r="C1758" s="5" t="n">
        <v>162</v>
      </c>
      <c r="D1758" s="5" t="s">
        <v>1075</v>
      </c>
      <c r="E1758" s="5" t="n">
        <v>7</v>
      </c>
      <c r="F1758" s="20" t="n">
        <v>8.90475391374036</v>
      </c>
      <c r="G1758" s="20" t="n">
        <f aca="false">9-F1758</f>
        <v>0.0952460862596407</v>
      </c>
      <c r="H1758" s="20" t="n">
        <f aca="false">IF(G1758&gt;=1,G1758,0)</f>
        <v>0</v>
      </c>
      <c r="I1758" s="5" t="s">
        <v>1076</v>
      </c>
      <c r="J1758" s="5" t="s">
        <v>2339</v>
      </c>
    </row>
    <row r="1759" customFormat="false" ht="15" hidden="false" customHeight="false" outlineLevel="0" collapsed="false">
      <c r="A1759" s="5" t="s">
        <v>229</v>
      </c>
      <c r="B1759" s="5" t="s">
        <v>169</v>
      </c>
      <c r="C1759" s="5" t="n">
        <v>163</v>
      </c>
      <c r="D1759" s="5" t="s">
        <v>1075</v>
      </c>
      <c r="E1759" s="5" t="n">
        <v>7</v>
      </c>
      <c r="F1759" s="20" t="n">
        <v>8.90475391374036</v>
      </c>
      <c r="G1759" s="20" t="n">
        <f aca="false">9-F1759</f>
        <v>0.0952460862596407</v>
      </c>
      <c r="H1759" s="20" t="n">
        <f aca="false">IF(G1759&gt;=1,G1759,0)</f>
        <v>0</v>
      </c>
      <c r="I1759" s="5" t="s">
        <v>1076</v>
      </c>
      <c r="J1759" s="5" t="s">
        <v>2340</v>
      </c>
    </row>
    <row r="1760" customFormat="false" ht="15" hidden="false" customHeight="false" outlineLevel="0" collapsed="false">
      <c r="A1760" s="5" t="s">
        <v>229</v>
      </c>
      <c r="B1760" s="5" t="s">
        <v>169</v>
      </c>
      <c r="C1760" s="5" t="n">
        <v>164</v>
      </c>
      <c r="D1760" s="5" t="s">
        <v>1075</v>
      </c>
      <c r="E1760" s="5" t="n">
        <v>7</v>
      </c>
      <c r="F1760" s="20" t="n">
        <v>8.90475391374036</v>
      </c>
      <c r="G1760" s="20" t="n">
        <f aca="false">9-F1760</f>
        <v>0.0952460862596407</v>
      </c>
      <c r="H1760" s="20" t="n">
        <f aca="false">IF(G1760&gt;=1,G1760,0)</f>
        <v>0</v>
      </c>
      <c r="I1760" s="5" t="s">
        <v>1076</v>
      </c>
      <c r="J1760" s="5" t="s">
        <v>2341</v>
      </c>
    </row>
    <row r="1761" customFormat="false" ht="15" hidden="false" customHeight="false" outlineLevel="0" collapsed="false">
      <c r="A1761" s="5" t="s">
        <v>229</v>
      </c>
      <c r="B1761" s="5" t="s">
        <v>169</v>
      </c>
      <c r="C1761" s="5" t="n">
        <v>165</v>
      </c>
      <c r="D1761" s="5" t="s">
        <v>1075</v>
      </c>
      <c r="E1761" s="5" t="n">
        <v>7</v>
      </c>
      <c r="F1761" s="20" t="n">
        <v>8.90475391374036</v>
      </c>
      <c r="G1761" s="20" t="n">
        <f aca="false">9-F1761</f>
        <v>0.0952460862596407</v>
      </c>
      <c r="H1761" s="20" t="n">
        <f aca="false">IF(G1761&gt;=1,G1761,0)</f>
        <v>0</v>
      </c>
      <c r="I1761" s="5" t="s">
        <v>1076</v>
      </c>
      <c r="J1761" s="5" t="s">
        <v>2342</v>
      </c>
    </row>
    <row r="1762" customFormat="false" ht="15" hidden="false" customHeight="false" outlineLevel="0" collapsed="false">
      <c r="A1762" s="5" t="s">
        <v>229</v>
      </c>
      <c r="B1762" s="5" t="s">
        <v>169</v>
      </c>
      <c r="C1762" s="5" t="n">
        <v>166</v>
      </c>
      <c r="D1762" s="5" t="s">
        <v>1075</v>
      </c>
      <c r="E1762" s="5" t="n">
        <v>7</v>
      </c>
      <c r="F1762" s="20" t="n">
        <v>8.90475391374036</v>
      </c>
      <c r="G1762" s="20" t="n">
        <f aca="false">9-F1762</f>
        <v>0.0952460862596407</v>
      </c>
      <c r="H1762" s="20" t="n">
        <f aca="false">IF(G1762&gt;=1,G1762,0)</f>
        <v>0</v>
      </c>
      <c r="I1762" s="5" t="s">
        <v>1076</v>
      </c>
      <c r="J1762" s="5" t="s">
        <v>2343</v>
      </c>
    </row>
    <row r="1763" customFormat="false" ht="15" hidden="false" customHeight="false" outlineLevel="0" collapsed="false">
      <c r="A1763" s="5" t="s">
        <v>229</v>
      </c>
      <c r="B1763" s="5" t="s">
        <v>169</v>
      </c>
      <c r="C1763" s="5" t="n">
        <v>167</v>
      </c>
      <c r="D1763" s="5" t="s">
        <v>1075</v>
      </c>
      <c r="E1763" s="5" t="n">
        <v>7</v>
      </c>
      <c r="F1763" s="20" t="n">
        <v>8.90475391374036</v>
      </c>
      <c r="G1763" s="20" t="n">
        <f aca="false">9-F1763</f>
        <v>0.0952460862596407</v>
      </c>
      <c r="H1763" s="20" t="n">
        <f aca="false">IF(G1763&gt;=1,G1763,0)</f>
        <v>0</v>
      </c>
      <c r="I1763" s="5" t="s">
        <v>1076</v>
      </c>
      <c r="J1763" s="5" t="s">
        <v>2344</v>
      </c>
    </row>
    <row r="1764" customFormat="false" ht="15" hidden="false" customHeight="false" outlineLevel="0" collapsed="false">
      <c r="A1764" s="5" t="s">
        <v>229</v>
      </c>
      <c r="B1764" s="5" t="s">
        <v>169</v>
      </c>
      <c r="C1764" s="5" t="n">
        <v>168</v>
      </c>
      <c r="D1764" s="5" t="s">
        <v>1075</v>
      </c>
      <c r="E1764" s="5" t="n">
        <v>7</v>
      </c>
      <c r="F1764" s="20" t="n">
        <v>8.90475391374036</v>
      </c>
      <c r="G1764" s="20" t="n">
        <f aca="false">9-F1764</f>
        <v>0.0952460862596407</v>
      </c>
      <c r="H1764" s="20" t="n">
        <f aca="false">IF(G1764&gt;=1,G1764,0)</f>
        <v>0</v>
      </c>
      <c r="I1764" s="5" t="s">
        <v>1076</v>
      </c>
      <c r="J1764" s="5" t="s">
        <v>2344</v>
      </c>
    </row>
    <row r="1765" customFormat="false" ht="15" hidden="false" customHeight="false" outlineLevel="0" collapsed="false">
      <c r="A1765" s="5" t="s">
        <v>229</v>
      </c>
      <c r="B1765" s="5" t="s">
        <v>169</v>
      </c>
      <c r="C1765" s="5" t="n">
        <v>169</v>
      </c>
      <c r="D1765" s="5" t="s">
        <v>1075</v>
      </c>
      <c r="E1765" s="5" t="n">
        <v>7</v>
      </c>
      <c r="F1765" s="20" t="n">
        <v>8.90475391374036</v>
      </c>
      <c r="G1765" s="20" t="n">
        <f aca="false">9-F1765</f>
        <v>0.0952460862596407</v>
      </c>
      <c r="H1765" s="20" t="n">
        <f aca="false">IF(G1765&gt;=1,G1765,0)</f>
        <v>0</v>
      </c>
      <c r="I1765" s="5" t="s">
        <v>1076</v>
      </c>
      <c r="J1765" s="5" t="s">
        <v>2345</v>
      </c>
    </row>
    <row r="1766" customFormat="false" ht="15" hidden="false" customHeight="false" outlineLevel="0" collapsed="false">
      <c r="A1766" s="5" t="s">
        <v>229</v>
      </c>
      <c r="B1766" s="5" t="s">
        <v>169</v>
      </c>
      <c r="C1766" s="5" t="n">
        <v>170</v>
      </c>
      <c r="D1766" s="5" t="s">
        <v>1075</v>
      </c>
      <c r="E1766" s="5" t="n">
        <v>7</v>
      </c>
      <c r="F1766" s="20" t="n">
        <v>8.90475391374036</v>
      </c>
      <c r="G1766" s="20" t="n">
        <f aca="false">9-F1766</f>
        <v>0.0952460862596425</v>
      </c>
      <c r="H1766" s="20" t="n">
        <f aca="false">IF(G1766&gt;=1,G1766,0)</f>
        <v>0</v>
      </c>
      <c r="I1766" s="5" t="s">
        <v>1076</v>
      </c>
      <c r="J1766" s="5" t="s">
        <v>2346</v>
      </c>
    </row>
    <row r="1767" customFormat="false" ht="15" hidden="false" customHeight="false" outlineLevel="0" collapsed="false">
      <c r="A1767" s="5" t="s">
        <v>229</v>
      </c>
      <c r="B1767" s="5" t="s">
        <v>169</v>
      </c>
      <c r="C1767" s="5" t="n">
        <v>171</v>
      </c>
      <c r="D1767" s="5" t="s">
        <v>1075</v>
      </c>
      <c r="E1767" s="5" t="n">
        <v>7</v>
      </c>
      <c r="F1767" s="20" t="n">
        <v>8.90475391374036</v>
      </c>
      <c r="G1767" s="20" t="n">
        <f aca="false">9-F1767</f>
        <v>0.0952460862596425</v>
      </c>
      <c r="H1767" s="20" t="n">
        <f aca="false">IF(G1767&gt;=1,G1767,0)</f>
        <v>0</v>
      </c>
      <c r="I1767" s="5" t="s">
        <v>1076</v>
      </c>
      <c r="J1767" s="5" t="s">
        <v>2347</v>
      </c>
    </row>
    <row r="1768" customFormat="false" ht="15" hidden="false" customHeight="false" outlineLevel="0" collapsed="false">
      <c r="A1768" s="5" t="s">
        <v>229</v>
      </c>
      <c r="B1768" s="5" t="s">
        <v>169</v>
      </c>
      <c r="C1768" s="5" t="n">
        <v>172</v>
      </c>
      <c r="D1768" s="5" t="s">
        <v>1075</v>
      </c>
      <c r="E1768" s="5" t="n">
        <v>7</v>
      </c>
      <c r="F1768" s="20" t="n">
        <v>8.90475391374036</v>
      </c>
      <c r="G1768" s="20" t="n">
        <f aca="false">9-F1768</f>
        <v>0.0952460862596425</v>
      </c>
      <c r="H1768" s="20" t="n">
        <f aca="false">IF(G1768&gt;=1,G1768,0)</f>
        <v>0</v>
      </c>
      <c r="I1768" s="5" t="s">
        <v>1076</v>
      </c>
      <c r="J1768" s="5" t="s">
        <v>2348</v>
      </c>
    </row>
    <row r="1769" customFormat="false" ht="15" hidden="false" customHeight="false" outlineLevel="0" collapsed="false">
      <c r="A1769" s="5" t="s">
        <v>229</v>
      </c>
      <c r="B1769" s="5" t="s">
        <v>169</v>
      </c>
      <c r="C1769" s="5" t="n">
        <v>173</v>
      </c>
      <c r="D1769" s="5" t="s">
        <v>1075</v>
      </c>
      <c r="E1769" s="5" t="n">
        <v>7</v>
      </c>
      <c r="F1769" s="20" t="n">
        <v>8.90475391374036</v>
      </c>
      <c r="G1769" s="20" t="n">
        <f aca="false">9-F1769</f>
        <v>0.0952460862596425</v>
      </c>
      <c r="H1769" s="20" t="n">
        <f aca="false">IF(G1769&gt;=1,G1769,0)</f>
        <v>0</v>
      </c>
      <c r="I1769" s="5" t="s">
        <v>1076</v>
      </c>
      <c r="J1769" s="5" t="s">
        <v>2349</v>
      </c>
    </row>
    <row r="1770" customFormat="false" ht="15" hidden="false" customHeight="false" outlineLevel="0" collapsed="false">
      <c r="A1770" s="5" t="s">
        <v>229</v>
      </c>
      <c r="B1770" s="5" t="s">
        <v>169</v>
      </c>
      <c r="C1770" s="5" t="n">
        <v>174</v>
      </c>
      <c r="D1770" s="5" t="s">
        <v>1075</v>
      </c>
      <c r="E1770" s="5" t="n">
        <v>7</v>
      </c>
      <c r="F1770" s="20" t="n">
        <v>8.90475391374036</v>
      </c>
      <c r="G1770" s="20" t="n">
        <f aca="false">9-F1770</f>
        <v>0.0952460862596425</v>
      </c>
      <c r="H1770" s="20" t="n">
        <f aca="false">IF(G1770&gt;=1,G1770,0)</f>
        <v>0</v>
      </c>
      <c r="I1770" s="5" t="s">
        <v>1076</v>
      </c>
      <c r="J1770" s="5" t="s">
        <v>2350</v>
      </c>
    </row>
    <row r="1771" customFormat="false" ht="15" hidden="false" customHeight="false" outlineLevel="0" collapsed="false">
      <c r="A1771" s="5" t="s">
        <v>229</v>
      </c>
      <c r="B1771" s="5" t="s">
        <v>169</v>
      </c>
      <c r="C1771" s="5" t="n">
        <v>175</v>
      </c>
      <c r="D1771" s="5" t="s">
        <v>1075</v>
      </c>
      <c r="E1771" s="5" t="n">
        <v>7</v>
      </c>
      <c r="F1771" s="20" t="n">
        <v>8.90475391374036</v>
      </c>
      <c r="G1771" s="20" t="n">
        <f aca="false">9-F1771</f>
        <v>0.0952460862596425</v>
      </c>
      <c r="H1771" s="20" t="n">
        <f aca="false">IF(G1771&gt;=1,G1771,0)</f>
        <v>0</v>
      </c>
      <c r="I1771" s="5" t="s">
        <v>1076</v>
      </c>
      <c r="J1771" s="5" t="s">
        <v>2351</v>
      </c>
    </row>
    <row r="1772" customFormat="false" ht="15" hidden="false" customHeight="false" outlineLevel="0" collapsed="false">
      <c r="A1772" s="5" t="s">
        <v>229</v>
      </c>
      <c r="B1772" s="5" t="s">
        <v>169</v>
      </c>
      <c r="C1772" s="5" t="n">
        <v>176</v>
      </c>
      <c r="D1772" s="5" t="s">
        <v>1075</v>
      </c>
      <c r="E1772" s="5" t="n">
        <v>7</v>
      </c>
      <c r="F1772" s="20" t="n">
        <v>8.90475391374036</v>
      </c>
      <c r="G1772" s="20" t="n">
        <f aca="false">9-F1772</f>
        <v>0.0952460862596425</v>
      </c>
      <c r="H1772" s="20" t="n">
        <f aca="false">IF(G1772&gt;=1,G1772,0)</f>
        <v>0</v>
      </c>
      <c r="I1772" s="5" t="s">
        <v>1076</v>
      </c>
      <c r="J1772" s="5" t="s">
        <v>2352</v>
      </c>
    </row>
    <row r="1773" customFormat="false" ht="15" hidden="false" customHeight="false" outlineLevel="0" collapsed="false">
      <c r="A1773" s="5" t="s">
        <v>229</v>
      </c>
      <c r="B1773" s="5" t="s">
        <v>169</v>
      </c>
      <c r="C1773" s="5" t="n">
        <v>177</v>
      </c>
      <c r="D1773" s="5" t="s">
        <v>1075</v>
      </c>
      <c r="E1773" s="5" t="n">
        <v>7</v>
      </c>
      <c r="F1773" s="20" t="n">
        <v>8.90475391374036</v>
      </c>
      <c r="G1773" s="20" t="n">
        <f aca="false">9-F1773</f>
        <v>0.0952460862596425</v>
      </c>
      <c r="H1773" s="20" t="n">
        <f aca="false">IF(G1773&gt;=1,G1773,0)</f>
        <v>0</v>
      </c>
      <c r="I1773" s="5" t="s">
        <v>1076</v>
      </c>
      <c r="J1773" s="5" t="s">
        <v>2353</v>
      </c>
    </row>
    <row r="1774" customFormat="false" ht="15" hidden="false" customHeight="false" outlineLevel="0" collapsed="false">
      <c r="A1774" s="5" t="s">
        <v>229</v>
      </c>
      <c r="B1774" s="5" t="s">
        <v>169</v>
      </c>
      <c r="C1774" s="5" t="n">
        <v>178</v>
      </c>
      <c r="D1774" s="5" t="s">
        <v>1075</v>
      </c>
      <c r="E1774" s="5" t="n">
        <v>7</v>
      </c>
      <c r="F1774" s="20" t="n">
        <v>8.90475391374036</v>
      </c>
      <c r="G1774" s="20" t="n">
        <f aca="false">9-F1774</f>
        <v>0.0952460862596425</v>
      </c>
      <c r="H1774" s="20" t="n">
        <f aca="false">IF(G1774&gt;=1,G1774,0)</f>
        <v>0</v>
      </c>
      <c r="I1774" s="5" t="s">
        <v>1076</v>
      </c>
      <c r="J1774" s="5" t="s">
        <v>2354</v>
      </c>
    </row>
    <row r="1775" customFormat="false" ht="15" hidden="false" customHeight="false" outlineLevel="0" collapsed="false">
      <c r="A1775" s="5" t="s">
        <v>229</v>
      </c>
      <c r="B1775" s="5" t="s">
        <v>169</v>
      </c>
      <c r="C1775" s="5" t="n">
        <v>179</v>
      </c>
      <c r="D1775" s="5" t="s">
        <v>1075</v>
      </c>
      <c r="E1775" s="5" t="n">
        <v>7</v>
      </c>
      <c r="F1775" s="20" t="n">
        <v>8.90475391374036</v>
      </c>
      <c r="G1775" s="20" t="n">
        <f aca="false">9-F1775</f>
        <v>0.0952460862596425</v>
      </c>
      <c r="H1775" s="20" t="n">
        <f aca="false">IF(G1775&gt;=1,G1775,0)</f>
        <v>0</v>
      </c>
      <c r="I1775" s="5" t="s">
        <v>1076</v>
      </c>
      <c r="J1775" s="5" t="s">
        <v>2355</v>
      </c>
    </row>
    <row r="1776" customFormat="false" ht="15" hidden="false" customHeight="false" outlineLevel="0" collapsed="false">
      <c r="A1776" s="5" t="s">
        <v>229</v>
      </c>
      <c r="B1776" s="5" t="s">
        <v>169</v>
      </c>
      <c r="C1776" s="5" t="n">
        <v>180</v>
      </c>
      <c r="D1776" s="5" t="s">
        <v>1075</v>
      </c>
      <c r="E1776" s="5" t="n">
        <v>7</v>
      </c>
      <c r="F1776" s="20" t="n">
        <v>8.90475391374036</v>
      </c>
      <c r="G1776" s="20" t="n">
        <f aca="false">9-F1776</f>
        <v>0.0952460862596425</v>
      </c>
      <c r="H1776" s="20" t="n">
        <f aca="false">IF(G1776&gt;=1,G1776,0)</f>
        <v>0</v>
      </c>
      <c r="I1776" s="5" t="s">
        <v>1076</v>
      </c>
      <c r="J1776" s="5" t="s">
        <v>2356</v>
      </c>
    </row>
    <row r="1777" customFormat="false" ht="15" hidden="false" customHeight="false" outlineLevel="0" collapsed="false">
      <c r="A1777" s="5" t="s">
        <v>229</v>
      </c>
      <c r="B1777" s="5" t="s">
        <v>169</v>
      </c>
      <c r="C1777" s="5" t="n">
        <v>181</v>
      </c>
      <c r="D1777" s="5" t="s">
        <v>1075</v>
      </c>
      <c r="E1777" s="5" t="n">
        <v>7</v>
      </c>
      <c r="F1777" s="20" t="n">
        <v>8.90475391374036</v>
      </c>
      <c r="G1777" s="20" t="n">
        <f aca="false">9-F1777</f>
        <v>0.0952460862596425</v>
      </c>
      <c r="H1777" s="20" t="n">
        <f aca="false">IF(G1777&gt;=1,G1777,0)</f>
        <v>0</v>
      </c>
      <c r="I1777" s="5" t="s">
        <v>1076</v>
      </c>
      <c r="J1777" s="5" t="s">
        <v>2357</v>
      </c>
    </row>
    <row r="1778" customFormat="false" ht="15" hidden="false" customHeight="false" outlineLevel="0" collapsed="false">
      <c r="A1778" s="5" t="s">
        <v>229</v>
      </c>
      <c r="B1778" s="5" t="s">
        <v>169</v>
      </c>
      <c r="C1778" s="5" t="n">
        <v>182</v>
      </c>
      <c r="D1778" s="5" t="s">
        <v>1075</v>
      </c>
      <c r="E1778" s="5" t="n">
        <v>7</v>
      </c>
      <c r="F1778" s="20" t="n">
        <v>8.90475391374036</v>
      </c>
      <c r="G1778" s="20" t="n">
        <f aca="false">9-F1778</f>
        <v>0.0952460862596425</v>
      </c>
      <c r="H1778" s="20" t="n">
        <f aca="false">IF(G1778&gt;=1,G1778,0)</f>
        <v>0</v>
      </c>
      <c r="I1778" s="5" t="s">
        <v>1076</v>
      </c>
      <c r="J1778" s="5" t="s">
        <v>2358</v>
      </c>
    </row>
    <row r="1779" customFormat="false" ht="15" hidden="false" customHeight="false" outlineLevel="0" collapsed="false">
      <c r="A1779" s="5" t="s">
        <v>229</v>
      </c>
      <c r="B1779" s="5" t="s">
        <v>169</v>
      </c>
      <c r="C1779" s="5" t="n">
        <v>183</v>
      </c>
      <c r="D1779" s="5" t="s">
        <v>1075</v>
      </c>
      <c r="E1779" s="5" t="n">
        <v>7</v>
      </c>
      <c r="F1779" s="20" t="n">
        <v>8.90475391374036</v>
      </c>
      <c r="G1779" s="20" t="n">
        <f aca="false">9-F1779</f>
        <v>0.0952460862596425</v>
      </c>
      <c r="H1779" s="20" t="n">
        <f aca="false">IF(G1779&gt;=1,G1779,0)</f>
        <v>0</v>
      </c>
      <c r="I1779" s="5" t="s">
        <v>1076</v>
      </c>
      <c r="J1779" s="5" t="s">
        <v>2359</v>
      </c>
    </row>
    <row r="1780" customFormat="false" ht="15" hidden="false" customHeight="false" outlineLevel="0" collapsed="false">
      <c r="A1780" s="5" t="s">
        <v>229</v>
      </c>
      <c r="B1780" s="5" t="s">
        <v>169</v>
      </c>
      <c r="C1780" s="5" t="n">
        <v>184</v>
      </c>
      <c r="D1780" s="5" t="s">
        <v>1075</v>
      </c>
      <c r="E1780" s="5" t="n">
        <v>7</v>
      </c>
      <c r="F1780" s="20" t="n">
        <v>8.90475391374036</v>
      </c>
      <c r="G1780" s="20" t="n">
        <f aca="false">9-F1780</f>
        <v>0.0952460862596425</v>
      </c>
      <c r="H1780" s="20" t="n">
        <f aca="false">IF(G1780&gt;=1,G1780,0)</f>
        <v>0</v>
      </c>
      <c r="I1780" s="5" t="s">
        <v>1076</v>
      </c>
      <c r="J1780" s="5" t="s">
        <v>2360</v>
      </c>
    </row>
    <row r="1781" customFormat="false" ht="15" hidden="false" customHeight="false" outlineLevel="0" collapsed="false">
      <c r="A1781" s="5" t="s">
        <v>229</v>
      </c>
      <c r="B1781" s="5" t="s">
        <v>169</v>
      </c>
      <c r="C1781" s="5" t="n">
        <v>185</v>
      </c>
      <c r="D1781" s="5" t="s">
        <v>1075</v>
      </c>
      <c r="E1781" s="5" t="n">
        <v>7</v>
      </c>
      <c r="F1781" s="20" t="n">
        <v>8.90475391374036</v>
      </c>
      <c r="G1781" s="20" t="n">
        <f aca="false">9-F1781</f>
        <v>0.0952460862596425</v>
      </c>
      <c r="H1781" s="20" t="n">
        <f aca="false">IF(G1781&gt;=1,G1781,0)</f>
        <v>0</v>
      </c>
      <c r="I1781" s="5" t="s">
        <v>1076</v>
      </c>
      <c r="J1781" s="5" t="s">
        <v>2361</v>
      </c>
    </row>
    <row r="1782" customFormat="false" ht="15" hidden="false" customHeight="false" outlineLevel="0" collapsed="false">
      <c r="A1782" s="5" t="s">
        <v>229</v>
      </c>
      <c r="B1782" s="5" t="s">
        <v>169</v>
      </c>
      <c r="C1782" s="5" t="n">
        <v>186</v>
      </c>
      <c r="D1782" s="5" t="s">
        <v>1075</v>
      </c>
      <c r="E1782" s="5" t="n">
        <v>7</v>
      </c>
      <c r="F1782" s="20" t="n">
        <v>8.90475391374036</v>
      </c>
      <c r="G1782" s="20" t="n">
        <f aca="false">9-F1782</f>
        <v>0.0952460862596425</v>
      </c>
      <c r="H1782" s="20" t="n">
        <f aca="false">IF(G1782&gt;=1,G1782,0)</f>
        <v>0</v>
      </c>
      <c r="I1782" s="5" t="s">
        <v>1076</v>
      </c>
      <c r="J1782" s="5" t="s">
        <v>2362</v>
      </c>
    </row>
    <row r="1783" customFormat="false" ht="15" hidden="false" customHeight="false" outlineLevel="0" collapsed="false">
      <c r="A1783" s="5" t="s">
        <v>229</v>
      </c>
      <c r="B1783" s="5" t="s">
        <v>169</v>
      </c>
      <c r="C1783" s="5" t="n">
        <v>187</v>
      </c>
      <c r="D1783" s="5" t="s">
        <v>1075</v>
      </c>
      <c r="E1783" s="5" t="n">
        <v>7</v>
      </c>
      <c r="F1783" s="20" t="n">
        <v>8.90475391374036</v>
      </c>
      <c r="G1783" s="20" t="n">
        <f aca="false">9-F1783</f>
        <v>0.0952460862596425</v>
      </c>
      <c r="H1783" s="20" t="n">
        <f aca="false">IF(G1783&gt;=1,G1783,0)</f>
        <v>0</v>
      </c>
      <c r="I1783" s="5" t="s">
        <v>1076</v>
      </c>
      <c r="J1783" s="5" t="s">
        <v>2363</v>
      </c>
    </row>
    <row r="1784" customFormat="false" ht="15" hidden="false" customHeight="false" outlineLevel="0" collapsed="false">
      <c r="A1784" s="5" t="s">
        <v>229</v>
      </c>
      <c r="B1784" s="5" t="s">
        <v>169</v>
      </c>
      <c r="C1784" s="5" t="n">
        <v>188</v>
      </c>
      <c r="D1784" s="5" t="s">
        <v>1075</v>
      </c>
      <c r="E1784" s="5" t="n">
        <v>7</v>
      </c>
      <c r="F1784" s="20" t="n">
        <v>8.90475391374036</v>
      </c>
      <c r="G1784" s="20" t="n">
        <f aca="false">9-F1784</f>
        <v>0.0952460862596425</v>
      </c>
      <c r="H1784" s="20" t="n">
        <f aca="false">IF(G1784&gt;=1,G1784,0)</f>
        <v>0</v>
      </c>
      <c r="I1784" s="5" t="s">
        <v>1076</v>
      </c>
      <c r="J1784" s="5" t="s">
        <v>2364</v>
      </c>
    </row>
    <row r="1785" customFormat="false" ht="15" hidden="false" customHeight="false" outlineLevel="0" collapsed="false">
      <c r="A1785" s="5" t="s">
        <v>229</v>
      </c>
      <c r="B1785" s="5" t="s">
        <v>169</v>
      </c>
      <c r="C1785" s="5" t="n">
        <v>189</v>
      </c>
      <c r="D1785" s="5" t="s">
        <v>1075</v>
      </c>
      <c r="E1785" s="5" t="n">
        <v>7</v>
      </c>
      <c r="F1785" s="20" t="n">
        <v>8.90475391374036</v>
      </c>
      <c r="G1785" s="20" t="n">
        <f aca="false">9-F1785</f>
        <v>0.0952460862596425</v>
      </c>
      <c r="H1785" s="20" t="n">
        <f aca="false">IF(G1785&gt;=1,G1785,0)</f>
        <v>0</v>
      </c>
      <c r="I1785" s="5" t="s">
        <v>1076</v>
      </c>
      <c r="J1785" s="5" t="s">
        <v>2365</v>
      </c>
    </row>
    <row r="1786" customFormat="false" ht="15" hidden="false" customHeight="false" outlineLevel="0" collapsed="false">
      <c r="A1786" s="5" t="s">
        <v>229</v>
      </c>
      <c r="B1786" s="5" t="s">
        <v>169</v>
      </c>
      <c r="C1786" s="5" t="n">
        <v>190</v>
      </c>
      <c r="D1786" s="5" t="s">
        <v>1075</v>
      </c>
      <c r="E1786" s="5" t="n">
        <v>7</v>
      </c>
      <c r="F1786" s="20" t="n">
        <v>8.90475391374036</v>
      </c>
      <c r="G1786" s="20" t="n">
        <f aca="false">9-F1786</f>
        <v>0.0952460862596425</v>
      </c>
      <c r="H1786" s="20" t="n">
        <f aca="false">IF(G1786&gt;=1,G1786,0)</f>
        <v>0</v>
      </c>
      <c r="I1786" s="5" t="s">
        <v>1076</v>
      </c>
      <c r="J1786" s="5" t="s">
        <v>2366</v>
      </c>
    </row>
    <row r="1787" customFormat="false" ht="15" hidden="false" customHeight="false" outlineLevel="0" collapsed="false">
      <c r="A1787" s="5" t="s">
        <v>229</v>
      </c>
      <c r="B1787" s="5" t="s">
        <v>169</v>
      </c>
      <c r="C1787" s="5" t="n">
        <v>191</v>
      </c>
      <c r="D1787" s="5" t="s">
        <v>1075</v>
      </c>
      <c r="E1787" s="5" t="n">
        <v>7</v>
      </c>
      <c r="F1787" s="20" t="n">
        <v>8.90475391374036</v>
      </c>
      <c r="G1787" s="20" t="n">
        <f aca="false">9-F1787</f>
        <v>0.0952460862596425</v>
      </c>
      <c r="H1787" s="20" t="n">
        <f aca="false">IF(G1787&gt;=1,G1787,0)</f>
        <v>0</v>
      </c>
      <c r="I1787" s="5" t="s">
        <v>1076</v>
      </c>
      <c r="J1787" s="5" t="s">
        <v>2367</v>
      </c>
    </row>
    <row r="1788" customFormat="false" ht="15" hidden="false" customHeight="false" outlineLevel="0" collapsed="false">
      <c r="A1788" s="5" t="s">
        <v>229</v>
      </c>
      <c r="B1788" s="5" t="s">
        <v>169</v>
      </c>
      <c r="C1788" s="5" t="n">
        <v>192</v>
      </c>
      <c r="D1788" s="5" t="s">
        <v>2368</v>
      </c>
      <c r="E1788" s="5" t="n">
        <v>7</v>
      </c>
      <c r="F1788" s="20" t="n">
        <v>8.85610757557249</v>
      </c>
      <c r="G1788" s="20" t="n">
        <f aca="false">9-F1788</f>
        <v>0.143892424427515</v>
      </c>
      <c r="H1788" s="20" t="n">
        <f aca="false">IF(G1788&gt;=1,G1788,0)</f>
        <v>0</v>
      </c>
      <c r="I1788" s="5" t="s">
        <v>2369</v>
      </c>
      <c r="J1788" s="5" t="s">
        <v>2370</v>
      </c>
    </row>
    <row r="1789" customFormat="false" ht="15" hidden="false" customHeight="false" outlineLevel="0" collapsed="false">
      <c r="A1789" s="5" t="s">
        <v>229</v>
      </c>
      <c r="B1789" s="5" t="s">
        <v>169</v>
      </c>
      <c r="C1789" s="5" t="n">
        <v>193</v>
      </c>
      <c r="D1789" s="5" t="s">
        <v>1152</v>
      </c>
      <c r="E1789" s="5" t="n">
        <v>8</v>
      </c>
      <c r="F1789" s="20" t="n">
        <v>8.90000000000001</v>
      </c>
      <c r="G1789" s="20" t="n">
        <f aca="false">9-F1789</f>
        <v>0.0999999999999872</v>
      </c>
      <c r="H1789" s="20" t="n">
        <f aca="false">IF(G1789&gt;=1,G1789,0)</f>
        <v>0</v>
      </c>
      <c r="I1789" s="5" t="s">
        <v>77</v>
      </c>
      <c r="J1789" s="5" t="s">
        <v>2371</v>
      </c>
    </row>
    <row r="1790" customFormat="false" ht="15" hidden="false" customHeight="false" outlineLevel="0" collapsed="false">
      <c r="A1790" s="5" t="s">
        <v>229</v>
      </c>
      <c r="B1790" s="5" t="s">
        <v>169</v>
      </c>
      <c r="C1790" s="5" t="n">
        <v>194</v>
      </c>
      <c r="D1790" s="5" t="s">
        <v>1154</v>
      </c>
      <c r="E1790" s="5" t="n">
        <v>9</v>
      </c>
      <c r="F1790" s="20" t="n">
        <v>8.79253876259544</v>
      </c>
      <c r="G1790" s="20" t="n">
        <f aca="false">9-F1790</f>
        <v>0.207461237404557</v>
      </c>
      <c r="H1790" s="20" t="n">
        <f aca="false">IF(G1790&gt;=1,G1790,0)</f>
        <v>0</v>
      </c>
      <c r="I1790" s="5" t="s">
        <v>922</v>
      </c>
      <c r="J1790" s="5" t="s">
        <v>2372</v>
      </c>
    </row>
    <row r="1791" customFormat="false" ht="15" hidden="false" customHeight="false" outlineLevel="0" collapsed="false">
      <c r="A1791" s="5" t="s">
        <v>229</v>
      </c>
      <c r="B1791" s="5" t="s">
        <v>169</v>
      </c>
      <c r="C1791" s="5" t="n">
        <v>195</v>
      </c>
      <c r="D1791" s="5" t="s">
        <v>1154</v>
      </c>
      <c r="E1791" s="5" t="n">
        <v>9</v>
      </c>
      <c r="F1791" s="20" t="n">
        <v>8.79253876259544</v>
      </c>
      <c r="G1791" s="20" t="n">
        <f aca="false">9-F1791</f>
        <v>0.207461237404562</v>
      </c>
      <c r="H1791" s="20" t="n">
        <f aca="false">IF(G1791&gt;=1,G1791,0)</f>
        <v>0</v>
      </c>
      <c r="I1791" s="5" t="s">
        <v>922</v>
      </c>
      <c r="J1791" s="5" t="s">
        <v>2373</v>
      </c>
    </row>
    <row r="1792" customFormat="false" ht="15" hidden="false" customHeight="false" outlineLevel="0" collapsed="false">
      <c r="A1792" s="5" t="s">
        <v>229</v>
      </c>
      <c r="B1792" s="5" t="s">
        <v>169</v>
      </c>
      <c r="C1792" s="5" t="n">
        <v>196</v>
      </c>
      <c r="D1792" s="5" t="s">
        <v>1154</v>
      </c>
      <c r="E1792" s="5" t="n">
        <v>9</v>
      </c>
      <c r="F1792" s="20" t="n">
        <v>8.79253876259544</v>
      </c>
      <c r="G1792" s="20" t="n">
        <f aca="false">9-F1792</f>
        <v>0.207461237404562</v>
      </c>
      <c r="H1792" s="20" t="n">
        <f aca="false">IF(G1792&gt;=1,G1792,0)</f>
        <v>0</v>
      </c>
      <c r="I1792" s="5" t="s">
        <v>922</v>
      </c>
      <c r="J1792" s="5" t="s">
        <v>2374</v>
      </c>
    </row>
    <row r="1793" customFormat="false" ht="15" hidden="false" customHeight="false" outlineLevel="0" collapsed="false">
      <c r="A1793" s="5" t="s">
        <v>229</v>
      </c>
      <c r="B1793" s="5" t="s">
        <v>169</v>
      </c>
      <c r="C1793" s="5" t="n">
        <v>197</v>
      </c>
      <c r="D1793" s="5" t="s">
        <v>2375</v>
      </c>
      <c r="E1793" s="5" t="n">
        <v>9</v>
      </c>
      <c r="F1793" s="20" t="n">
        <v>8.94917087531804</v>
      </c>
      <c r="G1793" s="20" t="n">
        <f aca="false">9-F1793</f>
        <v>0.0508291246819557</v>
      </c>
      <c r="H1793" s="20" t="n">
        <f aca="false">IF(G1793&gt;=1,G1793,0)</f>
        <v>0</v>
      </c>
      <c r="I1793" s="5" t="s">
        <v>939</v>
      </c>
      <c r="J1793" s="5" t="s">
        <v>2376</v>
      </c>
    </row>
    <row r="1794" customFormat="false" ht="15" hidden="false" customHeight="false" outlineLevel="0" collapsed="false">
      <c r="A1794" s="5" t="s">
        <v>229</v>
      </c>
      <c r="B1794" s="5" t="s">
        <v>169</v>
      </c>
      <c r="C1794" s="5" t="n">
        <v>198</v>
      </c>
      <c r="D1794" s="5" t="s">
        <v>2377</v>
      </c>
      <c r="E1794" s="5" t="n">
        <v>9</v>
      </c>
      <c r="F1794" s="20" t="n">
        <v>8.79617829073777</v>
      </c>
      <c r="G1794" s="20" t="n">
        <f aca="false">9-F1794</f>
        <v>0.203821709262231</v>
      </c>
      <c r="H1794" s="20" t="n">
        <f aca="false">IF(G1794&gt;=1,G1794,0)</f>
        <v>0</v>
      </c>
      <c r="I1794" s="5" t="s">
        <v>960</v>
      </c>
      <c r="J1794" s="5" t="s">
        <v>2378</v>
      </c>
    </row>
    <row r="1795" customFormat="false" ht="15" hidden="false" customHeight="false" outlineLevel="0" collapsed="false">
      <c r="A1795" s="5" t="s">
        <v>229</v>
      </c>
      <c r="B1795" s="5" t="s">
        <v>169</v>
      </c>
      <c r="C1795" s="5" t="n">
        <v>199</v>
      </c>
      <c r="D1795" s="5" t="s">
        <v>646</v>
      </c>
      <c r="E1795" s="5" t="n">
        <v>9</v>
      </c>
      <c r="F1795" s="20" t="n">
        <v>8.74742272671741</v>
      </c>
      <c r="G1795" s="20" t="n">
        <f aca="false">9-F1795</f>
        <v>0.252577273282595</v>
      </c>
      <c r="H1795" s="20" t="n">
        <f aca="false">IF(G1795&gt;=1,G1795,0)</f>
        <v>0</v>
      </c>
      <c r="I1795" s="5" t="s">
        <v>74</v>
      </c>
      <c r="J1795" s="5" t="s">
        <v>2379</v>
      </c>
    </row>
    <row r="1796" customFormat="false" ht="15" hidden="false" customHeight="false" outlineLevel="0" collapsed="false">
      <c r="A1796" s="5" t="s">
        <v>229</v>
      </c>
      <c r="B1796" s="5" t="s">
        <v>169</v>
      </c>
      <c r="C1796" s="5" t="n">
        <v>200</v>
      </c>
      <c r="D1796" s="5" t="s">
        <v>646</v>
      </c>
      <c r="E1796" s="5" t="n">
        <v>9</v>
      </c>
      <c r="F1796" s="20" t="n">
        <v>8.7474227267174</v>
      </c>
      <c r="G1796" s="20" t="n">
        <f aca="false">9-F1796</f>
        <v>0.252577273282602</v>
      </c>
      <c r="H1796" s="20" t="n">
        <f aca="false">IF(G1796&gt;=1,G1796,0)</f>
        <v>0</v>
      </c>
      <c r="I1796" s="5" t="s">
        <v>74</v>
      </c>
      <c r="J1796" s="5" t="s">
        <v>2380</v>
      </c>
    </row>
    <row r="1797" customFormat="false" ht="15" hidden="false" customHeight="false" outlineLevel="0" collapsed="false">
      <c r="A1797" s="5" t="s">
        <v>229</v>
      </c>
      <c r="B1797" s="5" t="s">
        <v>169</v>
      </c>
      <c r="C1797" s="5" t="n">
        <v>201</v>
      </c>
      <c r="D1797" s="5" t="s">
        <v>646</v>
      </c>
      <c r="E1797" s="5" t="n">
        <v>9</v>
      </c>
      <c r="F1797" s="20" t="n">
        <v>8.74742272671739</v>
      </c>
      <c r="G1797" s="20" t="n">
        <f aca="false">9-F1797</f>
        <v>0.252577273282615</v>
      </c>
      <c r="H1797" s="20" t="n">
        <f aca="false">IF(G1797&gt;=1,G1797,0)</f>
        <v>0</v>
      </c>
      <c r="I1797" s="5" t="s">
        <v>74</v>
      </c>
      <c r="J1797" s="5" t="s">
        <v>2381</v>
      </c>
    </row>
    <row r="1798" customFormat="false" ht="15" hidden="false" customHeight="false" outlineLevel="0" collapsed="false">
      <c r="A1798" s="5" t="s">
        <v>229</v>
      </c>
      <c r="B1798" s="5" t="s">
        <v>169</v>
      </c>
      <c r="C1798" s="5" t="n">
        <v>202</v>
      </c>
      <c r="D1798" s="5" t="s">
        <v>646</v>
      </c>
      <c r="E1798" s="5" t="n">
        <v>9</v>
      </c>
      <c r="F1798" s="20" t="n">
        <v>8.74742272671739</v>
      </c>
      <c r="G1798" s="20" t="n">
        <f aca="false">9-F1798</f>
        <v>0.252577273282615</v>
      </c>
      <c r="H1798" s="20" t="n">
        <f aca="false">IF(G1798&gt;=1,G1798,0)</f>
        <v>0</v>
      </c>
      <c r="I1798" s="5" t="s">
        <v>74</v>
      </c>
      <c r="J1798" s="5" t="s">
        <v>2382</v>
      </c>
    </row>
    <row r="1799" customFormat="false" ht="15" hidden="false" customHeight="false" outlineLevel="0" collapsed="false">
      <c r="A1799" s="5" t="s">
        <v>229</v>
      </c>
      <c r="B1799" s="5" t="s">
        <v>169</v>
      </c>
      <c r="C1799" s="5" t="n">
        <v>203</v>
      </c>
      <c r="D1799" s="5" t="s">
        <v>646</v>
      </c>
      <c r="E1799" s="5" t="n">
        <v>9</v>
      </c>
      <c r="F1799" s="20" t="n">
        <v>8.74742272671736</v>
      </c>
      <c r="G1799" s="20" t="n">
        <f aca="false">9-F1799</f>
        <v>0.252577273282638</v>
      </c>
      <c r="H1799" s="20" t="n">
        <f aca="false">IF(G1799&gt;=1,G1799,0)</f>
        <v>0</v>
      </c>
      <c r="I1799" s="5" t="s">
        <v>74</v>
      </c>
      <c r="J1799" s="5" t="s">
        <v>2383</v>
      </c>
    </row>
    <row r="1800" customFormat="false" ht="15" hidden="false" customHeight="false" outlineLevel="0" collapsed="false">
      <c r="A1800" s="5" t="s">
        <v>229</v>
      </c>
      <c r="B1800" s="5" t="s">
        <v>169</v>
      </c>
      <c r="C1800" s="5" t="n">
        <v>204</v>
      </c>
      <c r="D1800" s="5" t="s">
        <v>646</v>
      </c>
      <c r="E1800" s="5" t="n">
        <v>9</v>
      </c>
      <c r="F1800" s="20" t="n">
        <v>8.74742272671736</v>
      </c>
      <c r="G1800" s="20" t="n">
        <f aca="false">9-F1800</f>
        <v>0.252577273282643</v>
      </c>
      <c r="H1800" s="20" t="n">
        <f aca="false">IF(G1800&gt;=1,G1800,0)</f>
        <v>0</v>
      </c>
      <c r="I1800" s="5" t="s">
        <v>74</v>
      </c>
      <c r="J1800" s="5" t="s">
        <v>2384</v>
      </c>
    </row>
    <row r="1801" customFormat="false" ht="15" hidden="false" customHeight="false" outlineLevel="0" collapsed="false">
      <c r="A1801" s="5" t="s">
        <v>229</v>
      </c>
      <c r="B1801" s="5" t="s">
        <v>169</v>
      </c>
      <c r="C1801" s="5" t="n">
        <v>205</v>
      </c>
      <c r="D1801" s="5" t="s">
        <v>646</v>
      </c>
      <c r="E1801" s="5" t="n">
        <v>9</v>
      </c>
      <c r="F1801" s="20" t="n">
        <v>8.74742272671736</v>
      </c>
      <c r="G1801" s="20" t="n">
        <f aca="false">9-F1801</f>
        <v>0.252577273282643</v>
      </c>
      <c r="H1801" s="20" t="n">
        <f aca="false">IF(G1801&gt;=1,G1801,0)</f>
        <v>0</v>
      </c>
      <c r="I1801" s="5" t="s">
        <v>74</v>
      </c>
      <c r="J1801" s="5" t="s">
        <v>2385</v>
      </c>
    </row>
    <row r="1802" customFormat="false" ht="15" hidden="false" customHeight="false" outlineLevel="0" collapsed="false">
      <c r="A1802" s="5" t="s">
        <v>229</v>
      </c>
      <c r="B1802" s="5" t="s">
        <v>169</v>
      </c>
      <c r="C1802" s="5" t="n">
        <v>206</v>
      </c>
      <c r="D1802" s="5" t="s">
        <v>646</v>
      </c>
      <c r="E1802" s="5" t="n">
        <v>9</v>
      </c>
      <c r="F1802" s="20" t="n">
        <v>8.74742272671735</v>
      </c>
      <c r="G1802" s="20" t="n">
        <f aca="false">9-F1802</f>
        <v>0.25257727328265</v>
      </c>
      <c r="H1802" s="20" t="n">
        <f aca="false">IF(G1802&gt;=1,G1802,0)</f>
        <v>0</v>
      </c>
      <c r="I1802" s="5" t="s">
        <v>74</v>
      </c>
      <c r="J1802" s="5" t="s">
        <v>2386</v>
      </c>
    </row>
    <row r="1803" customFormat="false" ht="15" hidden="false" customHeight="false" outlineLevel="0" collapsed="false">
      <c r="A1803" s="5" t="s">
        <v>229</v>
      </c>
      <c r="B1803" s="5" t="s">
        <v>169</v>
      </c>
      <c r="C1803" s="5" t="n">
        <v>207</v>
      </c>
      <c r="D1803" s="5" t="s">
        <v>646</v>
      </c>
      <c r="E1803" s="5" t="n">
        <v>9</v>
      </c>
      <c r="F1803" s="20" t="n">
        <v>8.74742272671735</v>
      </c>
      <c r="G1803" s="20" t="n">
        <f aca="false">9-F1803</f>
        <v>0.25257727328265</v>
      </c>
      <c r="H1803" s="20" t="n">
        <f aca="false">IF(G1803&gt;=1,G1803,0)</f>
        <v>0</v>
      </c>
      <c r="I1803" s="5" t="s">
        <v>74</v>
      </c>
      <c r="J1803" s="5" t="s">
        <v>2387</v>
      </c>
    </row>
    <row r="1804" customFormat="false" ht="15" hidden="false" customHeight="false" outlineLevel="0" collapsed="false">
      <c r="A1804" s="5" t="s">
        <v>229</v>
      </c>
      <c r="B1804" s="5" t="s">
        <v>169</v>
      </c>
      <c r="C1804" s="5" t="n">
        <v>208</v>
      </c>
      <c r="D1804" s="5" t="s">
        <v>646</v>
      </c>
      <c r="E1804" s="5" t="n">
        <v>9</v>
      </c>
      <c r="F1804" s="20" t="n">
        <v>8.74742272671735</v>
      </c>
      <c r="G1804" s="20" t="n">
        <f aca="false">9-F1804</f>
        <v>0.252577273282652</v>
      </c>
      <c r="H1804" s="20" t="n">
        <f aca="false">IF(G1804&gt;=1,G1804,0)</f>
        <v>0</v>
      </c>
      <c r="I1804" s="5" t="s">
        <v>74</v>
      </c>
      <c r="J1804" s="5" t="s">
        <v>2388</v>
      </c>
    </row>
    <row r="1805" customFormat="false" ht="15" hidden="false" customHeight="false" outlineLevel="0" collapsed="false">
      <c r="A1805" s="5" t="s">
        <v>229</v>
      </c>
      <c r="B1805" s="5" t="s">
        <v>169</v>
      </c>
      <c r="C1805" s="5" t="n">
        <v>209</v>
      </c>
      <c r="D1805" s="5" t="s">
        <v>646</v>
      </c>
      <c r="E1805" s="5" t="n">
        <v>9</v>
      </c>
      <c r="F1805" s="20" t="n">
        <v>8.74742272671735</v>
      </c>
      <c r="G1805" s="20" t="n">
        <f aca="false">9-F1805</f>
        <v>0.252577273282652</v>
      </c>
      <c r="H1805" s="20" t="n">
        <f aca="false">IF(G1805&gt;=1,G1805,0)</f>
        <v>0</v>
      </c>
      <c r="I1805" s="5" t="s">
        <v>74</v>
      </c>
      <c r="J1805" s="5" t="s">
        <v>2389</v>
      </c>
    </row>
    <row r="1806" customFormat="false" ht="15" hidden="false" customHeight="false" outlineLevel="0" collapsed="false">
      <c r="A1806" s="5" t="s">
        <v>229</v>
      </c>
      <c r="B1806" s="5" t="s">
        <v>169</v>
      </c>
      <c r="C1806" s="5" t="n">
        <v>210</v>
      </c>
      <c r="D1806" s="5" t="s">
        <v>646</v>
      </c>
      <c r="E1806" s="5" t="n">
        <v>9</v>
      </c>
      <c r="F1806" s="20" t="n">
        <v>8.74742272671735</v>
      </c>
      <c r="G1806" s="20" t="n">
        <f aca="false">9-F1806</f>
        <v>0.252577273282654</v>
      </c>
      <c r="H1806" s="20" t="n">
        <f aca="false">IF(G1806&gt;=1,G1806,0)</f>
        <v>0</v>
      </c>
      <c r="I1806" s="5" t="s">
        <v>74</v>
      </c>
      <c r="J1806" s="5" t="s">
        <v>2390</v>
      </c>
    </row>
    <row r="1807" customFormat="false" ht="15" hidden="false" customHeight="false" outlineLevel="0" collapsed="false">
      <c r="A1807" s="5" t="s">
        <v>229</v>
      </c>
      <c r="B1807" s="5" t="s">
        <v>169</v>
      </c>
      <c r="C1807" s="5" t="n">
        <v>211</v>
      </c>
      <c r="D1807" s="5" t="s">
        <v>646</v>
      </c>
      <c r="E1807" s="5" t="n">
        <v>9</v>
      </c>
      <c r="F1807" s="20" t="n">
        <v>8.74742272671734</v>
      </c>
      <c r="G1807" s="20" t="n">
        <f aca="false">9-F1807</f>
        <v>0.252577273282663</v>
      </c>
      <c r="H1807" s="20" t="n">
        <f aca="false">IF(G1807&gt;=1,G1807,0)</f>
        <v>0</v>
      </c>
      <c r="I1807" s="5" t="s">
        <v>74</v>
      </c>
      <c r="J1807" s="5" t="s">
        <v>2391</v>
      </c>
    </row>
    <row r="1808" customFormat="false" ht="15" hidden="false" customHeight="false" outlineLevel="0" collapsed="false">
      <c r="A1808" s="5" t="s">
        <v>229</v>
      </c>
      <c r="B1808" s="5" t="s">
        <v>169</v>
      </c>
      <c r="C1808" s="5" t="n">
        <v>212</v>
      </c>
      <c r="D1808" s="5" t="s">
        <v>646</v>
      </c>
      <c r="E1808" s="5" t="n">
        <v>9</v>
      </c>
      <c r="F1808" s="20" t="n">
        <v>8.74742272671733</v>
      </c>
      <c r="G1808" s="20" t="n">
        <f aca="false">9-F1808</f>
        <v>0.252577273282666</v>
      </c>
      <c r="H1808" s="20" t="n">
        <f aca="false">IF(G1808&gt;=1,G1808,0)</f>
        <v>0</v>
      </c>
      <c r="I1808" s="5" t="s">
        <v>74</v>
      </c>
      <c r="J1808" s="5" t="s">
        <v>2392</v>
      </c>
    </row>
    <row r="1809" customFormat="false" ht="15" hidden="false" customHeight="false" outlineLevel="0" collapsed="false">
      <c r="A1809" s="5" t="s">
        <v>229</v>
      </c>
      <c r="B1809" s="5" t="s">
        <v>169</v>
      </c>
      <c r="C1809" s="5" t="n">
        <v>213</v>
      </c>
      <c r="D1809" s="5" t="s">
        <v>646</v>
      </c>
      <c r="E1809" s="5" t="n">
        <v>9</v>
      </c>
      <c r="F1809" s="20" t="n">
        <v>8.74742272671733</v>
      </c>
      <c r="G1809" s="20" t="n">
        <f aca="false">9-F1809</f>
        <v>0.252577273282672</v>
      </c>
      <c r="H1809" s="20" t="n">
        <f aca="false">IF(G1809&gt;=1,G1809,0)</f>
        <v>0</v>
      </c>
      <c r="I1809" s="5" t="s">
        <v>74</v>
      </c>
      <c r="J1809" s="5" t="s">
        <v>2393</v>
      </c>
    </row>
    <row r="1810" customFormat="false" ht="15" hidden="false" customHeight="false" outlineLevel="0" collapsed="false">
      <c r="A1810" s="5" t="s">
        <v>229</v>
      </c>
      <c r="B1810" s="5" t="s">
        <v>169</v>
      </c>
      <c r="C1810" s="5" t="n">
        <v>214</v>
      </c>
      <c r="D1810" s="5" t="s">
        <v>646</v>
      </c>
      <c r="E1810" s="5" t="n">
        <v>9</v>
      </c>
      <c r="F1810" s="20" t="n">
        <v>8.74742272671733</v>
      </c>
      <c r="G1810" s="20" t="n">
        <f aca="false">9-F1810</f>
        <v>0.252577273282673</v>
      </c>
      <c r="H1810" s="20" t="n">
        <f aca="false">IF(G1810&gt;=1,G1810,0)</f>
        <v>0</v>
      </c>
      <c r="I1810" s="5" t="s">
        <v>74</v>
      </c>
      <c r="J1810" s="5" t="s">
        <v>2394</v>
      </c>
    </row>
    <row r="1811" customFormat="false" ht="15" hidden="false" customHeight="false" outlineLevel="0" collapsed="false">
      <c r="A1811" s="5" t="s">
        <v>229</v>
      </c>
      <c r="B1811" s="5" t="s">
        <v>169</v>
      </c>
      <c r="C1811" s="5" t="n">
        <v>215</v>
      </c>
      <c r="D1811" s="5" t="s">
        <v>646</v>
      </c>
      <c r="E1811" s="5" t="n">
        <v>9</v>
      </c>
      <c r="F1811" s="20" t="n">
        <v>8.74742272671733</v>
      </c>
      <c r="G1811" s="20" t="n">
        <f aca="false">9-F1811</f>
        <v>0.252577273282673</v>
      </c>
      <c r="H1811" s="20" t="n">
        <f aca="false">IF(G1811&gt;=1,G1811,0)</f>
        <v>0</v>
      </c>
      <c r="I1811" s="5" t="s">
        <v>74</v>
      </c>
      <c r="J1811" s="5" t="s">
        <v>2395</v>
      </c>
    </row>
    <row r="1812" customFormat="false" ht="15" hidden="false" customHeight="false" outlineLevel="0" collapsed="false">
      <c r="A1812" s="5" t="s">
        <v>229</v>
      </c>
      <c r="B1812" s="5" t="s">
        <v>169</v>
      </c>
      <c r="C1812" s="5" t="n">
        <v>216</v>
      </c>
      <c r="D1812" s="5" t="s">
        <v>646</v>
      </c>
      <c r="E1812" s="5" t="n">
        <v>9</v>
      </c>
      <c r="F1812" s="20" t="n">
        <v>8.74742272671732</v>
      </c>
      <c r="G1812" s="20" t="n">
        <f aca="false">9-F1812</f>
        <v>0.252577273282682</v>
      </c>
      <c r="H1812" s="20" t="n">
        <f aca="false">IF(G1812&gt;=1,G1812,0)</f>
        <v>0</v>
      </c>
      <c r="I1812" s="5" t="s">
        <v>74</v>
      </c>
      <c r="J1812" s="5" t="s">
        <v>2396</v>
      </c>
    </row>
    <row r="1813" customFormat="false" ht="15" hidden="false" customHeight="false" outlineLevel="0" collapsed="false">
      <c r="A1813" s="5" t="s">
        <v>229</v>
      </c>
      <c r="B1813" s="5" t="s">
        <v>169</v>
      </c>
      <c r="C1813" s="5" t="n">
        <v>217</v>
      </c>
      <c r="D1813" s="5" t="s">
        <v>646</v>
      </c>
      <c r="E1813" s="5" t="n">
        <v>9</v>
      </c>
      <c r="F1813" s="20" t="n">
        <v>8.74742272671732</v>
      </c>
      <c r="G1813" s="20" t="n">
        <f aca="false">9-F1813</f>
        <v>0.252577273282684</v>
      </c>
      <c r="H1813" s="20" t="n">
        <f aca="false">IF(G1813&gt;=1,G1813,0)</f>
        <v>0</v>
      </c>
      <c r="I1813" s="5" t="s">
        <v>74</v>
      </c>
      <c r="J1813" s="5" t="s">
        <v>2397</v>
      </c>
    </row>
    <row r="1814" customFormat="false" ht="15" hidden="false" customHeight="false" outlineLevel="0" collapsed="false">
      <c r="A1814" s="5" t="s">
        <v>229</v>
      </c>
      <c r="B1814" s="5" t="s">
        <v>169</v>
      </c>
      <c r="C1814" s="5" t="n">
        <v>218</v>
      </c>
      <c r="D1814" s="5" t="s">
        <v>646</v>
      </c>
      <c r="E1814" s="5" t="n">
        <v>9</v>
      </c>
      <c r="F1814" s="20" t="n">
        <v>8.74742272671731</v>
      </c>
      <c r="G1814" s="20" t="n">
        <f aca="false">9-F1814</f>
        <v>0.252577273282686</v>
      </c>
      <c r="H1814" s="20" t="n">
        <f aca="false">IF(G1814&gt;=1,G1814,0)</f>
        <v>0</v>
      </c>
      <c r="I1814" s="5" t="s">
        <v>74</v>
      </c>
      <c r="J1814" s="5" t="s">
        <v>2398</v>
      </c>
    </row>
    <row r="1815" customFormat="false" ht="15" hidden="false" customHeight="false" outlineLevel="0" collapsed="false">
      <c r="A1815" s="5" t="s">
        <v>229</v>
      </c>
      <c r="B1815" s="5" t="s">
        <v>169</v>
      </c>
      <c r="C1815" s="5" t="n">
        <v>219</v>
      </c>
      <c r="D1815" s="5" t="s">
        <v>646</v>
      </c>
      <c r="E1815" s="5" t="n">
        <v>9</v>
      </c>
      <c r="F1815" s="20" t="n">
        <v>8.74742272671731</v>
      </c>
      <c r="G1815" s="20" t="n">
        <f aca="false">9-F1815</f>
        <v>0.252577273282686</v>
      </c>
      <c r="H1815" s="20" t="n">
        <f aca="false">IF(G1815&gt;=1,G1815,0)</f>
        <v>0</v>
      </c>
      <c r="I1815" s="5" t="s">
        <v>74</v>
      </c>
      <c r="J1815" s="5" t="s">
        <v>2399</v>
      </c>
    </row>
    <row r="1816" customFormat="false" ht="15" hidden="false" customHeight="false" outlineLevel="0" collapsed="false">
      <c r="A1816" s="5" t="s">
        <v>229</v>
      </c>
      <c r="B1816" s="5" t="s">
        <v>169</v>
      </c>
      <c r="C1816" s="5" t="n">
        <v>220</v>
      </c>
      <c r="D1816" s="5" t="s">
        <v>646</v>
      </c>
      <c r="E1816" s="5" t="n">
        <v>9</v>
      </c>
      <c r="F1816" s="20" t="n">
        <v>8.74742272671731</v>
      </c>
      <c r="G1816" s="20" t="n">
        <f aca="false">9-F1816</f>
        <v>0.252577273282689</v>
      </c>
      <c r="H1816" s="20" t="n">
        <f aca="false">IF(G1816&gt;=1,G1816,0)</f>
        <v>0</v>
      </c>
      <c r="I1816" s="5" t="s">
        <v>74</v>
      </c>
      <c r="J1816" s="5" t="s">
        <v>2400</v>
      </c>
    </row>
    <row r="1817" customFormat="false" ht="15" hidden="false" customHeight="false" outlineLevel="0" collapsed="false">
      <c r="A1817" s="5" t="s">
        <v>229</v>
      </c>
      <c r="B1817" s="5" t="s">
        <v>169</v>
      </c>
      <c r="C1817" s="5" t="n">
        <v>221</v>
      </c>
      <c r="D1817" s="5" t="s">
        <v>646</v>
      </c>
      <c r="E1817" s="5" t="n">
        <v>9</v>
      </c>
      <c r="F1817" s="20" t="n">
        <v>8.74742272671731</v>
      </c>
      <c r="G1817" s="20" t="n">
        <f aca="false">9-F1817</f>
        <v>0.252577273282689</v>
      </c>
      <c r="H1817" s="20" t="n">
        <f aca="false">IF(G1817&gt;=1,G1817,0)</f>
        <v>0</v>
      </c>
      <c r="I1817" s="5" t="s">
        <v>74</v>
      </c>
      <c r="J1817" s="5" t="s">
        <v>2401</v>
      </c>
    </row>
    <row r="1818" customFormat="false" ht="15" hidden="false" customHeight="false" outlineLevel="0" collapsed="false">
      <c r="A1818" s="5" t="s">
        <v>229</v>
      </c>
      <c r="B1818" s="5" t="s">
        <v>169</v>
      </c>
      <c r="C1818" s="5" t="n">
        <v>222</v>
      </c>
      <c r="D1818" s="5" t="s">
        <v>646</v>
      </c>
      <c r="E1818" s="5" t="n">
        <v>9</v>
      </c>
      <c r="F1818" s="20" t="n">
        <v>8.74742272671731</v>
      </c>
      <c r="G1818" s="20" t="n">
        <f aca="false">9-F1818</f>
        <v>0.252577273282691</v>
      </c>
      <c r="H1818" s="20" t="n">
        <f aca="false">IF(G1818&gt;=1,G1818,0)</f>
        <v>0</v>
      </c>
      <c r="I1818" s="5" t="s">
        <v>74</v>
      </c>
      <c r="J1818" s="5" t="s">
        <v>2402</v>
      </c>
    </row>
    <row r="1819" customFormat="false" ht="15" hidden="false" customHeight="false" outlineLevel="0" collapsed="false">
      <c r="A1819" s="5" t="s">
        <v>229</v>
      </c>
      <c r="B1819" s="5" t="s">
        <v>169</v>
      </c>
      <c r="C1819" s="5" t="n">
        <v>223</v>
      </c>
      <c r="D1819" s="5" t="s">
        <v>2403</v>
      </c>
      <c r="E1819" s="5" t="n">
        <v>10</v>
      </c>
      <c r="F1819" s="20" t="n">
        <v>8.61447020152651</v>
      </c>
      <c r="G1819" s="20" t="n">
        <f aca="false">9-F1819</f>
        <v>0.385529798473488</v>
      </c>
      <c r="H1819" s="20" t="n">
        <f aca="false">IF(G1819&gt;=1,G1819,0)</f>
        <v>0</v>
      </c>
      <c r="I1819" s="5" t="s">
        <v>74</v>
      </c>
      <c r="J1819" s="5" t="s">
        <v>2404</v>
      </c>
    </row>
    <row r="1820" customFormat="false" ht="15" hidden="false" customHeight="false" outlineLevel="0" collapsed="false">
      <c r="A1820" s="5" t="s">
        <v>229</v>
      </c>
      <c r="B1820" s="5" t="s">
        <v>169</v>
      </c>
      <c r="C1820" s="5" t="n">
        <v>224</v>
      </c>
      <c r="D1820" s="5" t="s">
        <v>664</v>
      </c>
      <c r="E1820" s="5" t="n">
        <v>13</v>
      </c>
      <c r="F1820" s="20" t="n">
        <v>8.74110391374032</v>
      </c>
      <c r="G1820" s="20" t="n">
        <f aca="false">9-F1820</f>
        <v>0.258896086259684</v>
      </c>
      <c r="H1820" s="20" t="n">
        <f aca="false">IF(G1820&gt;=1,G1820,0)</f>
        <v>0</v>
      </c>
      <c r="I1820" s="5" t="s">
        <v>74</v>
      </c>
      <c r="J1820" s="5" t="s">
        <v>2405</v>
      </c>
    </row>
    <row r="1821" customFormat="false" ht="15" hidden="false" customHeight="false" outlineLevel="0" collapsed="false">
      <c r="A1821" s="5" t="s">
        <v>229</v>
      </c>
      <c r="B1821" s="5" t="s">
        <v>169</v>
      </c>
      <c r="C1821" s="5" t="n">
        <v>225</v>
      </c>
      <c r="D1821" s="5" t="s">
        <v>664</v>
      </c>
      <c r="E1821" s="5" t="n">
        <v>13</v>
      </c>
      <c r="F1821" s="20" t="n">
        <v>8.74110391374032</v>
      </c>
      <c r="G1821" s="20" t="n">
        <f aca="false">9-F1821</f>
        <v>0.258896086259684</v>
      </c>
      <c r="H1821" s="20" t="n">
        <f aca="false">IF(G1821&gt;=1,G1821,0)</f>
        <v>0</v>
      </c>
      <c r="I1821" s="5" t="s">
        <v>74</v>
      </c>
      <c r="J1821" s="5" t="s">
        <v>2406</v>
      </c>
    </row>
    <row r="1822" customFormat="false" ht="15" hidden="false" customHeight="false" outlineLevel="0" collapsed="false">
      <c r="A1822" s="5" t="s">
        <v>229</v>
      </c>
      <c r="B1822" s="5" t="s">
        <v>169</v>
      </c>
      <c r="C1822" s="5" t="n">
        <v>226</v>
      </c>
      <c r="D1822" s="5" t="s">
        <v>664</v>
      </c>
      <c r="E1822" s="5" t="n">
        <v>13</v>
      </c>
      <c r="F1822" s="20" t="n">
        <v>8.74110391374032</v>
      </c>
      <c r="G1822" s="20" t="n">
        <f aca="false">9-F1822</f>
        <v>0.258896086259684</v>
      </c>
      <c r="H1822" s="20" t="n">
        <f aca="false">IF(G1822&gt;=1,G1822,0)</f>
        <v>0</v>
      </c>
      <c r="I1822" s="5" t="s">
        <v>74</v>
      </c>
      <c r="J1822" s="5" t="s">
        <v>2407</v>
      </c>
    </row>
    <row r="1823" customFormat="false" ht="15" hidden="false" customHeight="false" outlineLevel="0" collapsed="false">
      <c r="A1823" s="5" t="s">
        <v>229</v>
      </c>
      <c r="B1823" s="5" t="s">
        <v>169</v>
      </c>
      <c r="C1823" s="5" t="n">
        <v>227</v>
      </c>
      <c r="D1823" s="5" t="s">
        <v>664</v>
      </c>
      <c r="E1823" s="5" t="n">
        <v>13</v>
      </c>
      <c r="F1823" s="20" t="n">
        <v>8.74110391374032</v>
      </c>
      <c r="G1823" s="20" t="n">
        <f aca="false">9-F1823</f>
        <v>0.258896086259684</v>
      </c>
      <c r="H1823" s="20" t="n">
        <f aca="false">IF(G1823&gt;=1,G1823,0)</f>
        <v>0</v>
      </c>
      <c r="I1823" s="5" t="s">
        <v>74</v>
      </c>
      <c r="J1823" s="5" t="s">
        <v>2408</v>
      </c>
    </row>
    <row r="1824" customFormat="false" ht="15" hidden="false" customHeight="false" outlineLevel="0" collapsed="false">
      <c r="A1824" s="5" t="s">
        <v>229</v>
      </c>
      <c r="B1824" s="5" t="s">
        <v>169</v>
      </c>
      <c r="C1824" s="5" t="n">
        <v>228</v>
      </c>
      <c r="D1824" s="5" t="s">
        <v>664</v>
      </c>
      <c r="E1824" s="5" t="n">
        <v>13</v>
      </c>
      <c r="F1824" s="20" t="n">
        <v>8.74110391374032</v>
      </c>
      <c r="G1824" s="20" t="n">
        <f aca="false">9-F1824</f>
        <v>0.258896086259684</v>
      </c>
      <c r="H1824" s="20" t="n">
        <f aca="false">IF(G1824&gt;=1,G1824,0)</f>
        <v>0</v>
      </c>
      <c r="I1824" s="5" t="s">
        <v>74</v>
      </c>
      <c r="J1824" s="5" t="s">
        <v>2409</v>
      </c>
    </row>
    <row r="1825" customFormat="false" ht="15" hidden="false" customHeight="false" outlineLevel="0" collapsed="false">
      <c r="A1825" s="5" t="s">
        <v>229</v>
      </c>
      <c r="B1825" s="5" t="s">
        <v>169</v>
      </c>
      <c r="C1825" s="5" t="n">
        <v>229</v>
      </c>
      <c r="D1825" s="5" t="s">
        <v>664</v>
      </c>
      <c r="E1825" s="5" t="n">
        <v>13</v>
      </c>
      <c r="F1825" s="20" t="n">
        <v>8.74110391374032</v>
      </c>
      <c r="G1825" s="20" t="n">
        <f aca="false">9-F1825</f>
        <v>0.258896086259684</v>
      </c>
      <c r="H1825" s="20" t="n">
        <f aca="false">IF(G1825&gt;=1,G1825,0)</f>
        <v>0</v>
      </c>
      <c r="I1825" s="5" t="s">
        <v>74</v>
      </c>
      <c r="J1825" s="5" t="s">
        <v>2410</v>
      </c>
    </row>
    <row r="1826" customFormat="false" ht="15" hidden="false" customHeight="false" outlineLevel="0" collapsed="false">
      <c r="A1826" s="5" t="s">
        <v>229</v>
      </c>
      <c r="B1826" s="5" t="s">
        <v>169</v>
      </c>
      <c r="C1826" s="5" t="n">
        <v>230</v>
      </c>
      <c r="D1826" s="5" t="s">
        <v>664</v>
      </c>
      <c r="E1826" s="5" t="n">
        <v>13</v>
      </c>
      <c r="F1826" s="20" t="n">
        <v>8.74110391374032</v>
      </c>
      <c r="G1826" s="20" t="n">
        <f aca="false">9-F1826</f>
        <v>0.258896086259684</v>
      </c>
      <c r="H1826" s="20" t="n">
        <f aca="false">IF(G1826&gt;=1,G1826,0)</f>
        <v>0</v>
      </c>
      <c r="I1826" s="5" t="s">
        <v>74</v>
      </c>
      <c r="J1826" s="5" t="s">
        <v>2411</v>
      </c>
    </row>
    <row r="1827" customFormat="false" ht="15" hidden="false" customHeight="false" outlineLevel="0" collapsed="false">
      <c r="A1827" s="5" t="s">
        <v>229</v>
      </c>
      <c r="B1827" s="5" t="s">
        <v>169</v>
      </c>
      <c r="C1827" s="5" t="n">
        <v>231</v>
      </c>
      <c r="D1827" s="5" t="s">
        <v>664</v>
      </c>
      <c r="E1827" s="5" t="n">
        <v>13</v>
      </c>
      <c r="F1827" s="20" t="n">
        <v>8.74110391374031</v>
      </c>
      <c r="G1827" s="20" t="n">
        <f aca="false">9-F1827</f>
        <v>0.258896086259686</v>
      </c>
      <c r="H1827" s="20" t="n">
        <f aca="false">IF(G1827&gt;=1,G1827,0)</f>
        <v>0</v>
      </c>
      <c r="I1827" s="5" t="s">
        <v>74</v>
      </c>
      <c r="J1827" s="5" t="s">
        <v>2412</v>
      </c>
    </row>
    <row r="1828" customFormat="false" ht="15" hidden="false" customHeight="false" outlineLevel="0" collapsed="false">
      <c r="A1828" s="5" t="s">
        <v>229</v>
      </c>
      <c r="B1828" s="5" t="s">
        <v>169</v>
      </c>
      <c r="C1828" s="5" t="n">
        <v>232</v>
      </c>
      <c r="D1828" s="5" t="s">
        <v>664</v>
      </c>
      <c r="E1828" s="5" t="n">
        <v>13</v>
      </c>
      <c r="F1828" s="20" t="n">
        <v>8.74110391374031</v>
      </c>
      <c r="G1828" s="20" t="n">
        <f aca="false">9-F1828</f>
        <v>0.258896086259686</v>
      </c>
      <c r="H1828" s="20" t="n">
        <f aca="false">IF(G1828&gt;=1,G1828,0)</f>
        <v>0</v>
      </c>
      <c r="I1828" s="5" t="s">
        <v>74</v>
      </c>
      <c r="J1828" s="5" t="s">
        <v>2413</v>
      </c>
    </row>
    <row r="1829" customFormat="false" ht="15" hidden="false" customHeight="false" outlineLevel="0" collapsed="false">
      <c r="A1829" s="5" t="s">
        <v>229</v>
      </c>
      <c r="B1829" s="5" t="s">
        <v>169</v>
      </c>
      <c r="C1829" s="5" t="n">
        <v>233</v>
      </c>
      <c r="D1829" s="5" t="s">
        <v>664</v>
      </c>
      <c r="E1829" s="5" t="n">
        <v>13</v>
      </c>
      <c r="F1829" s="20" t="n">
        <v>8.74110391374031</v>
      </c>
      <c r="G1829" s="20" t="n">
        <f aca="false">9-F1829</f>
        <v>0.258896086259686</v>
      </c>
      <c r="H1829" s="20" t="n">
        <f aca="false">IF(G1829&gt;=1,G1829,0)</f>
        <v>0</v>
      </c>
      <c r="I1829" s="5" t="s">
        <v>74</v>
      </c>
      <c r="J1829" s="5" t="s">
        <v>2414</v>
      </c>
    </row>
    <row r="1830" customFormat="false" ht="15" hidden="false" customHeight="false" outlineLevel="0" collapsed="false">
      <c r="A1830" s="5" t="s">
        <v>229</v>
      </c>
      <c r="B1830" s="5" t="s">
        <v>169</v>
      </c>
      <c r="C1830" s="5" t="n">
        <v>234</v>
      </c>
      <c r="D1830" s="5" t="s">
        <v>664</v>
      </c>
      <c r="E1830" s="5" t="n">
        <v>13</v>
      </c>
      <c r="F1830" s="20" t="n">
        <v>8.74110391374031</v>
      </c>
      <c r="G1830" s="20" t="n">
        <f aca="false">9-F1830</f>
        <v>0.258896086259686</v>
      </c>
      <c r="H1830" s="20" t="n">
        <f aca="false">IF(G1830&gt;=1,G1830,0)</f>
        <v>0</v>
      </c>
      <c r="I1830" s="5" t="s">
        <v>74</v>
      </c>
      <c r="J1830" s="5" t="s">
        <v>2415</v>
      </c>
    </row>
    <row r="1831" customFormat="false" ht="15" hidden="false" customHeight="false" outlineLevel="0" collapsed="false">
      <c r="A1831" s="5" t="s">
        <v>229</v>
      </c>
      <c r="B1831" s="5" t="s">
        <v>169</v>
      </c>
      <c r="C1831" s="5" t="n">
        <v>235</v>
      </c>
      <c r="D1831" s="5" t="s">
        <v>2416</v>
      </c>
      <c r="E1831" s="5" t="n">
        <v>19</v>
      </c>
      <c r="F1831" s="20" t="n">
        <v>8.97411148931279</v>
      </c>
      <c r="G1831" s="20" t="n">
        <f aca="false">9-F1831</f>
        <v>0.02588851068721</v>
      </c>
      <c r="H1831" s="20" t="n">
        <f aca="false">IF(G1831&gt;=1,G1831,0)</f>
        <v>0</v>
      </c>
      <c r="I1831" s="5" t="s">
        <v>74</v>
      </c>
      <c r="J1831" s="5" t="s">
        <v>2417</v>
      </c>
    </row>
    <row r="1832" customFormat="false" ht="15" hidden="false" customHeight="false" outlineLevel="0" collapsed="false">
      <c r="A1832" s="5" t="s">
        <v>229</v>
      </c>
      <c r="B1832" s="5" t="s">
        <v>169</v>
      </c>
      <c r="C1832" s="5" t="n">
        <v>236</v>
      </c>
      <c r="D1832" s="5" t="s">
        <v>674</v>
      </c>
      <c r="E1832" s="5" t="n">
        <v>22</v>
      </c>
      <c r="F1832" s="20" t="n">
        <v>8.63585277709904</v>
      </c>
      <c r="G1832" s="20" t="n">
        <f aca="false">9-F1832</f>
        <v>0.364147222900964</v>
      </c>
      <c r="H1832" s="20" t="n">
        <f aca="false">IF(G1832&gt;=1,G1832,0)</f>
        <v>0</v>
      </c>
      <c r="I1832" s="5" t="s">
        <v>74</v>
      </c>
      <c r="J1832" s="5" t="s">
        <v>2418</v>
      </c>
    </row>
    <row r="1833" customFormat="false" ht="15" hidden="false" customHeight="false" outlineLevel="0" collapsed="false">
      <c r="A1833" s="5" t="s">
        <v>229</v>
      </c>
      <c r="B1833" s="5" t="s">
        <v>169</v>
      </c>
      <c r="C1833" s="5" t="n">
        <v>237</v>
      </c>
      <c r="D1833" s="5" t="s">
        <v>674</v>
      </c>
      <c r="E1833" s="5" t="n">
        <v>22</v>
      </c>
      <c r="F1833" s="20" t="n">
        <v>8.63585277709904</v>
      </c>
      <c r="G1833" s="20" t="n">
        <f aca="false">9-F1833</f>
        <v>0.364147222900964</v>
      </c>
      <c r="H1833" s="20" t="n">
        <f aca="false">IF(G1833&gt;=1,G1833,0)</f>
        <v>0</v>
      </c>
      <c r="I1833" s="5" t="s">
        <v>74</v>
      </c>
      <c r="J1833" s="5" t="s">
        <v>2419</v>
      </c>
    </row>
    <row r="1834" customFormat="false" ht="15" hidden="false" customHeight="false" outlineLevel="0" collapsed="false">
      <c r="A1834" s="5" t="s">
        <v>229</v>
      </c>
      <c r="B1834" s="5" t="s">
        <v>169</v>
      </c>
      <c r="C1834" s="5" t="n">
        <v>238</v>
      </c>
      <c r="D1834" s="5" t="s">
        <v>674</v>
      </c>
      <c r="E1834" s="5" t="n">
        <v>22</v>
      </c>
      <c r="F1834" s="20" t="n">
        <v>8.63585277709904</v>
      </c>
      <c r="G1834" s="20" t="n">
        <f aca="false">9-F1834</f>
        <v>0.364147222900964</v>
      </c>
      <c r="H1834" s="20" t="n">
        <f aca="false">IF(G1834&gt;=1,G1834,0)</f>
        <v>0</v>
      </c>
      <c r="I1834" s="5" t="s">
        <v>74</v>
      </c>
      <c r="J1834" s="5" t="s">
        <v>2420</v>
      </c>
    </row>
    <row r="1835" customFormat="false" ht="15" hidden="false" customHeight="false" outlineLevel="0" collapsed="false">
      <c r="A1835" s="5" t="s">
        <v>229</v>
      </c>
      <c r="B1835" s="5" t="s">
        <v>169</v>
      </c>
      <c r="C1835" s="5" t="n">
        <v>239</v>
      </c>
      <c r="D1835" s="5" t="s">
        <v>674</v>
      </c>
      <c r="E1835" s="5" t="n">
        <v>22</v>
      </c>
      <c r="F1835" s="20" t="n">
        <v>8.63585277709904</v>
      </c>
      <c r="G1835" s="20" t="n">
        <f aca="false">9-F1835</f>
        <v>0.364147222900964</v>
      </c>
      <c r="H1835" s="20" t="n">
        <f aca="false">IF(G1835&gt;=1,G1835,0)</f>
        <v>0</v>
      </c>
      <c r="I1835" s="5" t="s">
        <v>74</v>
      </c>
      <c r="J1835" s="5" t="s">
        <v>2421</v>
      </c>
    </row>
    <row r="1836" customFormat="false" ht="15" hidden="false" customHeight="false" outlineLevel="0" collapsed="false">
      <c r="A1836" s="5" t="s">
        <v>229</v>
      </c>
      <c r="B1836" s="5" t="s">
        <v>169</v>
      </c>
      <c r="C1836" s="5" t="n">
        <v>240</v>
      </c>
      <c r="D1836" s="5" t="s">
        <v>674</v>
      </c>
      <c r="E1836" s="5" t="n">
        <v>22</v>
      </c>
      <c r="F1836" s="20" t="n">
        <v>8.63585277709904</v>
      </c>
      <c r="G1836" s="20" t="n">
        <f aca="false">9-F1836</f>
        <v>0.364147222900964</v>
      </c>
      <c r="H1836" s="20" t="n">
        <f aca="false">IF(G1836&gt;=1,G1836,0)</f>
        <v>0</v>
      </c>
      <c r="I1836" s="5" t="s">
        <v>74</v>
      </c>
      <c r="J1836" s="5" t="s">
        <v>2422</v>
      </c>
    </row>
    <row r="1837" customFormat="false" ht="15" hidden="false" customHeight="false" outlineLevel="0" collapsed="false">
      <c r="A1837" s="5" t="s">
        <v>229</v>
      </c>
      <c r="B1837" s="5" t="s">
        <v>169</v>
      </c>
      <c r="C1837" s="5" t="n">
        <v>241</v>
      </c>
      <c r="D1837" s="5" t="s">
        <v>674</v>
      </c>
      <c r="E1837" s="5" t="n">
        <v>22</v>
      </c>
      <c r="F1837" s="20" t="n">
        <v>8.63585277709904</v>
      </c>
      <c r="G1837" s="20" t="n">
        <f aca="false">9-F1837</f>
        <v>0.364147222900964</v>
      </c>
      <c r="H1837" s="20" t="n">
        <f aca="false">IF(G1837&gt;=1,G1837,0)</f>
        <v>0</v>
      </c>
      <c r="I1837" s="5" t="s">
        <v>74</v>
      </c>
      <c r="J1837" s="5" t="s">
        <v>2423</v>
      </c>
    </row>
    <row r="1838" customFormat="false" ht="15" hidden="false" customHeight="false" outlineLevel="0" collapsed="false">
      <c r="A1838" s="5" t="s">
        <v>229</v>
      </c>
      <c r="B1838" s="5" t="s">
        <v>169</v>
      </c>
      <c r="C1838" s="5" t="n">
        <v>242</v>
      </c>
      <c r="D1838" s="5" t="s">
        <v>674</v>
      </c>
      <c r="E1838" s="5" t="n">
        <v>22</v>
      </c>
      <c r="F1838" s="20" t="n">
        <v>8.63585277709904</v>
      </c>
      <c r="G1838" s="20" t="n">
        <f aca="false">9-F1838</f>
        <v>0.364147222900964</v>
      </c>
      <c r="H1838" s="20" t="n">
        <f aca="false">IF(G1838&gt;=1,G1838,0)</f>
        <v>0</v>
      </c>
      <c r="I1838" s="5" t="s">
        <v>74</v>
      </c>
      <c r="J1838" s="5" t="s">
        <v>2424</v>
      </c>
    </row>
    <row r="1839" customFormat="false" ht="15" hidden="false" customHeight="false" outlineLevel="0" collapsed="false">
      <c r="A1839" s="5" t="s">
        <v>229</v>
      </c>
      <c r="B1839" s="5" t="s">
        <v>169</v>
      </c>
      <c r="C1839" s="5" t="n">
        <v>243</v>
      </c>
      <c r="D1839" s="5" t="s">
        <v>674</v>
      </c>
      <c r="E1839" s="5" t="n">
        <v>22</v>
      </c>
      <c r="F1839" s="20" t="n">
        <v>8.63585277709904</v>
      </c>
      <c r="G1839" s="20" t="n">
        <f aca="false">9-F1839</f>
        <v>0.364147222900964</v>
      </c>
      <c r="H1839" s="20" t="n">
        <f aca="false">IF(G1839&gt;=1,G1839,0)</f>
        <v>0</v>
      </c>
      <c r="I1839" s="5" t="s">
        <v>74</v>
      </c>
      <c r="J1839" s="5" t="s">
        <v>2425</v>
      </c>
    </row>
    <row r="1840" customFormat="false" ht="15" hidden="false" customHeight="false" outlineLevel="0" collapsed="false">
      <c r="A1840" s="5" t="s">
        <v>229</v>
      </c>
      <c r="B1840" s="5" t="s">
        <v>169</v>
      </c>
      <c r="C1840" s="5" t="n">
        <v>244</v>
      </c>
      <c r="D1840" s="5" t="s">
        <v>674</v>
      </c>
      <c r="E1840" s="5" t="n">
        <v>22</v>
      </c>
      <c r="F1840" s="20" t="n">
        <v>8.63585277709904</v>
      </c>
      <c r="G1840" s="20" t="n">
        <f aca="false">9-F1840</f>
        <v>0.364147222900964</v>
      </c>
      <c r="H1840" s="20" t="n">
        <f aca="false">IF(G1840&gt;=1,G1840,0)</f>
        <v>0</v>
      </c>
      <c r="I1840" s="5" t="s">
        <v>74</v>
      </c>
      <c r="J1840" s="5" t="s">
        <v>2426</v>
      </c>
    </row>
    <row r="1841" customFormat="false" ht="15" hidden="false" customHeight="false" outlineLevel="0" collapsed="false">
      <c r="A1841" s="5" t="s">
        <v>229</v>
      </c>
      <c r="B1841" s="5" t="s">
        <v>169</v>
      </c>
      <c r="C1841" s="5" t="n">
        <v>245</v>
      </c>
      <c r="D1841" s="5" t="s">
        <v>674</v>
      </c>
      <c r="E1841" s="5" t="n">
        <v>22</v>
      </c>
      <c r="F1841" s="20" t="n">
        <v>8.63585277709904</v>
      </c>
      <c r="G1841" s="20" t="n">
        <f aca="false">9-F1841</f>
        <v>0.364147222900964</v>
      </c>
      <c r="H1841" s="20" t="n">
        <f aca="false">IF(G1841&gt;=1,G1841,0)</f>
        <v>0</v>
      </c>
      <c r="I1841" s="5" t="s">
        <v>74</v>
      </c>
      <c r="J1841" s="5" t="s">
        <v>2427</v>
      </c>
    </row>
    <row r="1842" customFormat="false" ht="15" hidden="false" customHeight="false" outlineLevel="0" collapsed="false">
      <c r="A1842" s="5" t="s">
        <v>229</v>
      </c>
      <c r="B1842" s="5" t="s">
        <v>169</v>
      </c>
      <c r="C1842" s="5" t="n">
        <v>246</v>
      </c>
      <c r="D1842" s="5" t="s">
        <v>674</v>
      </c>
      <c r="E1842" s="5" t="n">
        <v>22</v>
      </c>
      <c r="F1842" s="20" t="n">
        <v>8.63585277709904</v>
      </c>
      <c r="G1842" s="20" t="n">
        <f aca="false">9-F1842</f>
        <v>0.364147222900964</v>
      </c>
      <c r="H1842" s="20" t="n">
        <f aca="false">IF(G1842&gt;=1,G1842,0)</f>
        <v>0</v>
      </c>
      <c r="I1842" s="5" t="s">
        <v>74</v>
      </c>
      <c r="J1842" s="5" t="s">
        <v>2428</v>
      </c>
    </row>
    <row r="1843" customFormat="false" ht="15" hidden="false" customHeight="false" outlineLevel="0" collapsed="false">
      <c r="A1843" s="5" t="s">
        <v>229</v>
      </c>
      <c r="B1843" s="5" t="s">
        <v>169</v>
      </c>
      <c r="C1843" s="5" t="n">
        <v>247</v>
      </c>
      <c r="D1843" s="5" t="s">
        <v>2429</v>
      </c>
      <c r="E1843" s="5" t="n">
        <v>15</v>
      </c>
      <c r="F1843" s="20" t="n">
        <v>5.88808143893116</v>
      </c>
      <c r="G1843" s="20" t="n">
        <f aca="false">9-F1843</f>
        <v>3.11191856106884</v>
      </c>
      <c r="H1843" s="20" t="n">
        <f aca="false">IF(G1843&gt;=1,G1843,0)</f>
        <v>3.11191856106884</v>
      </c>
      <c r="I1843" s="5" t="s">
        <v>74</v>
      </c>
      <c r="J1843" s="5" t="s">
        <v>2430</v>
      </c>
    </row>
    <row r="1844" customFormat="false" ht="15" hidden="false" customHeight="false" outlineLevel="0" collapsed="false">
      <c r="A1844" s="5" t="s">
        <v>229</v>
      </c>
      <c r="B1844" s="5" t="s">
        <v>170</v>
      </c>
      <c r="C1844" s="5" t="n">
        <v>1</v>
      </c>
      <c r="D1844" s="5" t="s">
        <v>1223</v>
      </c>
      <c r="E1844" s="5" t="n">
        <v>2</v>
      </c>
      <c r="F1844" s="20" t="n">
        <v>8.91367676547286</v>
      </c>
      <c r="G1844" s="20" t="n">
        <f aca="false">9-F1844</f>
        <v>0.0863232345271427</v>
      </c>
      <c r="H1844" s="20" t="n">
        <f aca="false">IF(G1844&gt;=1,G1844,0)</f>
        <v>0</v>
      </c>
      <c r="I1844" s="5" t="s">
        <v>774</v>
      </c>
      <c r="J1844" s="5" t="s">
        <v>2431</v>
      </c>
    </row>
    <row r="1845" customFormat="false" ht="15" hidden="false" customHeight="false" outlineLevel="0" collapsed="false">
      <c r="A1845" s="5" t="s">
        <v>229</v>
      </c>
      <c r="B1845" s="5" t="s">
        <v>170</v>
      </c>
      <c r="C1845" s="5" t="n">
        <v>2</v>
      </c>
      <c r="D1845" s="5" t="s">
        <v>1225</v>
      </c>
      <c r="E1845" s="5" t="n">
        <v>2</v>
      </c>
      <c r="F1845" s="20" t="n">
        <v>8.88356923859114</v>
      </c>
      <c r="G1845" s="20" t="n">
        <f aca="false">9-F1845</f>
        <v>0.116430761408859</v>
      </c>
      <c r="H1845" s="20" t="n">
        <f aca="false">IF(G1845&gt;=1,G1845,0)</f>
        <v>0</v>
      </c>
      <c r="I1845" s="5" t="s">
        <v>774</v>
      </c>
      <c r="J1845" s="5" t="s">
        <v>2432</v>
      </c>
    </row>
    <row r="1846" customFormat="false" ht="15" hidden="false" customHeight="false" outlineLevel="0" collapsed="false">
      <c r="A1846" s="5" t="s">
        <v>229</v>
      </c>
      <c r="B1846" s="5" t="s">
        <v>170</v>
      </c>
      <c r="C1846" s="5" t="n">
        <v>3</v>
      </c>
      <c r="D1846" s="5" t="s">
        <v>1227</v>
      </c>
      <c r="E1846" s="5" t="n">
        <v>2</v>
      </c>
      <c r="F1846" s="20" t="n">
        <v>8.85346171170941</v>
      </c>
      <c r="G1846" s="20" t="n">
        <f aca="false">9-F1846</f>
        <v>0.146538288290586</v>
      </c>
      <c r="H1846" s="20" t="n">
        <f aca="false">IF(G1846&gt;=1,G1846,0)</f>
        <v>0</v>
      </c>
      <c r="I1846" s="5" t="s">
        <v>774</v>
      </c>
      <c r="J1846" s="5" t="s">
        <v>2433</v>
      </c>
    </row>
    <row r="1847" customFormat="false" ht="15" hidden="false" customHeight="false" outlineLevel="0" collapsed="false">
      <c r="A1847" s="5" t="s">
        <v>229</v>
      </c>
      <c r="B1847" s="5" t="s">
        <v>170</v>
      </c>
      <c r="C1847" s="5" t="n">
        <v>4</v>
      </c>
      <c r="D1847" s="5" t="s">
        <v>1229</v>
      </c>
      <c r="E1847" s="5" t="n">
        <v>1</v>
      </c>
      <c r="F1847" s="20" t="n">
        <v>7.225</v>
      </c>
      <c r="G1847" s="20" t="n">
        <f aca="false">9-F1847</f>
        <v>1.775</v>
      </c>
      <c r="H1847" s="20" t="n">
        <f aca="false">IF(G1847&gt;=1,G1847,0)</f>
        <v>1.775</v>
      </c>
      <c r="I1847" s="5" t="s">
        <v>774</v>
      </c>
      <c r="J1847" s="5" t="s">
        <v>2434</v>
      </c>
    </row>
    <row r="1848" customFormat="false" ht="15" hidden="false" customHeight="false" outlineLevel="0" collapsed="false">
      <c r="A1848" s="5" t="s">
        <v>229</v>
      </c>
      <c r="B1848" s="5" t="s">
        <v>170</v>
      </c>
      <c r="C1848" s="5" t="n">
        <v>5</v>
      </c>
      <c r="D1848" s="5" t="s">
        <v>1231</v>
      </c>
      <c r="E1848" s="5" t="n">
        <v>1</v>
      </c>
      <c r="F1848" s="20" t="n">
        <v>7.225</v>
      </c>
      <c r="G1848" s="20" t="n">
        <f aca="false">9-F1848</f>
        <v>1.775</v>
      </c>
      <c r="H1848" s="20" t="n">
        <f aca="false">IF(G1848&gt;=1,G1848,0)</f>
        <v>1.775</v>
      </c>
      <c r="I1848" s="5" t="s">
        <v>774</v>
      </c>
      <c r="J1848" s="5" t="s">
        <v>2435</v>
      </c>
    </row>
    <row r="1849" customFormat="false" ht="15" hidden="false" customHeight="false" outlineLevel="0" collapsed="false">
      <c r="A1849" s="5" t="s">
        <v>229</v>
      </c>
      <c r="B1849" s="5" t="s">
        <v>170</v>
      </c>
      <c r="C1849" s="5" t="n">
        <v>6</v>
      </c>
      <c r="D1849" s="5" t="s">
        <v>1231</v>
      </c>
      <c r="E1849" s="5" t="n">
        <v>1</v>
      </c>
      <c r="F1849" s="20" t="n">
        <v>7.225</v>
      </c>
      <c r="G1849" s="20" t="n">
        <f aca="false">9-F1849</f>
        <v>1.775</v>
      </c>
      <c r="H1849" s="20" t="n">
        <f aca="false">IF(G1849&gt;=1,G1849,0)</f>
        <v>1.775</v>
      </c>
      <c r="I1849" s="5" t="s">
        <v>774</v>
      </c>
      <c r="J1849" s="5" t="s">
        <v>2436</v>
      </c>
    </row>
    <row r="1850" customFormat="false" ht="15" hidden="false" customHeight="false" outlineLevel="0" collapsed="false">
      <c r="A1850" s="5" t="s">
        <v>229</v>
      </c>
      <c r="B1850" s="5" t="s">
        <v>170</v>
      </c>
      <c r="C1850" s="5" t="n">
        <v>7</v>
      </c>
      <c r="D1850" s="5" t="s">
        <v>1231</v>
      </c>
      <c r="E1850" s="5" t="n">
        <v>1</v>
      </c>
      <c r="F1850" s="20" t="n">
        <v>7.225</v>
      </c>
      <c r="G1850" s="20" t="n">
        <f aca="false">9-F1850</f>
        <v>1.775</v>
      </c>
      <c r="H1850" s="20" t="n">
        <f aca="false">IF(G1850&gt;=1,G1850,0)</f>
        <v>1.775</v>
      </c>
      <c r="I1850" s="5" t="s">
        <v>774</v>
      </c>
      <c r="J1850" s="5" t="s">
        <v>2437</v>
      </c>
    </row>
    <row r="1851" customFormat="false" ht="15" hidden="false" customHeight="false" outlineLevel="0" collapsed="false">
      <c r="A1851" s="5" t="s">
        <v>229</v>
      </c>
      <c r="B1851" s="5" t="s">
        <v>170</v>
      </c>
      <c r="C1851" s="5" t="n">
        <v>8</v>
      </c>
      <c r="D1851" s="5" t="s">
        <v>1235</v>
      </c>
      <c r="E1851" s="5" t="n">
        <v>2</v>
      </c>
      <c r="F1851" s="20" t="n">
        <v>8.99011034913166</v>
      </c>
      <c r="G1851" s="20" t="n">
        <f aca="false">9-F1851</f>
        <v>0.00988965086834526</v>
      </c>
      <c r="H1851" s="20" t="n">
        <f aca="false">IF(G1851&gt;=1,G1851,0)</f>
        <v>0</v>
      </c>
      <c r="I1851" s="5" t="s">
        <v>774</v>
      </c>
      <c r="J1851" s="5" t="s">
        <v>2438</v>
      </c>
    </row>
    <row r="1852" customFormat="false" ht="15" hidden="false" customHeight="false" outlineLevel="0" collapsed="false">
      <c r="A1852" s="5" t="s">
        <v>229</v>
      </c>
      <c r="B1852" s="5" t="s">
        <v>170</v>
      </c>
      <c r="C1852" s="5" t="n">
        <v>9</v>
      </c>
      <c r="D1852" s="5" t="s">
        <v>1237</v>
      </c>
      <c r="E1852" s="5" t="n">
        <v>2</v>
      </c>
      <c r="F1852" s="20" t="n">
        <v>8.99011034913165</v>
      </c>
      <c r="G1852" s="20" t="n">
        <f aca="false">9-F1852</f>
        <v>0.00988965086834881</v>
      </c>
      <c r="H1852" s="20" t="n">
        <f aca="false">IF(G1852&gt;=1,G1852,0)</f>
        <v>0</v>
      </c>
      <c r="I1852" s="5" t="s">
        <v>774</v>
      </c>
      <c r="J1852" s="5" t="s">
        <v>2439</v>
      </c>
    </row>
    <row r="1853" customFormat="false" ht="15" hidden="false" customHeight="false" outlineLevel="0" collapsed="false">
      <c r="A1853" s="5" t="s">
        <v>229</v>
      </c>
      <c r="B1853" s="5" t="s">
        <v>170</v>
      </c>
      <c r="C1853" s="5" t="n">
        <v>10</v>
      </c>
      <c r="D1853" s="5" t="s">
        <v>1239</v>
      </c>
      <c r="E1853" s="5" t="n">
        <v>2</v>
      </c>
      <c r="F1853" s="20" t="n">
        <v>8.89858346741122</v>
      </c>
      <c r="G1853" s="20" t="n">
        <f aca="false">9-F1853</f>
        <v>0.101416532588784</v>
      </c>
      <c r="H1853" s="20" t="n">
        <f aca="false">IF(G1853&gt;=1,G1853,0)</f>
        <v>0</v>
      </c>
      <c r="I1853" s="5" t="s">
        <v>774</v>
      </c>
      <c r="J1853" s="5" t="s">
        <v>2440</v>
      </c>
    </row>
    <row r="1854" customFormat="false" ht="15" hidden="false" customHeight="false" outlineLevel="0" collapsed="false">
      <c r="A1854" s="5" t="s">
        <v>229</v>
      </c>
      <c r="B1854" s="5" t="s">
        <v>170</v>
      </c>
      <c r="C1854" s="5" t="n">
        <v>11</v>
      </c>
      <c r="D1854" s="5" t="s">
        <v>1241</v>
      </c>
      <c r="E1854" s="5" t="n">
        <v>1</v>
      </c>
      <c r="F1854" s="20" t="n">
        <v>7.09315837824399</v>
      </c>
      <c r="G1854" s="20" t="n">
        <f aca="false">9-F1854</f>
        <v>1.90684162175601</v>
      </c>
      <c r="H1854" s="20" t="n">
        <f aca="false">IF(G1854&gt;=1,G1854,0)</f>
        <v>1.90684162175601</v>
      </c>
      <c r="I1854" s="5" t="s">
        <v>774</v>
      </c>
      <c r="J1854" s="5" t="s">
        <v>2441</v>
      </c>
    </row>
    <row r="1855" customFormat="false" ht="15" hidden="false" customHeight="false" outlineLevel="0" collapsed="false">
      <c r="A1855" s="5" t="s">
        <v>229</v>
      </c>
      <c r="B1855" s="5" t="s">
        <v>170</v>
      </c>
      <c r="C1855" s="5" t="n">
        <v>12</v>
      </c>
      <c r="D1855" s="5" t="s">
        <v>1241</v>
      </c>
      <c r="E1855" s="5" t="n">
        <v>1</v>
      </c>
      <c r="F1855" s="20" t="n">
        <v>7.09128304602438</v>
      </c>
      <c r="G1855" s="20" t="n">
        <f aca="false">9-F1855</f>
        <v>1.90871695397562</v>
      </c>
      <c r="H1855" s="20" t="n">
        <f aca="false">IF(G1855&gt;=1,G1855,0)</f>
        <v>1.90871695397562</v>
      </c>
      <c r="I1855" s="5" t="s">
        <v>774</v>
      </c>
      <c r="J1855" s="5" t="s">
        <v>2442</v>
      </c>
    </row>
    <row r="1856" customFormat="false" ht="15" hidden="false" customHeight="false" outlineLevel="0" collapsed="false">
      <c r="A1856" s="5" t="s">
        <v>229</v>
      </c>
      <c r="B1856" s="5" t="s">
        <v>170</v>
      </c>
      <c r="C1856" s="5" t="n">
        <v>13</v>
      </c>
      <c r="D1856" s="5" t="s">
        <v>1244</v>
      </c>
      <c r="E1856" s="5" t="n">
        <v>1</v>
      </c>
      <c r="F1856" s="20" t="n">
        <v>7.07954111054051</v>
      </c>
      <c r="G1856" s="20" t="n">
        <f aca="false">9-F1856</f>
        <v>1.92045888945949</v>
      </c>
      <c r="H1856" s="20" t="n">
        <f aca="false">IF(G1856&gt;=1,G1856,0)</f>
        <v>1.92045888945949</v>
      </c>
      <c r="I1856" s="5" t="s">
        <v>774</v>
      </c>
      <c r="J1856" s="5" t="s">
        <v>2443</v>
      </c>
    </row>
    <row r="1857" customFormat="false" ht="15" hidden="false" customHeight="false" outlineLevel="0" collapsed="false">
      <c r="A1857" s="5" t="s">
        <v>229</v>
      </c>
      <c r="B1857" s="5" t="s">
        <v>170</v>
      </c>
      <c r="C1857" s="5" t="n">
        <v>14</v>
      </c>
      <c r="D1857" s="5" t="s">
        <v>1244</v>
      </c>
      <c r="E1857" s="5" t="n">
        <v>1</v>
      </c>
      <c r="F1857" s="20" t="n">
        <v>7.07893896000288</v>
      </c>
      <c r="G1857" s="20" t="n">
        <f aca="false">9-F1857</f>
        <v>1.92106103999712</v>
      </c>
      <c r="H1857" s="20" t="n">
        <f aca="false">IF(G1857&gt;=1,G1857,0)</f>
        <v>1.92106103999712</v>
      </c>
      <c r="I1857" s="5" t="s">
        <v>774</v>
      </c>
      <c r="J1857" s="5" t="s">
        <v>2444</v>
      </c>
    </row>
    <row r="1858" customFormat="false" ht="15" hidden="false" customHeight="false" outlineLevel="0" collapsed="false">
      <c r="A1858" s="5" t="s">
        <v>229</v>
      </c>
      <c r="B1858" s="5" t="s">
        <v>170</v>
      </c>
      <c r="C1858" s="5" t="n">
        <v>15</v>
      </c>
      <c r="D1858" s="5" t="s">
        <v>1247</v>
      </c>
      <c r="E1858" s="5" t="n">
        <v>2</v>
      </c>
      <c r="F1858" s="20" t="n">
        <v>8.37334465007483</v>
      </c>
      <c r="G1858" s="20" t="n">
        <f aca="false">9-F1858</f>
        <v>0.626655349925169</v>
      </c>
      <c r="H1858" s="20" t="n">
        <f aca="false">IF(G1858&gt;=1,G1858,0)</f>
        <v>0</v>
      </c>
      <c r="I1858" s="5" t="s">
        <v>774</v>
      </c>
      <c r="J1858" s="5" t="s">
        <v>2445</v>
      </c>
    </row>
    <row r="1859" customFormat="false" ht="15" hidden="false" customHeight="false" outlineLevel="0" collapsed="false">
      <c r="A1859" s="5" t="s">
        <v>229</v>
      </c>
      <c r="B1859" s="5" t="s">
        <v>170</v>
      </c>
      <c r="C1859" s="5" t="n">
        <v>16</v>
      </c>
      <c r="D1859" s="5" t="s">
        <v>1249</v>
      </c>
      <c r="E1859" s="5" t="n">
        <v>2</v>
      </c>
      <c r="F1859" s="20" t="n">
        <v>8.34557684473694</v>
      </c>
      <c r="G1859" s="20" t="n">
        <f aca="false">9-F1859</f>
        <v>0.654423155263057</v>
      </c>
      <c r="H1859" s="20" t="n">
        <f aca="false">IF(G1859&gt;=1,G1859,0)</f>
        <v>0</v>
      </c>
      <c r="I1859" s="5" t="s">
        <v>774</v>
      </c>
      <c r="J1859" s="5" t="s">
        <v>2446</v>
      </c>
    </row>
    <row r="1860" customFormat="false" ht="15" hidden="false" customHeight="false" outlineLevel="0" collapsed="false">
      <c r="A1860" s="5" t="s">
        <v>229</v>
      </c>
      <c r="B1860" s="5" t="s">
        <v>170</v>
      </c>
      <c r="C1860" s="5" t="n">
        <v>17</v>
      </c>
      <c r="D1860" s="5" t="s">
        <v>1251</v>
      </c>
      <c r="E1860" s="5" t="n">
        <v>2</v>
      </c>
      <c r="F1860" s="20" t="n">
        <v>8.23056609204876</v>
      </c>
      <c r="G1860" s="20" t="n">
        <f aca="false">9-F1860</f>
        <v>0.769433907951239</v>
      </c>
      <c r="H1860" s="20" t="n">
        <f aca="false">IF(G1860&gt;=1,G1860,0)</f>
        <v>0</v>
      </c>
      <c r="I1860" s="5" t="s">
        <v>774</v>
      </c>
      <c r="J1860" s="5" t="s">
        <v>2447</v>
      </c>
    </row>
    <row r="1861" customFormat="false" ht="15" hidden="false" customHeight="false" outlineLevel="0" collapsed="false">
      <c r="A1861" s="5" t="s">
        <v>229</v>
      </c>
      <c r="B1861" s="5" t="s">
        <v>170</v>
      </c>
      <c r="C1861" s="5" t="n">
        <v>18</v>
      </c>
      <c r="D1861" s="5" t="s">
        <v>1253</v>
      </c>
      <c r="E1861" s="5" t="n">
        <v>2</v>
      </c>
      <c r="F1861" s="20" t="n">
        <v>8.0951217557018</v>
      </c>
      <c r="G1861" s="20" t="n">
        <f aca="false">9-F1861</f>
        <v>0.904878244298196</v>
      </c>
      <c r="H1861" s="20" t="n">
        <f aca="false">IF(G1861&gt;=1,G1861,0)</f>
        <v>0</v>
      </c>
      <c r="I1861" s="5" t="s">
        <v>774</v>
      </c>
      <c r="J1861" s="5" t="s">
        <v>2448</v>
      </c>
    </row>
    <row r="1862" customFormat="false" ht="15" hidden="false" customHeight="false" outlineLevel="0" collapsed="false">
      <c r="A1862" s="5" t="s">
        <v>229</v>
      </c>
      <c r="B1862" s="5" t="s">
        <v>170</v>
      </c>
      <c r="C1862" s="5" t="n">
        <v>19</v>
      </c>
      <c r="D1862" s="5" t="s">
        <v>1255</v>
      </c>
      <c r="E1862" s="5" t="n">
        <v>2</v>
      </c>
      <c r="F1862" s="20" t="n">
        <v>8.05</v>
      </c>
      <c r="G1862" s="20" t="n">
        <f aca="false">9-F1862</f>
        <v>0.949999999999999</v>
      </c>
      <c r="H1862" s="20" t="n">
        <f aca="false">IF(G1862&gt;=1,G1862,0)</f>
        <v>0</v>
      </c>
      <c r="I1862" s="5" t="s">
        <v>774</v>
      </c>
      <c r="J1862" s="5" t="s">
        <v>2449</v>
      </c>
    </row>
    <row r="1863" customFormat="false" ht="15" hidden="false" customHeight="false" outlineLevel="0" collapsed="false">
      <c r="A1863" s="5" t="s">
        <v>229</v>
      </c>
      <c r="B1863" s="5" t="s">
        <v>170</v>
      </c>
      <c r="C1863" s="5" t="n">
        <v>20</v>
      </c>
      <c r="D1863" s="5" t="s">
        <v>1255</v>
      </c>
      <c r="E1863" s="5" t="n">
        <v>2</v>
      </c>
      <c r="F1863" s="20" t="n">
        <v>8.05</v>
      </c>
      <c r="G1863" s="20" t="n">
        <f aca="false">9-F1863</f>
        <v>0.949999999999999</v>
      </c>
      <c r="H1863" s="20" t="n">
        <f aca="false">IF(G1863&gt;=1,G1863,0)</f>
        <v>0</v>
      </c>
      <c r="I1863" s="5" t="s">
        <v>774</v>
      </c>
      <c r="J1863" s="5" t="s">
        <v>2450</v>
      </c>
    </row>
    <row r="1864" customFormat="false" ht="15" hidden="false" customHeight="false" outlineLevel="0" collapsed="false">
      <c r="A1864" s="5" t="s">
        <v>229</v>
      </c>
      <c r="B1864" s="5" t="s">
        <v>170</v>
      </c>
      <c r="C1864" s="5" t="n">
        <v>21</v>
      </c>
      <c r="D1864" s="5" t="s">
        <v>1255</v>
      </c>
      <c r="E1864" s="5" t="n">
        <v>2</v>
      </c>
      <c r="F1864" s="20" t="n">
        <v>8.05</v>
      </c>
      <c r="G1864" s="20" t="n">
        <f aca="false">9-F1864</f>
        <v>0.949999999999999</v>
      </c>
      <c r="H1864" s="20" t="n">
        <f aca="false">IF(G1864&gt;=1,G1864,0)</f>
        <v>0</v>
      </c>
      <c r="I1864" s="5" t="s">
        <v>774</v>
      </c>
      <c r="J1864" s="5" t="s">
        <v>2451</v>
      </c>
    </row>
    <row r="1865" customFormat="false" ht="15" hidden="false" customHeight="false" outlineLevel="0" collapsed="false">
      <c r="A1865" s="5" t="s">
        <v>229</v>
      </c>
      <c r="B1865" s="5" t="s">
        <v>170</v>
      </c>
      <c r="C1865" s="5" t="n">
        <v>22</v>
      </c>
      <c r="D1865" s="5" t="s">
        <v>767</v>
      </c>
      <c r="E1865" s="5" t="n">
        <v>2</v>
      </c>
      <c r="F1865" s="20" t="n">
        <v>7.46098758690413</v>
      </c>
      <c r="G1865" s="20" t="n">
        <f aca="false">9-F1865</f>
        <v>1.53901241309587</v>
      </c>
      <c r="H1865" s="20" t="n">
        <f aca="false">IF(G1865&gt;=1,G1865,0)</f>
        <v>1.53901241309587</v>
      </c>
      <c r="I1865" s="5" t="s">
        <v>774</v>
      </c>
      <c r="J1865" s="5" t="s">
        <v>2452</v>
      </c>
    </row>
    <row r="1866" customFormat="false" ht="15" hidden="false" customHeight="false" outlineLevel="0" collapsed="false">
      <c r="A1866" s="5" t="s">
        <v>229</v>
      </c>
      <c r="B1866" s="5" t="s">
        <v>170</v>
      </c>
      <c r="C1866" s="5" t="n">
        <v>23</v>
      </c>
      <c r="D1866" s="5" t="s">
        <v>767</v>
      </c>
      <c r="E1866" s="5" t="n">
        <v>2</v>
      </c>
      <c r="F1866" s="20" t="n">
        <v>7.46098758690413</v>
      </c>
      <c r="G1866" s="20" t="n">
        <f aca="false">9-F1866</f>
        <v>1.53901241309587</v>
      </c>
      <c r="H1866" s="20" t="n">
        <f aca="false">IF(G1866&gt;=1,G1866,0)</f>
        <v>1.53901241309587</v>
      </c>
      <c r="I1866" s="5" t="s">
        <v>774</v>
      </c>
      <c r="J1866" s="5" t="s">
        <v>2453</v>
      </c>
    </row>
    <row r="1867" customFormat="false" ht="15" hidden="false" customHeight="false" outlineLevel="0" collapsed="false">
      <c r="A1867" s="5" t="s">
        <v>229</v>
      </c>
      <c r="B1867" s="5" t="s">
        <v>170</v>
      </c>
      <c r="C1867" s="5" t="n">
        <v>24</v>
      </c>
      <c r="D1867" s="5" t="s">
        <v>767</v>
      </c>
      <c r="E1867" s="5" t="n">
        <v>2</v>
      </c>
      <c r="F1867" s="20" t="n">
        <v>7.46098758690413</v>
      </c>
      <c r="G1867" s="20" t="n">
        <f aca="false">9-F1867</f>
        <v>1.53901241309587</v>
      </c>
      <c r="H1867" s="20" t="n">
        <f aca="false">IF(G1867&gt;=1,G1867,0)</f>
        <v>1.53901241309587</v>
      </c>
      <c r="I1867" s="5" t="s">
        <v>774</v>
      </c>
      <c r="J1867" s="5" t="s">
        <v>2454</v>
      </c>
    </row>
    <row r="1868" customFormat="false" ht="15" hidden="false" customHeight="false" outlineLevel="0" collapsed="false">
      <c r="A1868" s="5" t="s">
        <v>229</v>
      </c>
      <c r="B1868" s="5" t="s">
        <v>170</v>
      </c>
      <c r="C1868" s="5" t="n">
        <v>25</v>
      </c>
      <c r="D1868" s="5" t="s">
        <v>767</v>
      </c>
      <c r="E1868" s="5" t="n">
        <v>2</v>
      </c>
      <c r="F1868" s="20" t="n">
        <v>7.46098758690413</v>
      </c>
      <c r="G1868" s="20" t="n">
        <f aca="false">9-F1868</f>
        <v>1.53901241309587</v>
      </c>
      <c r="H1868" s="20" t="n">
        <f aca="false">IF(G1868&gt;=1,G1868,0)</f>
        <v>1.53901241309587</v>
      </c>
      <c r="I1868" s="5" t="s">
        <v>774</v>
      </c>
      <c r="J1868" s="5" t="s">
        <v>2455</v>
      </c>
    </row>
    <row r="1869" customFormat="false" ht="15" hidden="false" customHeight="false" outlineLevel="0" collapsed="false">
      <c r="A1869" s="5" t="s">
        <v>229</v>
      </c>
      <c r="B1869" s="5" t="s">
        <v>170</v>
      </c>
      <c r="C1869" s="5" t="n">
        <v>26</v>
      </c>
      <c r="D1869" s="5" t="s">
        <v>767</v>
      </c>
      <c r="E1869" s="5" t="n">
        <v>2</v>
      </c>
      <c r="F1869" s="20" t="n">
        <v>7.46098758690413</v>
      </c>
      <c r="G1869" s="20" t="n">
        <f aca="false">9-F1869</f>
        <v>1.53901241309587</v>
      </c>
      <c r="H1869" s="20" t="n">
        <f aca="false">IF(G1869&gt;=1,G1869,0)</f>
        <v>1.53901241309587</v>
      </c>
      <c r="I1869" s="5" t="s">
        <v>774</v>
      </c>
      <c r="J1869" s="5" t="s">
        <v>2456</v>
      </c>
    </row>
    <row r="1870" customFormat="false" ht="15" hidden="false" customHeight="false" outlineLevel="0" collapsed="false">
      <c r="A1870" s="5" t="s">
        <v>229</v>
      </c>
      <c r="B1870" s="5" t="s">
        <v>170</v>
      </c>
      <c r="C1870" s="5" t="n">
        <v>27</v>
      </c>
      <c r="D1870" s="5" t="s">
        <v>767</v>
      </c>
      <c r="E1870" s="5" t="n">
        <v>2</v>
      </c>
      <c r="F1870" s="20" t="n">
        <v>7.46098758690413</v>
      </c>
      <c r="G1870" s="20" t="n">
        <f aca="false">9-F1870</f>
        <v>1.53901241309587</v>
      </c>
      <c r="H1870" s="20" t="n">
        <f aca="false">IF(G1870&gt;=1,G1870,0)</f>
        <v>1.53901241309587</v>
      </c>
      <c r="I1870" s="5" t="s">
        <v>774</v>
      </c>
      <c r="J1870" s="5" t="s">
        <v>2457</v>
      </c>
    </row>
    <row r="1871" customFormat="false" ht="15" hidden="false" customHeight="false" outlineLevel="0" collapsed="false">
      <c r="A1871" s="5" t="s">
        <v>229</v>
      </c>
      <c r="B1871" s="5" t="s">
        <v>170</v>
      </c>
      <c r="C1871" s="5" t="n">
        <v>28</v>
      </c>
      <c r="D1871" s="5" t="s">
        <v>767</v>
      </c>
      <c r="E1871" s="5" t="n">
        <v>2</v>
      </c>
      <c r="F1871" s="20" t="n">
        <v>7.46098758690413</v>
      </c>
      <c r="G1871" s="20" t="n">
        <f aca="false">9-F1871</f>
        <v>1.53901241309587</v>
      </c>
      <c r="H1871" s="20" t="n">
        <f aca="false">IF(G1871&gt;=1,G1871,0)</f>
        <v>1.53901241309587</v>
      </c>
      <c r="I1871" s="5" t="s">
        <v>774</v>
      </c>
      <c r="J1871" s="5" t="s">
        <v>2458</v>
      </c>
    </row>
    <row r="1872" customFormat="false" ht="15" hidden="false" customHeight="false" outlineLevel="0" collapsed="false">
      <c r="A1872" s="5" t="s">
        <v>229</v>
      </c>
      <c r="B1872" s="5" t="s">
        <v>170</v>
      </c>
      <c r="C1872" s="5" t="n">
        <v>29</v>
      </c>
      <c r="D1872" s="5" t="s">
        <v>1894</v>
      </c>
      <c r="E1872" s="5" t="n">
        <v>3</v>
      </c>
      <c r="F1872" s="20" t="n">
        <v>8.76903296412771</v>
      </c>
      <c r="G1872" s="20" t="n">
        <f aca="false">9-F1872</f>
        <v>0.23096703587229</v>
      </c>
      <c r="H1872" s="20" t="n">
        <f aca="false">IF(G1872&gt;=1,G1872,0)</f>
        <v>0</v>
      </c>
      <c r="I1872" s="5" t="s">
        <v>960</v>
      </c>
      <c r="J1872" s="5" t="s">
        <v>2459</v>
      </c>
    </row>
    <row r="1873" customFormat="false" ht="15" hidden="false" customHeight="false" outlineLevel="0" collapsed="false">
      <c r="A1873" s="5" t="s">
        <v>229</v>
      </c>
      <c r="B1873" s="5" t="s">
        <v>170</v>
      </c>
      <c r="C1873" s="5" t="n">
        <v>30</v>
      </c>
      <c r="D1873" s="5" t="s">
        <v>1894</v>
      </c>
      <c r="E1873" s="5" t="n">
        <v>3</v>
      </c>
      <c r="F1873" s="20" t="n">
        <v>8.76903296412771</v>
      </c>
      <c r="G1873" s="20" t="n">
        <f aca="false">9-F1873</f>
        <v>0.23096703587229</v>
      </c>
      <c r="H1873" s="20" t="n">
        <f aca="false">IF(G1873&gt;=1,G1873,0)</f>
        <v>0</v>
      </c>
      <c r="I1873" s="5" t="s">
        <v>960</v>
      </c>
      <c r="J1873" s="5" t="s">
        <v>2460</v>
      </c>
    </row>
    <row r="1874" customFormat="false" ht="15" hidden="false" customHeight="false" outlineLevel="0" collapsed="false">
      <c r="A1874" s="5" t="s">
        <v>229</v>
      </c>
      <c r="B1874" s="5" t="s">
        <v>170</v>
      </c>
      <c r="C1874" s="5" t="n">
        <v>31</v>
      </c>
      <c r="D1874" s="5" t="s">
        <v>1894</v>
      </c>
      <c r="E1874" s="5" t="n">
        <v>3</v>
      </c>
      <c r="F1874" s="20" t="n">
        <v>8.76903296412771</v>
      </c>
      <c r="G1874" s="20" t="n">
        <f aca="false">9-F1874</f>
        <v>0.23096703587229</v>
      </c>
      <c r="H1874" s="20" t="n">
        <f aca="false">IF(G1874&gt;=1,G1874,0)</f>
        <v>0</v>
      </c>
      <c r="I1874" s="5" t="s">
        <v>960</v>
      </c>
      <c r="J1874" s="5" t="s">
        <v>2461</v>
      </c>
    </row>
    <row r="1875" customFormat="false" ht="15" hidden="false" customHeight="false" outlineLevel="0" collapsed="false">
      <c r="A1875" s="5" t="s">
        <v>229</v>
      </c>
      <c r="B1875" s="5" t="s">
        <v>170</v>
      </c>
      <c r="C1875" s="5" t="n">
        <v>32</v>
      </c>
      <c r="D1875" s="5" t="s">
        <v>1894</v>
      </c>
      <c r="E1875" s="5" t="n">
        <v>3</v>
      </c>
      <c r="F1875" s="20" t="n">
        <v>8.76903296412771</v>
      </c>
      <c r="G1875" s="20" t="n">
        <f aca="false">9-F1875</f>
        <v>0.23096703587229</v>
      </c>
      <c r="H1875" s="20" t="n">
        <f aca="false">IF(G1875&gt;=1,G1875,0)</f>
        <v>0</v>
      </c>
      <c r="I1875" s="5" t="s">
        <v>960</v>
      </c>
      <c r="J1875" s="5" t="s">
        <v>2462</v>
      </c>
    </row>
    <row r="1876" customFormat="false" ht="15" hidden="false" customHeight="false" outlineLevel="0" collapsed="false">
      <c r="A1876" s="5" t="s">
        <v>229</v>
      </c>
      <c r="B1876" s="5" t="s">
        <v>170</v>
      </c>
      <c r="C1876" s="5" t="n">
        <v>33</v>
      </c>
      <c r="D1876" s="5" t="s">
        <v>1894</v>
      </c>
      <c r="E1876" s="5" t="n">
        <v>3</v>
      </c>
      <c r="F1876" s="20" t="n">
        <v>8.76903296412771</v>
      </c>
      <c r="G1876" s="20" t="n">
        <f aca="false">9-F1876</f>
        <v>0.23096703587229</v>
      </c>
      <c r="H1876" s="20" t="n">
        <f aca="false">IF(G1876&gt;=1,G1876,0)</f>
        <v>0</v>
      </c>
      <c r="I1876" s="5" t="s">
        <v>960</v>
      </c>
      <c r="J1876" s="5" t="s">
        <v>2463</v>
      </c>
    </row>
    <row r="1877" customFormat="false" ht="15" hidden="false" customHeight="false" outlineLevel="0" collapsed="false">
      <c r="A1877" s="5" t="s">
        <v>229</v>
      </c>
      <c r="B1877" s="5" t="s">
        <v>170</v>
      </c>
      <c r="C1877" s="5" t="n">
        <v>34</v>
      </c>
      <c r="D1877" s="5" t="s">
        <v>1894</v>
      </c>
      <c r="E1877" s="5" t="n">
        <v>3</v>
      </c>
      <c r="F1877" s="20" t="n">
        <v>8.76903296412771</v>
      </c>
      <c r="G1877" s="20" t="n">
        <f aca="false">9-F1877</f>
        <v>0.23096703587229</v>
      </c>
      <c r="H1877" s="20" t="n">
        <f aca="false">IF(G1877&gt;=1,G1877,0)</f>
        <v>0</v>
      </c>
      <c r="I1877" s="5" t="s">
        <v>960</v>
      </c>
      <c r="J1877" s="5" t="s">
        <v>2464</v>
      </c>
    </row>
    <row r="1878" customFormat="false" ht="15" hidden="false" customHeight="false" outlineLevel="0" collapsed="false">
      <c r="A1878" s="5" t="s">
        <v>229</v>
      </c>
      <c r="B1878" s="5" t="s">
        <v>170</v>
      </c>
      <c r="C1878" s="5" t="n">
        <v>35</v>
      </c>
      <c r="D1878" s="5" t="s">
        <v>1901</v>
      </c>
      <c r="E1878" s="5" t="n">
        <v>3</v>
      </c>
      <c r="F1878" s="20" t="n">
        <v>8.63569963079437</v>
      </c>
      <c r="G1878" s="20" t="n">
        <f aca="false">9-F1878</f>
        <v>0.364300369205626</v>
      </c>
      <c r="H1878" s="20" t="n">
        <f aca="false">IF(G1878&gt;=1,G1878,0)</f>
        <v>0</v>
      </c>
      <c r="I1878" s="5" t="s">
        <v>960</v>
      </c>
      <c r="J1878" s="5" t="s">
        <v>2465</v>
      </c>
    </row>
    <row r="1879" customFormat="false" ht="15" hidden="false" customHeight="false" outlineLevel="0" collapsed="false">
      <c r="A1879" s="5" t="s">
        <v>229</v>
      </c>
      <c r="B1879" s="5" t="s">
        <v>170</v>
      </c>
      <c r="C1879" s="5" t="n">
        <v>36</v>
      </c>
      <c r="D1879" s="5" t="s">
        <v>1901</v>
      </c>
      <c r="E1879" s="5" t="n">
        <v>3</v>
      </c>
      <c r="F1879" s="20" t="n">
        <v>8.63569963079437</v>
      </c>
      <c r="G1879" s="20" t="n">
        <f aca="false">9-F1879</f>
        <v>0.364300369205626</v>
      </c>
      <c r="H1879" s="20" t="n">
        <f aca="false">IF(G1879&gt;=1,G1879,0)</f>
        <v>0</v>
      </c>
      <c r="I1879" s="5" t="s">
        <v>960</v>
      </c>
      <c r="J1879" s="5" t="s">
        <v>2466</v>
      </c>
    </row>
    <row r="1880" customFormat="false" ht="15" hidden="false" customHeight="false" outlineLevel="0" collapsed="false">
      <c r="A1880" s="5" t="s">
        <v>229</v>
      </c>
      <c r="B1880" s="5" t="s">
        <v>170</v>
      </c>
      <c r="C1880" s="5" t="n">
        <v>37</v>
      </c>
      <c r="D1880" s="5" t="s">
        <v>1901</v>
      </c>
      <c r="E1880" s="5" t="n">
        <v>3</v>
      </c>
      <c r="F1880" s="20" t="n">
        <v>8.63569963079437</v>
      </c>
      <c r="G1880" s="20" t="n">
        <f aca="false">9-F1880</f>
        <v>0.364300369205626</v>
      </c>
      <c r="H1880" s="20" t="n">
        <f aca="false">IF(G1880&gt;=1,G1880,0)</f>
        <v>0</v>
      </c>
      <c r="I1880" s="5" t="s">
        <v>960</v>
      </c>
      <c r="J1880" s="5" t="s">
        <v>2467</v>
      </c>
    </row>
    <row r="1881" customFormat="false" ht="15" hidden="false" customHeight="false" outlineLevel="0" collapsed="false">
      <c r="A1881" s="5" t="s">
        <v>229</v>
      </c>
      <c r="B1881" s="5" t="s">
        <v>170</v>
      </c>
      <c r="C1881" s="5" t="n">
        <v>38</v>
      </c>
      <c r="D1881" s="5" t="s">
        <v>1901</v>
      </c>
      <c r="E1881" s="5" t="n">
        <v>3</v>
      </c>
      <c r="F1881" s="20" t="n">
        <v>8.63569963079437</v>
      </c>
      <c r="G1881" s="20" t="n">
        <f aca="false">9-F1881</f>
        <v>0.364300369205626</v>
      </c>
      <c r="H1881" s="20" t="n">
        <f aca="false">IF(G1881&gt;=1,G1881,0)</f>
        <v>0</v>
      </c>
      <c r="I1881" s="5" t="s">
        <v>960</v>
      </c>
      <c r="J1881" s="5" t="s">
        <v>2468</v>
      </c>
    </row>
    <row r="1882" customFormat="false" ht="15" hidden="false" customHeight="false" outlineLevel="0" collapsed="false">
      <c r="A1882" s="5" t="s">
        <v>229</v>
      </c>
      <c r="B1882" s="5" t="s">
        <v>170</v>
      </c>
      <c r="C1882" s="5" t="n">
        <v>39</v>
      </c>
      <c r="D1882" s="5" t="s">
        <v>1281</v>
      </c>
      <c r="E1882" s="5" t="n">
        <v>2</v>
      </c>
      <c r="F1882" s="20" t="n">
        <v>4.46666666666667</v>
      </c>
      <c r="G1882" s="20" t="n">
        <f aca="false">9-F1882</f>
        <v>4.53333333333333</v>
      </c>
      <c r="H1882" s="20" t="n">
        <f aca="false">IF(G1882&gt;=1,G1882,0)</f>
        <v>4.53333333333333</v>
      </c>
      <c r="I1882" s="5" t="s">
        <v>774</v>
      </c>
      <c r="J1882" s="5" t="s">
        <v>2469</v>
      </c>
    </row>
    <row r="1883" customFormat="false" ht="15" hidden="false" customHeight="false" outlineLevel="0" collapsed="false">
      <c r="A1883" s="5" t="s">
        <v>229</v>
      </c>
      <c r="B1883" s="5" t="s">
        <v>171</v>
      </c>
      <c r="C1883" s="5" t="n">
        <v>1</v>
      </c>
      <c r="D1883" s="5" t="s">
        <v>1283</v>
      </c>
      <c r="E1883" s="5" t="n">
        <v>2</v>
      </c>
      <c r="F1883" s="20" t="n">
        <v>8.68255948363014</v>
      </c>
      <c r="G1883" s="20" t="n">
        <f aca="false">9-F1883</f>
        <v>0.317440516369857</v>
      </c>
      <c r="H1883" s="20" t="n">
        <f aca="false">IF(G1883&gt;=1,G1883,0)</f>
        <v>0</v>
      </c>
      <c r="I1883" s="5" t="s">
        <v>75</v>
      </c>
      <c r="J1883" s="5" t="s">
        <v>2470</v>
      </c>
    </row>
    <row r="1884" customFormat="false" ht="15" hidden="false" customHeight="false" outlineLevel="0" collapsed="false">
      <c r="A1884" s="5" t="s">
        <v>229</v>
      </c>
      <c r="B1884" s="5" t="s">
        <v>171</v>
      </c>
      <c r="C1884" s="5" t="n">
        <v>2</v>
      </c>
      <c r="D1884" s="5" t="s">
        <v>1285</v>
      </c>
      <c r="E1884" s="5" t="n">
        <v>2</v>
      </c>
      <c r="F1884" s="20" t="n">
        <v>8.61480948363014</v>
      </c>
      <c r="G1884" s="20" t="n">
        <f aca="false">9-F1884</f>
        <v>0.385190516369864</v>
      </c>
      <c r="H1884" s="20" t="n">
        <f aca="false">IF(G1884&gt;=1,G1884,0)</f>
        <v>0</v>
      </c>
      <c r="I1884" s="5" t="s">
        <v>75</v>
      </c>
      <c r="J1884" s="5" t="s">
        <v>2471</v>
      </c>
    </row>
    <row r="1885" customFormat="false" ht="15" hidden="false" customHeight="false" outlineLevel="0" collapsed="false">
      <c r="A1885" s="5" t="s">
        <v>229</v>
      </c>
      <c r="B1885" s="5" t="s">
        <v>171</v>
      </c>
      <c r="C1885" s="5" t="n">
        <v>3</v>
      </c>
      <c r="D1885" s="5" t="s">
        <v>1287</v>
      </c>
      <c r="E1885" s="5" t="n">
        <v>2</v>
      </c>
      <c r="F1885" s="20" t="n">
        <v>8.47505948363014</v>
      </c>
      <c r="G1885" s="20" t="n">
        <f aca="false">9-F1885</f>
        <v>0.524940516369856</v>
      </c>
      <c r="H1885" s="20" t="n">
        <f aca="false">IF(G1885&gt;=1,G1885,0)</f>
        <v>0</v>
      </c>
      <c r="I1885" s="5" t="s">
        <v>75</v>
      </c>
      <c r="J1885" s="5" t="s">
        <v>2472</v>
      </c>
    </row>
    <row r="1886" customFormat="false" ht="15" hidden="false" customHeight="false" outlineLevel="0" collapsed="false">
      <c r="A1886" s="5" t="s">
        <v>229</v>
      </c>
      <c r="B1886" s="5" t="s">
        <v>171</v>
      </c>
      <c r="C1886" s="5" t="n">
        <v>4</v>
      </c>
      <c r="D1886" s="5" t="s">
        <v>1910</v>
      </c>
      <c r="E1886" s="5" t="n">
        <v>2</v>
      </c>
      <c r="F1886" s="20" t="n">
        <v>6.70287510929601</v>
      </c>
      <c r="G1886" s="20" t="n">
        <f aca="false">9-F1886</f>
        <v>2.29712489070399</v>
      </c>
      <c r="H1886" s="20" t="n">
        <f aca="false">IF(G1886&gt;=1,G1886,0)</f>
        <v>2.29712489070399</v>
      </c>
      <c r="I1886" s="5" t="s">
        <v>74</v>
      </c>
      <c r="J1886" s="5" t="s">
        <v>2473</v>
      </c>
    </row>
    <row r="1887" customFormat="false" ht="15" hidden="false" customHeight="false" outlineLevel="0" collapsed="false">
      <c r="A1887" s="5" t="s">
        <v>229</v>
      </c>
      <c r="B1887" s="5" t="s">
        <v>171</v>
      </c>
      <c r="C1887" s="5" t="n">
        <v>5</v>
      </c>
      <c r="D1887" s="5" t="s">
        <v>1910</v>
      </c>
      <c r="E1887" s="5" t="n">
        <v>2</v>
      </c>
      <c r="F1887" s="20" t="n">
        <v>6.70287510929601</v>
      </c>
      <c r="G1887" s="20" t="n">
        <f aca="false">9-F1887</f>
        <v>2.29712489070399</v>
      </c>
      <c r="H1887" s="20" t="n">
        <f aca="false">IF(G1887&gt;=1,G1887,0)</f>
        <v>2.29712489070399</v>
      </c>
      <c r="I1887" s="5" t="s">
        <v>74</v>
      </c>
      <c r="J1887" s="5" t="s">
        <v>2474</v>
      </c>
    </row>
    <row r="1888" customFormat="false" ht="15" hidden="false" customHeight="false" outlineLevel="0" collapsed="false">
      <c r="A1888" s="5" t="s">
        <v>229</v>
      </c>
      <c r="B1888" s="5" t="s">
        <v>171</v>
      </c>
      <c r="C1888" s="5" t="n">
        <v>6</v>
      </c>
      <c r="D1888" s="5" t="s">
        <v>1910</v>
      </c>
      <c r="E1888" s="5" t="n">
        <v>2</v>
      </c>
      <c r="F1888" s="20" t="n">
        <v>6.70287510929601</v>
      </c>
      <c r="G1888" s="20" t="n">
        <f aca="false">9-F1888</f>
        <v>2.29712489070399</v>
      </c>
      <c r="H1888" s="20" t="n">
        <f aca="false">IF(G1888&gt;=1,G1888,0)</f>
        <v>2.29712489070399</v>
      </c>
      <c r="I1888" s="5" t="s">
        <v>74</v>
      </c>
      <c r="J1888" s="5" t="s">
        <v>2475</v>
      </c>
    </row>
    <row r="1889" customFormat="false" ht="15" hidden="false" customHeight="false" outlineLevel="0" collapsed="false">
      <c r="A1889" s="5" t="s">
        <v>229</v>
      </c>
      <c r="B1889" s="5" t="s">
        <v>171</v>
      </c>
      <c r="C1889" s="5" t="n">
        <v>7</v>
      </c>
      <c r="D1889" s="5" t="s">
        <v>1910</v>
      </c>
      <c r="E1889" s="5" t="n">
        <v>2</v>
      </c>
      <c r="F1889" s="20" t="n">
        <v>6.70287510929601</v>
      </c>
      <c r="G1889" s="20" t="n">
        <f aca="false">9-F1889</f>
        <v>2.29712489070399</v>
      </c>
      <c r="H1889" s="20" t="n">
        <f aca="false">IF(G1889&gt;=1,G1889,0)</f>
        <v>2.29712489070399</v>
      </c>
      <c r="I1889" s="5" t="s">
        <v>74</v>
      </c>
      <c r="J1889" s="5" t="s">
        <v>2476</v>
      </c>
    </row>
    <row r="1890" customFormat="false" ht="15" hidden="false" customHeight="false" outlineLevel="0" collapsed="false">
      <c r="A1890" s="5" t="s">
        <v>229</v>
      </c>
      <c r="B1890" s="5" t="s">
        <v>171</v>
      </c>
      <c r="C1890" s="5" t="n">
        <v>8</v>
      </c>
      <c r="D1890" s="5" t="s">
        <v>1910</v>
      </c>
      <c r="E1890" s="5" t="n">
        <v>2</v>
      </c>
      <c r="F1890" s="20" t="n">
        <v>6.70287510929601</v>
      </c>
      <c r="G1890" s="20" t="n">
        <f aca="false">9-F1890</f>
        <v>2.29712489070399</v>
      </c>
      <c r="H1890" s="20" t="n">
        <f aca="false">IF(G1890&gt;=1,G1890,0)</f>
        <v>2.29712489070399</v>
      </c>
      <c r="I1890" s="5" t="s">
        <v>74</v>
      </c>
      <c r="J1890" s="5" t="s">
        <v>2477</v>
      </c>
    </row>
    <row r="1891" customFormat="false" ht="15" hidden="false" customHeight="false" outlineLevel="0" collapsed="false">
      <c r="A1891" s="5" t="s">
        <v>229</v>
      </c>
      <c r="B1891" s="5" t="s">
        <v>171</v>
      </c>
      <c r="C1891" s="5" t="n">
        <v>9</v>
      </c>
      <c r="D1891" s="5" t="s">
        <v>1910</v>
      </c>
      <c r="E1891" s="5" t="n">
        <v>2</v>
      </c>
      <c r="F1891" s="20" t="n">
        <v>6.70287510929601</v>
      </c>
      <c r="G1891" s="20" t="n">
        <f aca="false">9-F1891</f>
        <v>2.29712489070399</v>
      </c>
      <c r="H1891" s="20" t="n">
        <f aca="false">IF(G1891&gt;=1,G1891,0)</f>
        <v>2.29712489070399</v>
      </c>
      <c r="I1891" s="5" t="s">
        <v>74</v>
      </c>
      <c r="J1891" s="5" t="s">
        <v>2478</v>
      </c>
    </row>
    <row r="1892" customFormat="false" ht="15" hidden="false" customHeight="false" outlineLevel="0" collapsed="false">
      <c r="A1892" s="5" t="s">
        <v>229</v>
      </c>
      <c r="B1892" s="5" t="s">
        <v>171</v>
      </c>
      <c r="C1892" s="5" t="n">
        <v>10</v>
      </c>
      <c r="D1892" s="5" t="s">
        <v>1910</v>
      </c>
      <c r="E1892" s="5" t="n">
        <v>2</v>
      </c>
      <c r="F1892" s="20" t="n">
        <v>6.70287510929601</v>
      </c>
      <c r="G1892" s="20" t="n">
        <f aca="false">9-F1892</f>
        <v>2.29712489070399</v>
      </c>
      <c r="H1892" s="20" t="n">
        <f aca="false">IF(G1892&gt;=1,G1892,0)</f>
        <v>2.29712489070399</v>
      </c>
      <c r="I1892" s="5" t="s">
        <v>74</v>
      </c>
      <c r="J1892" s="5" t="s">
        <v>2479</v>
      </c>
    </row>
    <row r="1893" customFormat="false" ht="15" hidden="false" customHeight="false" outlineLevel="0" collapsed="false">
      <c r="A1893" s="5" t="s">
        <v>229</v>
      </c>
      <c r="B1893" s="5" t="s">
        <v>171</v>
      </c>
      <c r="C1893" s="5" t="n">
        <v>11</v>
      </c>
      <c r="D1893" s="5" t="s">
        <v>1910</v>
      </c>
      <c r="E1893" s="5" t="n">
        <v>2</v>
      </c>
      <c r="F1893" s="20" t="n">
        <v>6.70287510929601</v>
      </c>
      <c r="G1893" s="20" t="n">
        <f aca="false">9-F1893</f>
        <v>2.29712489070399</v>
      </c>
      <c r="H1893" s="20" t="n">
        <f aca="false">IF(G1893&gt;=1,G1893,0)</f>
        <v>2.29712489070399</v>
      </c>
      <c r="I1893" s="5" t="s">
        <v>74</v>
      </c>
      <c r="J1893" s="5" t="s">
        <v>2480</v>
      </c>
    </row>
    <row r="1894" customFormat="false" ht="15" hidden="false" customHeight="false" outlineLevel="0" collapsed="false">
      <c r="A1894" s="5" t="s">
        <v>229</v>
      </c>
      <c r="B1894" s="5" t="s">
        <v>171</v>
      </c>
      <c r="C1894" s="5" t="n">
        <v>12</v>
      </c>
      <c r="D1894" s="5" t="s">
        <v>1910</v>
      </c>
      <c r="E1894" s="5" t="n">
        <v>2</v>
      </c>
      <c r="F1894" s="20" t="n">
        <v>6.70287510929601</v>
      </c>
      <c r="G1894" s="20" t="n">
        <f aca="false">9-F1894</f>
        <v>2.29712489070399</v>
      </c>
      <c r="H1894" s="20" t="n">
        <f aca="false">IF(G1894&gt;=1,G1894,0)</f>
        <v>2.29712489070399</v>
      </c>
      <c r="I1894" s="5" t="s">
        <v>74</v>
      </c>
      <c r="J1894" s="5" t="s">
        <v>2481</v>
      </c>
    </row>
    <row r="1895" customFormat="false" ht="15" hidden="false" customHeight="false" outlineLevel="0" collapsed="false">
      <c r="A1895" s="5" t="s">
        <v>229</v>
      </c>
      <c r="B1895" s="5" t="s">
        <v>171</v>
      </c>
      <c r="C1895" s="5" t="n">
        <v>13</v>
      </c>
      <c r="D1895" s="5" t="s">
        <v>1910</v>
      </c>
      <c r="E1895" s="5" t="n">
        <v>2</v>
      </c>
      <c r="F1895" s="20" t="n">
        <v>6.702875109296</v>
      </c>
      <c r="G1895" s="20" t="n">
        <f aca="false">9-F1895</f>
        <v>2.297124890704</v>
      </c>
      <c r="H1895" s="20" t="n">
        <f aca="false">IF(G1895&gt;=1,G1895,0)</f>
        <v>2.297124890704</v>
      </c>
      <c r="I1895" s="5" t="s">
        <v>74</v>
      </c>
      <c r="J1895" s="5" t="s">
        <v>2482</v>
      </c>
    </row>
    <row r="1896" customFormat="false" ht="15" hidden="false" customHeight="false" outlineLevel="0" collapsed="false">
      <c r="A1896" s="5" t="s">
        <v>229</v>
      </c>
      <c r="B1896" s="5" t="s">
        <v>171</v>
      </c>
      <c r="C1896" s="5" t="n">
        <v>14</v>
      </c>
      <c r="D1896" s="5" t="s">
        <v>1910</v>
      </c>
      <c r="E1896" s="5" t="n">
        <v>2</v>
      </c>
      <c r="F1896" s="20" t="n">
        <v>6.702875109296</v>
      </c>
      <c r="G1896" s="20" t="n">
        <f aca="false">9-F1896</f>
        <v>2.297124890704</v>
      </c>
      <c r="H1896" s="20" t="n">
        <f aca="false">IF(G1896&gt;=1,G1896,0)</f>
        <v>2.297124890704</v>
      </c>
      <c r="I1896" s="5" t="s">
        <v>74</v>
      </c>
      <c r="J1896" s="5" t="s">
        <v>2483</v>
      </c>
    </row>
    <row r="1897" customFormat="false" ht="15" hidden="false" customHeight="false" outlineLevel="0" collapsed="false">
      <c r="A1897" s="5" t="s">
        <v>229</v>
      </c>
      <c r="B1897" s="5" t="s">
        <v>171</v>
      </c>
      <c r="C1897" s="5" t="n">
        <v>15</v>
      </c>
      <c r="D1897" s="5" t="s">
        <v>1910</v>
      </c>
      <c r="E1897" s="5" t="n">
        <v>2</v>
      </c>
      <c r="F1897" s="20" t="n">
        <v>6.702875109296</v>
      </c>
      <c r="G1897" s="20" t="n">
        <f aca="false">9-F1897</f>
        <v>2.297124890704</v>
      </c>
      <c r="H1897" s="20" t="n">
        <f aca="false">IF(G1897&gt;=1,G1897,0)</f>
        <v>2.297124890704</v>
      </c>
      <c r="I1897" s="5" t="s">
        <v>74</v>
      </c>
      <c r="J1897" s="5" t="s">
        <v>2484</v>
      </c>
    </row>
    <row r="1898" customFormat="false" ht="15" hidden="false" customHeight="false" outlineLevel="0" collapsed="false">
      <c r="A1898" s="5" t="s">
        <v>229</v>
      </c>
      <c r="B1898" s="5" t="s">
        <v>171</v>
      </c>
      <c r="C1898" s="5" t="n">
        <v>16</v>
      </c>
      <c r="D1898" s="5" t="s">
        <v>1910</v>
      </c>
      <c r="E1898" s="5" t="n">
        <v>2</v>
      </c>
      <c r="F1898" s="20" t="n">
        <v>6.702875109296</v>
      </c>
      <c r="G1898" s="20" t="n">
        <f aca="false">9-F1898</f>
        <v>2.297124890704</v>
      </c>
      <c r="H1898" s="20" t="n">
        <f aca="false">IF(G1898&gt;=1,G1898,0)</f>
        <v>2.297124890704</v>
      </c>
      <c r="I1898" s="5" t="s">
        <v>74</v>
      </c>
      <c r="J1898" s="5" t="s">
        <v>2485</v>
      </c>
    </row>
    <row r="1899" customFormat="false" ht="15" hidden="false" customHeight="false" outlineLevel="0" collapsed="false">
      <c r="A1899" s="5" t="s">
        <v>229</v>
      </c>
      <c r="B1899" s="5" t="s">
        <v>171</v>
      </c>
      <c r="C1899" s="5" t="n">
        <v>17</v>
      </c>
      <c r="D1899" s="5" t="s">
        <v>1910</v>
      </c>
      <c r="E1899" s="5" t="n">
        <v>2</v>
      </c>
      <c r="F1899" s="20" t="n">
        <v>6.702875109296</v>
      </c>
      <c r="G1899" s="20" t="n">
        <f aca="false">9-F1899</f>
        <v>2.297124890704</v>
      </c>
      <c r="H1899" s="20" t="n">
        <f aca="false">IF(G1899&gt;=1,G1899,0)</f>
        <v>2.297124890704</v>
      </c>
      <c r="I1899" s="5" t="s">
        <v>74</v>
      </c>
      <c r="J1899" s="5" t="s">
        <v>2486</v>
      </c>
    </row>
    <row r="1900" customFormat="false" ht="15" hidden="false" customHeight="false" outlineLevel="0" collapsed="false">
      <c r="A1900" s="5" t="s">
        <v>229</v>
      </c>
      <c r="B1900" s="5" t="s">
        <v>171</v>
      </c>
      <c r="C1900" s="5" t="n">
        <v>18</v>
      </c>
      <c r="D1900" s="5" t="s">
        <v>1910</v>
      </c>
      <c r="E1900" s="5" t="n">
        <v>2</v>
      </c>
      <c r="F1900" s="20" t="n">
        <v>6.702875109296</v>
      </c>
      <c r="G1900" s="20" t="n">
        <f aca="false">9-F1900</f>
        <v>2.297124890704</v>
      </c>
      <c r="H1900" s="20" t="n">
        <f aca="false">IF(G1900&gt;=1,G1900,0)</f>
        <v>2.297124890704</v>
      </c>
      <c r="I1900" s="5" t="s">
        <v>74</v>
      </c>
      <c r="J1900" s="5" t="s">
        <v>2487</v>
      </c>
    </row>
    <row r="1901" customFormat="false" ht="15" hidden="false" customHeight="false" outlineLevel="0" collapsed="false">
      <c r="A1901" s="5" t="s">
        <v>229</v>
      </c>
      <c r="B1901" s="5" t="s">
        <v>171</v>
      </c>
      <c r="C1901" s="5" t="n">
        <v>19</v>
      </c>
      <c r="D1901" s="5" t="s">
        <v>1910</v>
      </c>
      <c r="E1901" s="5" t="n">
        <v>2</v>
      </c>
      <c r="F1901" s="20" t="n">
        <v>6.702875109296</v>
      </c>
      <c r="G1901" s="20" t="n">
        <f aca="false">9-F1901</f>
        <v>2.297124890704</v>
      </c>
      <c r="H1901" s="20" t="n">
        <f aca="false">IF(G1901&gt;=1,G1901,0)</f>
        <v>2.297124890704</v>
      </c>
      <c r="I1901" s="5" t="s">
        <v>74</v>
      </c>
      <c r="J1901" s="5" t="s">
        <v>2488</v>
      </c>
    </row>
    <row r="1902" customFormat="false" ht="15" hidden="false" customHeight="false" outlineLevel="0" collapsed="false">
      <c r="A1902" s="5" t="s">
        <v>229</v>
      </c>
      <c r="B1902" s="5" t="s">
        <v>171</v>
      </c>
      <c r="C1902" s="5" t="n">
        <v>20</v>
      </c>
      <c r="D1902" s="5" t="s">
        <v>1910</v>
      </c>
      <c r="E1902" s="5" t="n">
        <v>2</v>
      </c>
      <c r="F1902" s="20" t="n">
        <v>6.702875109296</v>
      </c>
      <c r="G1902" s="20" t="n">
        <f aca="false">9-F1902</f>
        <v>2.297124890704</v>
      </c>
      <c r="H1902" s="20" t="n">
        <f aca="false">IF(G1902&gt;=1,G1902,0)</f>
        <v>2.297124890704</v>
      </c>
      <c r="I1902" s="5" t="s">
        <v>74</v>
      </c>
      <c r="J1902" s="5" t="s">
        <v>2489</v>
      </c>
    </row>
    <row r="1903" customFormat="false" ht="15" hidden="false" customHeight="false" outlineLevel="0" collapsed="false">
      <c r="A1903" s="5" t="s">
        <v>229</v>
      </c>
      <c r="B1903" s="5" t="s">
        <v>171</v>
      </c>
      <c r="C1903" s="5" t="n">
        <v>21</v>
      </c>
      <c r="D1903" s="5" t="s">
        <v>1910</v>
      </c>
      <c r="E1903" s="5" t="n">
        <v>2</v>
      </c>
      <c r="F1903" s="20" t="n">
        <v>6.702875109296</v>
      </c>
      <c r="G1903" s="20" t="n">
        <f aca="false">9-F1903</f>
        <v>2.297124890704</v>
      </c>
      <c r="H1903" s="20" t="n">
        <f aca="false">IF(G1903&gt;=1,G1903,0)</f>
        <v>2.297124890704</v>
      </c>
      <c r="I1903" s="5" t="s">
        <v>74</v>
      </c>
      <c r="J1903" s="5" t="s">
        <v>2490</v>
      </c>
    </row>
    <row r="1904" customFormat="false" ht="15" hidden="false" customHeight="false" outlineLevel="0" collapsed="false">
      <c r="A1904" s="5" t="s">
        <v>229</v>
      </c>
      <c r="B1904" s="5" t="s">
        <v>171</v>
      </c>
      <c r="C1904" s="5" t="n">
        <v>22</v>
      </c>
      <c r="D1904" s="5" t="s">
        <v>1910</v>
      </c>
      <c r="E1904" s="5" t="n">
        <v>2</v>
      </c>
      <c r="F1904" s="20" t="n">
        <v>6.702875109296</v>
      </c>
      <c r="G1904" s="20" t="n">
        <f aca="false">9-F1904</f>
        <v>2.297124890704</v>
      </c>
      <c r="H1904" s="20" t="n">
        <f aca="false">IF(G1904&gt;=1,G1904,0)</f>
        <v>2.297124890704</v>
      </c>
      <c r="I1904" s="5" t="s">
        <v>74</v>
      </c>
      <c r="J1904" s="5" t="s">
        <v>2491</v>
      </c>
    </row>
    <row r="1905" customFormat="false" ht="15" hidden="false" customHeight="false" outlineLevel="0" collapsed="false">
      <c r="A1905" s="5" t="s">
        <v>229</v>
      </c>
      <c r="B1905" s="5" t="s">
        <v>171</v>
      </c>
      <c r="C1905" s="5" t="n">
        <v>23</v>
      </c>
      <c r="D1905" s="5" t="s">
        <v>1910</v>
      </c>
      <c r="E1905" s="5" t="n">
        <v>2</v>
      </c>
      <c r="F1905" s="20" t="n">
        <v>6.702875109296</v>
      </c>
      <c r="G1905" s="20" t="n">
        <f aca="false">9-F1905</f>
        <v>2.297124890704</v>
      </c>
      <c r="H1905" s="20" t="n">
        <f aca="false">IF(G1905&gt;=1,G1905,0)</f>
        <v>2.297124890704</v>
      </c>
      <c r="I1905" s="5" t="s">
        <v>74</v>
      </c>
      <c r="J1905" s="5" t="s">
        <v>2492</v>
      </c>
    </row>
    <row r="1906" customFormat="false" ht="15" hidden="false" customHeight="false" outlineLevel="0" collapsed="false">
      <c r="A1906" s="5" t="s">
        <v>229</v>
      </c>
      <c r="B1906" s="5" t="s">
        <v>171</v>
      </c>
      <c r="C1906" s="5" t="n">
        <v>24</v>
      </c>
      <c r="D1906" s="5" t="s">
        <v>1910</v>
      </c>
      <c r="E1906" s="5" t="n">
        <v>2</v>
      </c>
      <c r="F1906" s="20" t="n">
        <v>6.702875109296</v>
      </c>
      <c r="G1906" s="20" t="n">
        <f aca="false">9-F1906</f>
        <v>2.297124890704</v>
      </c>
      <c r="H1906" s="20" t="n">
        <f aca="false">IF(G1906&gt;=1,G1906,0)</f>
        <v>2.297124890704</v>
      </c>
      <c r="I1906" s="5" t="s">
        <v>74</v>
      </c>
      <c r="J1906" s="5" t="s">
        <v>2493</v>
      </c>
    </row>
    <row r="1907" customFormat="false" ht="15" hidden="false" customHeight="false" outlineLevel="0" collapsed="false">
      <c r="A1907" s="5" t="s">
        <v>229</v>
      </c>
      <c r="B1907" s="5" t="s">
        <v>171</v>
      </c>
      <c r="C1907" s="5" t="n">
        <v>25</v>
      </c>
      <c r="D1907" s="5" t="s">
        <v>1910</v>
      </c>
      <c r="E1907" s="5" t="n">
        <v>2</v>
      </c>
      <c r="F1907" s="20" t="n">
        <v>6.702875109296</v>
      </c>
      <c r="G1907" s="20" t="n">
        <f aca="false">9-F1907</f>
        <v>2.297124890704</v>
      </c>
      <c r="H1907" s="20" t="n">
        <f aca="false">IF(G1907&gt;=1,G1907,0)</f>
        <v>2.297124890704</v>
      </c>
      <c r="I1907" s="5" t="s">
        <v>74</v>
      </c>
      <c r="J1907" s="5" t="s">
        <v>2494</v>
      </c>
    </row>
    <row r="1908" customFormat="false" ht="15" hidden="false" customHeight="false" outlineLevel="0" collapsed="false">
      <c r="A1908" s="5" t="s">
        <v>229</v>
      </c>
      <c r="B1908" s="5" t="s">
        <v>171</v>
      </c>
      <c r="C1908" s="5" t="n">
        <v>26</v>
      </c>
      <c r="D1908" s="5" t="s">
        <v>1910</v>
      </c>
      <c r="E1908" s="5" t="n">
        <v>2</v>
      </c>
      <c r="F1908" s="20" t="n">
        <v>6.702875109296</v>
      </c>
      <c r="G1908" s="20" t="n">
        <f aca="false">9-F1908</f>
        <v>2.297124890704</v>
      </c>
      <c r="H1908" s="20" t="n">
        <f aca="false">IF(G1908&gt;=1,G1908,0)</f>
        <v>2.297124890704</v>
      </c>
      <c r="I1908" s="5" t="s">
        <v>74</v>
      </c>
      <c r="J1908" s="5" t="s">
        <v>2495</v>
      </c>
    </row>
    <row r="1909" customFormat="false" ht="15" hidden="false" customHeight="false" outlineLevel="0" collapsed="false">
      <c r="A1909" s="5" t="s">
        <v>229</v>
      </c>
      <c r="B1909" s="5" t="s">
        <v>171</v>
      </c>
      <c r="C1909" s="5" t="n">
        <v>27</v>
      </c>
      <c r="D1909" s="5" t="s">
        <v>1910</v>
      </c>
      <c r="E1909" s="5" t="n">
        <v>2</v>
      </c>
      <c r="F1909" s="20" t="n">
        <v>6.702875109296</v>
      </c>
      <c r="G1909" s="20" t="n">
        <f aca="false">9-F1909</f>
        <v>2.297124890704</v>
      </c>
      <c r="H1909" s="20" t="n">
        <f aca="false">IF(G1909&gt;=1,G1909,0)</f>
        <v>2.297124890704</v>
      </c>
      <c r="I1909" s="5" t="s">
        <v>74</v>
      </c>
      <c r="J1909" s="5" t="s">
        <v>2496</v>
      </c>
    </row>
    <row r="1910" customFormat="false" ht="15" hidden="false" customHeight="false" outlineLevel="0" collapsed="false">
      <c r="A1910" s="5" t="s">
        <v>229</v>
      </c>
      <c r="B1910" s="5" t="s">
        <v>171</v>
      </c>
      <c r="C1910" s="5" t="n">
        <v>28</v>
      </c>
      <c r="D1910" s="5" t="s">
        <v>1910</v>
      </c>
      <c r="E1910" s="5" t="n">
        <v>2</v>
      </c>
      <c r="F1910" s="20" t="n">
        <v>6.702875109296</v>
      </c>
      <c r="G1910" s="20" t="n">
        <f aca="false">9-F1910</f>
        <v>2.297124890704</v>
      </c>
      <c r="H1910" s="20" t="n">
        <f aca="false">IF(G1910&gt;=1,G1910,0)</f>
        <v>2.297124890704</v>
      </c>
      <c r="I1910" s="5" t="s">
        <v>74</v>
      </c>
      <c r="J1910" s="5" t="s">
        <v>2497</v>
      </c>
    </row>
    <row r="1911" customFormat="false" ht="15" hidden="false" customHeight="false" outlineLevel="0" collapsed="false">
      <c r="A1911" s="5" t="s">
        <v>229</v>
      </c>
      <c r="B1911" s="5" t="s">
        <v>171</v>
      </c>
      <c r="C1911" s="5" t="n">
        <v>29</v>
      </c>
      <c r="D1911" s="5" t="s">
        <v>1910</v>
      </c>
      <c r="E1911" s="5" t="n">
        <v>2</v>
      </c>
      <c r="F1911" s="20" t="n">
        <v>6.702875109296</v>
      </c>
      <c r="G1911" s="20" t="n">
        <f aca="false">9-F1911</f>
        <v>2.297124890704</v>
      </c>
      <c r="H1911" s="20" t="n">
        <f aca="false">IF(G1911&gt;=1,G1911,0)</f>
        <v>2.297124890704</v>
      </c>
      <c r="I1911" s="5" t="s">
        <v>74</v>
      </c>
      <c r="J1911" s="5" t="s">
        <v>2498</v>
      </c>
    </row>
    <row r="1912" customFormat="false" ht="15" hidden="false" customHeight="false" outlineLevel="0" collapsed="false">
      <c r="A1912" s="5" t="s">
        <v>229</v>
      </c>
      <c r="B1912" s="5" t="s">
        <v>171</v>
      </c>
      <c r="C1912" s="5" t="n">
        <v>30</v>
      </c>
      <c r="D1912" s="5" t="s">
        <v>1910</v>
      </c>
      <c r="E1912" s="5" t="n">
        <v>2</v>
      </c>
      <c r="F1912" s="20" t="n">
        <v>6.702875109296</v>
      </c>
      <c r="G1912" s="20" t="n">
        <f aca="false">9-F1912</f>
        <v>2.297124890704</v>
      </c>
      <c r="H1912" s="20" t="n">
        <f aca="false">IF(G1912&gt;=1,G1912,0)</f>
        <v>2.297124890704</v>
      </c>
      <c r="I1912" s="5" t="s">
        <v>74</v>
      </c>
      <c r="J1912" s="5" t="s">
        <v>2499</v>
      </c>
    </row>
    <row r="1913" customFormat="false" ht="15" hidden="false" customHeight="false" outlineLevel="0" collapsed="false">
      <c r="A1913" s="5" t="s">
        <v>229</v>
      </c>
      <c r="B1913" s="5" t="s">
        <v>171</v>
      </c>
      <c r="C1913" s="5" t="n">
        <v>31</v>
      </c>
      <c r="D1913" s="5" t="s">
        <v>1910</v>
      </c>
      <c r="E1913" s="5" t="n">
        <v>2</v>
      </c>
      <c r="F1913" s="20" t="n">
        <v>6.702875109296</v>
      </c>
      <c r="G1913" s="20" t="n">
        <f aca="false">9-F1913</f>
        <v>2.297124890704</v>
      </c>
      <c r="H1913" s="20" t="n">
        <f aca="false">IF(G1913&gt;=1,G1913,0)</f>
        <v>2.297124890704</v>
      </c>
      <c r="I1913" s="5" t="s">
        <v>74</v>
      </c>
      <c r="J1913" s="5" t="s">
        <v>2500</v>
      </c>
    </row>
    <row r="1914" customFormat="false" ht="15" hidden="false" customHeight="false" outlineLevel="0" collapsed="false">
      <c r="A1914" s="5" t="s">
        <v>229</v>
      </c>
      <c r="B1914" s="5" t="s">
        <v>171</v>
      </c>
      <c r="C1914" s="5" t="n">
        <v>32</v>
      </c>
      <c r="D1914" s="5" t="s">
        <v>1910</v>
      </c>
      <c r="E1914" s="5" t="n">
        <v>2</v>
      </c>
      <c r="F1914" s="20" t="n">
        <v>6.702875109296</v>
      </c>
      <c r="G1914" s="20" t="n">
        <f aca="false">9-F1914</f>
        <v>2.297124890704</v>
      </c>
      <c r="H1914" s="20" t="n">
        <f aca="false">IF(G1914&gt;=1,G1914,0)</f>
        <v>2.297124890704</v>
      </c>
      <c r="I1914" s="5" t="s">
        <v>74</v>
      </c>
      <c r="J1914" s="5" t="s">
        <v>2501</v>
      </c>
    </row>
    <row r="1915" customFormat="false" ht="15" hidden="false" customHeight="false" outlineLevel="0" collapsed="false">
      <c r="A1915" s="5" t="s">
        <v>229</v>
      </c>
      <c r="B1915" s="5" t="s">
        <v>171</v>
      </c>
      <c r="C1915" s="5" t="n">
        <v>33</v>
      </c>
      <c r="D1915" s="5" t="s">
        <v>1910</v>
      </c>
      <c r="E1915" s="5" t="n">
        <v>2</v>
      </c>
      <c r="F1915" s="20" t="n">
        <v>6.702875109296</v>
      </c>
      <c r="G1915" s="20" t="n">
        <f aca="false">9-F1915</f>
        <v>2.297124890704</v>
      </c>
      <c r="H1915" s="20" t="n">
        <f aca="false">IF(G1915&gt;=1,G1915,0)</f>
        <v>2.297124890704</v>
      </c>
      <c r="I1915" s="5" t="s">
        <v>74</v>
      </c>
      <c r="J1915" s="5" t="s">
        <v>2502</v>
      </c>
    </row>
    <row r="1916" customFormat="false" ht="15" hidden="false" customHeight="false" outlineLevel="0" collapsed="false">
      <c r="A1916" s="5" t="s">
        <v>229</v>
      </c>
      <c r="B1916" s="5" t="s">
        <v>171</v>
      </c>
      <c r="C1916" s="5" t="n">
        <v>34</v>
      </c>
      <c r="D1916" s="5" t="s">
        <v>1910</v>
      </c>
      <c r="E1916" s="5" t="n">
        <v>2</v>
      </c>
      <c r="F1916" s="20" t="n">
        <v>6.702875109296</v>
      </c>
      <c r="G1916" s="20" t="n">
        <f aca="false">9-F1916</f>
        <v>2.297124890704</v>
      </c>
      <c r="H1916" s="20" t="n">
        <f aca="false">IF(G1916&gt;=1,G1916,0)</f>
        <v>2.297124890704</v>
      </c>
      <c r="I1916" s="5" t="s">
        <v>74</v>
      </c>
      <c r="J1916" s="5" t="s">
        <v>2503</v>
      </c>
    </row>
    <row r="1917" customFormat="false" ht="15" hidden="false" customHeight="false" outlineLevel="0" collapsed="false">
      <c r="A1917" s="5" t="s">
        <v>229</v>
      </c>
      <c r="B1917" s="5" t="s">
        <v>171</v>
      </c>
      <c r="C1917" s="5" t="n">
        <v>35</v>
      </c>
      <c r="D1917" s="5" t="s">
        <v>1910</v>
      </c>
      <c r="E1917" s="5" t="n">
        <v>2</v>
      </c>
      <c r="F1917" s="20" t="n">
        <v>6.702875109296</v>
      </c>
      <c r="G1917" s="20" t="n">
        <f aca="false">9-F1917</f>
        <v>2.297124890704</v>
      </c>
      <c r="H1917" s="20" t="n">
        <f aca="false">IF(G1917&gt;=1,G1917,0)</f>
        <v>2.297124890704</v>
      </c>
      <c r="I1917" s="5" t="s">
        <v>74</v>
      </c>
      <c r="J1917" s="5" t="s">
        <v>2504</v>
      </c>
    </row>
    <row r="1918" customFormat="false" ht="15" hidden="false" customHeight="false" outlineLevel="0" collapsed="false">
      <c r="A1918" s="5" t="s">
        <v>229</v>
      </c>
      <c r="B1918" s="5" t="s">
        <v>171</v>
      </c>
      <c r="C1918" s="5" t="n">
        <v>36</v>
      </c>
      <c r="D1918" s="5" t="s">
        <v>1910</v>
      </c>
      <c r="E1918" s="5" t="n">
        <v>2</v>
      </c>
      <c r="F1918" s="20" t="n">
        <v>6.702875109296</v>
      </c>
      <c r="G1918" s="20" t="n">
        <f aca="false">9-F1918</f>
        <v>2.297124890704</v>
      </c>
      <c r="H1918" s="20" t="n">
        <f aca="false">IF(G1918&gt;=1,G1918,0)</f>
        <v>2.297124890704</v>
      </c>
      <c r="I1918" s="5" t="s">
        <v>74</v>
      </c>
      <c r="J1918" s="5" t="s">
        <v>2505</v>
      </c>
    </row>
    <row r="1919" customFormat="false" ht="15" hidden="false" customHeight="false" outlineLevel="0" collapsed="false">
      <c r="A1919" s="5" t="s">
        <v>229</v>
      </c>
      <c r="B1919" s="5" t="s">
        <v>171</v>
      </c>
      <c r="C1919" s="5" t="n">
        <v>37</v>
      </c>
      <c r="D1919" s="5" t="s">
        <v>1910</v>
      </c>
      <c r="E1919" s="5" t="n">
        <v>2</v>
      </c>
      <c r="F1919" s="20" t="n">
        <v>6.702875109296</v>
      </c>
      <c r="G1919" s="20" t="n">
        <f aca="false">9-F1919</f>
        <v>2.297124890704</v>
      </c>
      <c r="H1919" s="20" t="n">
        <f aca="false">IF(G1919&gt;=1,G1919,0)</f>
        <v>2.297124890704</v>
      </c>
      <c r="I1919" s="5" t="s">
        <v>74</v>
      </c>
      <c r="J1919" s="5" t="s">
        <v>2506</v>
      </c>
    </row>
    <row r="1920" customFormat="false" ht="15" hidden="false" customHeight="false" outlineLevel="0" collapsed="false">
      <c r="A1920" s="5" t="s">
        <v>229</v>
      </c>
      <c r="B1920" s="5" t="s">
        <v>171</v>
      </c>
      <c r="C1920" s="5" t="n">
        <v>38</v>
      </c>
      <c r="D1920" s="5" t="s">
        <v>1910</v>
      </c>
      <c r="E1920" s="5" t="n">
        <v>2</v>
      </c>
      <c r="F1920" s="20" t="n">
        <v>6.702875109296</v>
      </c>
      <c r="G1920" s="20" t="n">
        <f aca="false">9-F1920</f>
        <v>2.297124890704</v>
      </c>
      <c r="H1920" s="20" t="n">
        <f aca="false">IF(G1920&gt;=1,G1920,0)</f>
        <v>2.297124890704</v>
      </c>
      <c r="I1920" s="5" t="s">
        <v>74</v>
      </c>
      <c r="J1920" s="5" t="s">
        <v>2507</v>
      </c>
    </row>
    <row r="1921" customFormat="false" ht="15" hidden="false" customHeight="false" outlineLevel="0" collapsed="false">
      <c r="A1921" s="5" t="s">
        <v>229</v>
      </c>
      <c r="B1921" s="5" t="s">
        <v>171</v>
      </c>
      <c r="C1921" s="5" t="n">
        <v>39</v>
      </c>
      <c r="D1921" s="5" t="s">
        <v>1910</v>
      </c>
      <c r="E1921" s="5" t="n">
        <v>2</v>
      </c>
      <c r="F1921" s="20" t="n">
        <v>6.702875109296</v>
      </c>
      <c r="G1921" s="20" t="n">
        <f aca="false">9-F1921</f>
        <v>2.297124890704</v>
      </c>
      <c r="H1921" s="20" t="n">
        <f aca="false">IF(G1921&gt;=1,G1921,0)</f>
        <v>2.297124890704</v>
      </c>
      <c r="I1921" s="5" t="s">
        <v>74</v>
      </c>
      <c r="J1921" s="5" t="s">
        <v>2508</v>
      </c>
    </row>
    <row r="1922" customFormat="false" ht="15" hidden="false" customHeight="false" outlineLevel="0" collapsed="false">
      <c r="A1922" s="5" t="s">
        <v>229</v>
      </c>
      <c r="B1922" s="5" t="s">
        <v>171</v>
      </c>
      <c r="C1922" s="5" t="n">
        <v>40</v>
      </c>
      <c r="D1922" s="5" t="s">
        <v>1910</v>
      </c>
      <c r="E1922" s="5" t="n">
        <v>2</v>
      </c>
      <c r="F1922" s="20" t="n">
        <v>6.702875109296</v>
      </c>
      <c r="G1922" s="20" t="n">
        <f aca="false">9-F1922</f>
        <v>2.297124890704</v>
      </c>
      <c r="H1922" s="20" t="n">
        <f aca="false">IF(G1922&gt;=1,G1922,0)</f>
        <v>2.297124890704</v>
      </c>
      <c r="I1922" s="5" t="s">
        <v>74</v>
      </c>
      <c r="J1922" s="5" t="s">
        <v>2509</v>
      </c>
    </row>
    <row r="1923" customFormat="false" ht="15" hidden="false" customHeight="false" outlineLevel="0" collapsed="false">
      <c r="A1923" s="5" t="s">
        <v>229</v>
      </c>
      <c r="B1923" s="5" t="s">
        <v>171</v>
      </c>
      <c r="C1923" s="5" t="n">
        <v>41</v>
      </c>
      <c r="D1923" s="5" t="s">
        <v>1910</v>
      </c>
      <c r="E1923" s="5" t="n">
        <v>2</v>
      </c>
      <c r="F1923" s="20" t="n">
        <v>6.702875109296</v>
      </c>
      <c r="G1923" s="20" t="n">
        <f aca="false">9-F1923</f>
        <v>2.297124890704</v>
      </c>
      <c r="H1923" s="20" t="n">
        <f aca="false">IF(G1923&gt;=1,G1923,0)</f>
        <v>2.297124890704</v>
      </c>
      <c r="I1923" s="5" t="s">
        <v>74</v>
      </c>
      <c r="J1923" s="5" t="s">
        <v>2510</v>
      </c>
    </row>
    <row r="1924" customFormat="false" ht="15" hidden="false" customHeight="false" outlineLevel="0" collapsed="false">
      <c r="A1924" s="5" t="s">
        <v>229</v>
      </c>
      <c r="B1924" s="5" t="s">
        <v>171</v>
      </c>
      <c r="C1924" s="5" t="n">
        <v>42</v>
      </c>
      <c r="D1924" s="5" t="s">
        <v>1910</v>
      </c>
      <c r="E1924" s="5" t="n">
        <v>2</v>
      </c>
      <c r="F1924" s="20" t="n">
        <v>6.702875109296</v>
      </c>
      <c r="G1924" s="20" t="n">
        <f aca="false">9-F1924</f>
        <v>2.297124890704</v>
      </c>
      <c r="H1924" s="20" t="n">
        <f aca="false">IF(G1924&gt;=1,G1924,0)</f>
        <v>2.297124890704</v>
      </c>
      <c r="I1924" s="5" t="s">
        <v>74</v>
      </c>
      <c r="J1924" s="5" t="s">
        <v>2511</v>
      </c>
    </row>
    <row r="1925" customFormat="false" ht="15" hidden="false" customHeight="false" outlineLevel="0" collapsed="false">
      <c r="A1925" s="5" t="s">
        <v>229</v>
      </c>
      <c r="B1925" s="5" t="s">
        <v>171</v>
      </c>
      <c r="C1925" s="5" t="n">
        <v>43</v>
      </c>
      <c r="D1925" s="5" t="s">
        <v>1910</v>
      </c>
      <c r="E1925" s="5" t="n">
        <v>2</v>
      </c>
      <c r="F1925" s="20" t="n">
        <v>6.702875109296</v>
      </c>
      <c r="G1925" s="20" t="n">
        <f aca="false">9-F1925</f>
        <v>2.297124890704</v>
      </c>
      <c r="H1925" s="20" t="n">
        <f aca="false">IF(G1925&gt;=1,G1925,0)</f>
        <v>2.297124890704</v>
      </c>
      <c r="I1925" s="5" t="s">
        <v>74</v>
      </c>
      <c r="J1925" s="5" t="s">
        <v>2512</v>
      </c>
    </row>
    <row r="1926" customFormat="false" ht="15" hidden="false" customHeight="false" outlineLevel="0" collapsed="false">
      <c r="A1926" s="5" t="s">
        <v>229</v>
      </c>
      <c r="B1926" s="5" t="s">
        <v>171</v>
      </c>
      <c r="C1926" s="5" t="n">
        <v>44</v>
      </c>
      <c r="D1926" s="5" t="s">
        <v>1910</v>
      </c>
      <c r="E1926" s="5" t="n">
        <v>2</v>
      </c>
      <c r="F1926" s="20" t="n">
        <v>6.702875109296</v>
      </c>
      <c r="G1926" s="20" t="n">
        <f aca="false">9-F1926</f>
        <v>2.297124890704</v>
      </c>
      <c r="H1926" s="20" t="n">
        <f aca="false">IF(G1926&gt;=1,G1926,0)</f>
        <v>2.297124890704</v>
      </c>
      <c r="I1926" s="5" t="s">
        <v>74</v>
      </c>
      <c r="J1926" s="5" t="s">
        <v>2513</v>
      </c>
    </row>
    <row r="1927" customFormat="false" ht="15" hidden="false" customHeight="false" outlineLevel="0" collapsed="false">
      <c r="A1927" s="5" t="s">
        <v>229</v>
      </c>
      <c r="B1927" s="5" t="s">
        <v>171</v>
      </c>
      <c r="C1927" s="5" t="n">
        <v>45</v>
      </c>
      <c r="D1927" s="5" t="s">
        <v>1910</v>
      </c>
      <c r="E1927" s="5" t="n">
        <v>2</v>
      </c>
      <c r="F1927" s="20" t="n">
        <v>6.702875109296</v>
      </c>
      <c r="G1927" s="20" t="n">
        <f aca="false">9-F1927</f>
        <v>2.297124890704</v>
      </c>
      <c r="H1927" s="20" t="n">
        <f aca="false">IF(G1927&gt;=1,G1927,0)</f>
        <v>2.297124890704</v>
      </c>
      <c r="I1927" s="5" t="s">
        <v>74</v>
      </c>
      <c r="J1927" s="5" t="s">
        <v>2514</v>
      </c>
    </row>
    <row r="1928" customFormat="false" ht="15" hidden="false" customHeight="false" outlineLevel="0" collapsed="false">
      <c r="A1928" s="5" t="s">
        <v>229</v>
      </c>
      <c r="B1928" s="5" t="s">
        <v>171</v>
      </c>
      <c r="C1928" s="5" t="n">
        <v>46</v>
      </c>
      <c r="D1928" s="5" t="s">
        <v>1910</v>
      </c>
      <c r="E1928" s="5" t="n">
        <v>2</v>
      </c>
      <c r="F1928" s="20" t="n">
        <v>6.702875109296</v>
      </c>
      <c r="G1928" s="20" t="n">
        <f aca="false">9-F1928</f>
        <v>2.297124890704</v>
      </c>
      <c r="H1928" s="20" t="n">
        <f aca="false">IF(G1928&gt;=1,G1928,0)</f>
        <v>2.297124890704</v>
      </c>
      <c r="I1928" s="5" t="s">
        <v>74</v>
      </c>
      <c r="J1928" s="5" t="s">
        <v>2515</v>
      </c>
    </row>
    <row r="1929" customFormat="false" ht="15" hidden="false" customHeight="false" outlineLevel="0" collapsed="false">
      <c r="A1929" s="5" t="s">
        <v>229</v>
      </c>
      <c r="B1929" s="5" t="s">
        <v>171</v>
      </c>
      <c r="C1929" s="5" t="n">
        <v>47</v>
      </c>
      <c r="D1929" s="5" t="s">
        <v>1910</v>
      </c>
      <c r="E1929" s="5" t="n">
        <v>2</v>
      </c>
      <c r="F1929" s="20" t="n">
        <v>6.702875109296</v>
      </c>
      <c r="G1929" s="20" t="n">
        <f aca="false">9-F1929</f>
        <v>2.297124890704</v>
      </c>
      <c r="H1929" s="20" t="n">
        <f aca="false">IF(G1929&gt;=1,G1929,0)</f>
        <v>2.297124890704</v>
      </c>
      <c r="I1929" s="5" t="s">
        <v>74</v>
      </c>
      <c r="J1929" s="5" t="s">
        <v>2516</v>
      </c>
    </row>
    <row r="1930" customFormat="false" ht="15" hidden="false" customHeight="false" outlineLevel="0" collapsed="false">
      <c r="A1930" s="5" t="s">
        <v>229</v>
      </c>
      <c r="B1930" s="5" t="s">
        <v>171</v>
      </c>
      <c r="C1930" s="5" t="n">
        <v>48</v>
      </c>
      <c r="D1930" s="5" t="s">
        <v>1910</v>
      </c>
      <c r="E1930" s="5" t="n">
        <v>2</v>
      </c>
      <c r="F1930" s="20" t="n">
        <v>6.702875109296</v>
      </c>
      <c r="G1930" s="20" t="n">
        <f aca="false">9-F1930</f>
        <v>2.297124890704</v>
      </c>
      <c r="H1930" s="20" t="n">
        <f aca="false">IF(G1930&gt;=1,G1930,0)</f>
        <v>2.297124890704</v>
      </c>
      <c r="I1930" s="5" t="s">
        <v>74</v>
      </c>
      <c r="J1930" s="5" t="s">
        <v>2517</v>
      </c>
    </row>
    <row r="1931" customFormat="false" ht="15" hidden="false" customHeight="false" outlineLevel="0" collapsed="false">
      <c r="A1931" s="5" t="s">
        <v>229</v>
      </c>
      <c r="B1931" s="5" t="s">
        <v>171</v>
      </c>
      <c r="C1931" s="5" t="n">
        <v>49</v>
      </c>
      <c r="D1931" s="5" t="s">
        <v>1910</v>
      </c>
      <c r="E1931" s="5" t="n">
        <v>2</v>
      </c>
      <c r="F1931" s="20" t="n">
        <v>6.702875109296</v>
      </c>
      <c r="G1931" s="20" t="n">
        <f aca="false">9-F1931</f>
        <v>2.297124890704</v>
      </c>
      <c r="H1931" s="20" t="n">
        <f aca="false">IF(G1931&gt;=1,G1931,0)</f>
        <v>2.297124890704</v>
      </c>
      <c r="I1931" s="5" t="s">
        <v>74</v>
      </c>
      <c r="J1931" s="5" t="s">
        <v>2518</v>
      </c>
    </row>
    <row r="1932" customFormat="false" ht="15" hidden="false" customHeight="false" outlineLevel="0" collapsed="false">
      <c r="A1932" s="5" t="s">
        <v>229</v>
      </c>
      <c r="B1932" s="5" t="s">
        <v>171</v>
      </c>
      <c r="C1932" s="5" t="n">
        <v>50</v>
      </c>
      <c r="D1932" s="5" t="s">
        <v>1910</v>
      </c>
      <c r="E1932" s="5" t="n">
        <v>2</v>
      </c>
      <c r="F1932" s="20" t="n">
        <v>6.702875109296</v>
      </c>
      <c r="G1932" s="20" t="n">
        <f aca="false">9-F1932</f>
        <v>2.297124890704</v>
      </c>
      <c r="H1932" s="20" t="n">
        <f aca="false">IF(G1932&gt;=1,G1932,0)</f>
        <v>2.297124890704</v>
      </c>
      <c r="I1932" s="5" t="s">
        <v>74</v>
      </c>
      <c r="J1932" s="5" t="s">
        <v>2519</v>
      </c>
    </row>
    <row r="1933" customFormat="false" ht="15" hidden="false" customHeight="false" outlineLevel="0" collapsed="false">
      <c r="A1933" s="5" t="s">
        <v>229</v>
      </c>
      <c r="B1933" s="5" t="s">
        <v>171</v>
      </c>
      <c r="C1933" s="5" t="n">
        <v>51</v>
      </c>
      <c r="D1933" s="5" t="s">
        <v>1910</v>
      </c>
      <c r="E1933" s="5" t="n">
        <v>2</v>
      </c>
      <c r="F1933" s="20" t="n">
        <v>6.702875109296</v>
      </c>
      <c r="G1933" s="20" t="n">
        <f aca="false">9-F1933</f>
        <v>2.297124890704</v>
      </c>
      <c r="H1933" s="20" t="n">
        <f aca="false">IF(G1933&gt;=1,G1933,0)</f>
        <v>2.297124890704</v>
      </c>
      <c r="I1933" s="5" t="s">
        <v>74</v>
      </c>
      <c r="J1933" s="5" t="s">
        <v>2520</v>
      </c>
    </row>
    <row r="1934" customFormat="false" ht="15" hidden="false" customHeight="false" outlineLevel="0" collapsed="false">
      <c r="A1934" s="5" t="s">
        <v>229</v>
      </c>
      <c r="B1934" s="5" t="s">
        <v>171</v>
      </c>
      <c r="C1934" s="5" t="n">
        <v>52</v>
      </c>
      <c r="D1934" s="5" t="s">
        <v>1910</v>
      </c>
      <c r="E1934" s="5" t="n">
        <v>2</v>
      </c>
      <c r="F1934" s="20" t="n">
        <v>6.702875109296</v>
      </c>
      <c r="G1934" s="20" t="n">
        <f aca="false">9-F1934</f>
        <v>2.297124890704</v>
      </c>
      <c r="H1934" s="20" t="n">
        <f aca="false">IF(G1934&gt;=1,G1934,0)</f>
        <v>2.297124890704</v>
      </c>
      <c r="I1934" s="5" t="s">
        <v>74</v>
      </c>
      <c r="J1934" s="5" t="s">
        <v>2521</v>
      </c>
    </row>
    <row r="1935" customFormat="false" ht="15" hidden="false" customHeight="false" outlineLevel="0" collapsed="false">
      <c r="A1935" s="5" t="s">
        <v>229</v>
      </c>
      <c r="B1935" s="5" t="s">
        <v>171</v>
      </c>
      <c r="C1935" s="5" t="n">
        <v>53</v>
      </c>
      <c r="D1935" s="5" t="s">
        <v>1910</v>
      </c>
      <c r="E1935" s="5" t="n">
        <v>2</v>
      </c>
      <c r="F1935" s="20" t="n">
        <v>6.702875109296</v>
      </c>
      <c r="G1935" s="20" t="n">
        <f aca="false">9-F1935</f>
        <v>2.297124890704</v>
      </c>
      <c r="H1935" s="20" t="n">
        <f aca="false">IF(G1935&gt;=1,G1935,0)</f>
        <v>2.297124890704</v>
      </c>
      <c r="I1935" s="5" t="s">
        <v>74</v>
      </c>
      <c r="J1935" s="5" t="s">
        <v>2522</v>
      </c>
    </row>
    <row r="1936" customFormat="false" ht="15" hidden="false" customHeight="false" outlineLevel="0" collapsed="false">
      <c r="A1936" s="5" t="s">
        <v>229</v>
      </c>
      <c r="B1936" s="5" t="s">
        <v>171</v>
      </c>
      <c r="C1936" s="5" t="n">
        <v>54</v>
      </c>
      <c r="D1936" s="5" t="s">
        <v>1910</v>
      </c>
      <c r="E1936" s="5" t="n">
        <v>2</v>
      </c>
      <c r="F1936" s="20" t="n">
        <v>6.702875109296</v>
      </c>
      <c r="G1936" s="20" t="n">
        <f aca="false">9-F1936</f>
        <v>2.297124890704</v>
      </c>
      <c r="H1936" s="20" t="n">
        <f aca="false">IF(G1936&gt;=1,G1936,0)</f>
        <v>2.297124890704</v>
      </c>
      <c r="I1936" s="5" t="s">
        <v>74</v>
      </c>
      <c r="J1936" s="5" t="s">
        <v>2523</v>
      </c>
    </row>
    <row r="1937" customFormat="false" ht="15" hidden="false" customHeight="false" outlineLevel="0" collapsed="false">
      <c r="A1937" s="5" t="s">
        <v>229</v>
      </c>
      <c r="B1937" s="5" t="s">
        <v>171</v>
      </c>
      <c r="C1937" s="5" t="n">
        <v>55</v>
      </c>
      <c r="D1937" s="5" t="s">
        <v>1910</v>
      </c>
      <c r="E1937" s="5" t="n">
        <v>2</v>
      </c>
      <c r="F1937" s="20" t="n">
        <v>6.702875109296</v>
      </c>
      <c r="G1937" s="20" t="n">
        <f aca="false">9-F1937</f>
        <v>2.297124890704</v>
      </c>
      <c r="H1937" s="20" t="n">
        <f aca="false">IF(G1937&gt;=1,G1937,0)</f>
        <v>2.297124890704</v>
      </c>
      <c r="I1937" s="5" t="s">
        <v>74</v>
      </c>
      <c r="J1937" s="5" t="s">
        <v>2524</v>
      </c>
    </row>
    <row r="1938" customFormat="false" ht="15" hidden="false" customHeight="false" outlineLevel="0" collapsed="false">
      <c r="A1938" s="5" t="s">
        <v>229</v>
      </c>
      <c r="B1938" s="5" t="s">
        <v>171</v>
      </c>
      <c r="C1938" s="5" t="n">
        <v>56</v>
      </c>
      <c r="D1938" s="5" t="s">
        <v>1910</v>
      </c>
      <c r="E1938" s="5" t="n">
        <v>2</v>
      </c>
      <c r="F1938" s="20" t="n">
        <v>6.702875109296</v>
      </c>
      <c r="G1938" s="20" t="n">
        <f aca="false">9-F1938</f>
        <v>2.297124890704</v>
      </c>
      <c r="H1938" s="20" t="n">
        <f aca="false">IF(G1938&gt;=1,G1938,0)</f>
        <v>2.297124890704</v>
      </c>
      <c r="I1938" s="5" t="s">
        <v>74</v>
      </c>
      <c r="J1938" s="5" t="s">
        <v>2525</v>
      </c>
    </row>
    <row r="1939" customFormat="false" ht="15" hidden="false" customHeight="false" outlineLevel="0" collapsed="false">
      <c r="A1939" s="5" t="s">
        <v>229</v>
      </c>
      <c r="B1939" s="5" t="s">
        <v>171</v>
      </c>
      <c r="C1939" s="5" t="n">
        <v>57</v>
      </c>
      <c r="D1939" s="5" t="s">
        <v>1910</v>
      </c>
      <c r="E1939" s="5" t="n">
        <v>2</v>
      </c>
      <c r="F1939" s="20" t="n">
        <v>6.702875109296</v>
      </c>
      <c r="G1939" s="20" t="n">
        <f aca="false">9-F1939</f>
        <v>2.297124890704</v>
      </c>
      <c r="H1939" s="20" t="n">
        <f aca="false">IF(G1939&gt;=1,G1939,0)</f>
        <v>2.297124890704</v>
      </c>
      <c r="I1939" s="5" t="s">
        <v>74</v>
      </c>
      <c r="J1939" s="5" t="s">
        <v>2526</v>
      </c>
    </row>
    <row r="1940" customFormat="false" ht="15" hidden="false" customHeight="false" outlineLevel="0" collapsed="false">
      <c r="A1940" s="5" t="s">
        <v>229</v>
      </c>
      <c r="B1940" s="5" t="s">
        <v>171</v>
      </c>
      <c r="C1940" s="5" t="n">
        <v>58</v>
      </c>
      <c r="D1940" s="5" t="s">
        <v>1910</v>
      </c>
      <c r="E1940" s="5" t="n">
        <v>2</v>
      </c>
      <c r="F1940" s="20" t="n">
        <v>6.702875109296</v>
      </c>
      <c r="G1940" s="20" t="n">
        <f aca="false">9-F1940</f>
        <v>2.297124890704</v>
      </c>
      <c r="H1940" s="20" t="n">
        <f aca="false">IF(G1940&gt;=1,G1940,0)</f>
        <v>2.297124890704</v>
      </c>
      <c r="I1940" s="5" t="s">
        <v>74</v>
      </c>
      <c r="J1940" s="5" t="s">
        <v>2527</v>
      </c>
    </row>
    <row r="1941" customFormat="false" ht="15" hidden="false" customHeight="false" outlineLevel="0" collapsed="false">
      <c r="A1941" s="5" t="s">
        <v>229</v>
      </c>
      <c r="B1941" s="5" t="s">
        <v>171</v>
      </c>
      <c r="C1941" s="5" t="n">
        <v>59</v>
      </c>
      <c r="D1941" s="5" t="s">
        <v>1910</v>
      </c>
      <c r="E1941" s="5" t="n">
        <v>2</v>
      </c>
      <c r="F1941" s="20" t="n">
        <v>6.702875109296</v>
      </c>
      <c r="G1941" s="20" t="n">
        <f aca="false">9-F1941</f>
        <v>2.297124890704</v>
      </c>
      <c r="H1941" s="20" t="n">
        <f aca="false">IF(G1941&gt;=1,G1941,0)</f>
        <v>2.297124890704</v>
      </c>
      <c r="I1941" s="5" t="s">
        <v>74</v>
      </c>
      <c r="J1941" s="5" t="s">
        <v>2528</v>
      </c>
    </row>
    <row r="1942" customFormat="false" ht="15" hidden="false" customHeight="false" outlineLevel="0" collapsed="false">
      <c r="A1942" s="5" t="s">
        <v>229</v>
      </c>
      <c r="B1942" s="5" t="s">
        <v>171</v>
      </c>
      <c r="C1942" s="5" t="n">
        <v>60</v>
      </c>
      <c r="D1942" s="5" t="s">
        <v>1910</v>
      </c>
      <c r="E1942" s="5" t="n">
        <v>2</v>
      </c>
      <c r="F1942" s="20" t="n">
        <v>6.702875109296</v>
      </c>
      <c r="G1942" s="20" t="n">
        <f aca="false">9-F1942</f>
        <v>2.297124890704</v>
      </c>
      <c r="H1942" s="20" t="n">
        <f aca="false">IF(G1942&gt;=1,G1942,0)</f>
        <v>2.297124890704</v>
      </c>
      <c r="I1942" s="5" t="s">
        <v>74</v>
      </c>
      <c r="J1942" s="5" t="s">
        <v>2529</v>
      </c>
    </row>
    <row r="1943" customFormat="false" ht="15" hidden="false" customHeight="false" outlineLevel="0" collapsed="false">
      <c r="A1943" s="5" t="s">
        <v>229</v>
      </c>
      <c r="B1943" s="5" t="s">
        <v>171</v>
      </c>
      <c r="C1943" s="5" t="n">
        <v>61</v>
      </c>
      <c r="D1943" s="5" t="s">
        <v>1910</v>
      </c>
      <c r="E1943" s="5" t="n">
        <v>2</v>
      </c>
      <c r="F1943" s="20" t="n">
        <v>6.702875109296</v>
      </c>
      <c r="G1943" s="20" t="n">
        <f aca="false">9-F1943</f>
        <v>2.297124890704</v>
      </c>
      <c r="H1943" s="20" t="n">
        <f aca="false">IF(G1943&gt;=1,G1943,0)</f>
        <v>2.297124890704</v>
      </c>
      <c r="I1943" s="5" t="s">
        <v>74</v>
      </c>
      <c r="J1943" s="5" t="s">
        <v>2530</v>
      </c>
    </row>
    <row r="1944" customFormat="false" ht="15" hidden="false" customHeight="false" outlineLevel="0" collapsed="false">
      <c r="A1944" s="5" t="s">
        <v>229</v>
      </c>
      <c r="B1944" s="5" t="s">
        <v>171</v>
      </c>
      <c r="C1944" s="5" t="n">
        <v>62</v>
      </c>
      <c r="D1944" s="5" t="s">
        <v>1910</v>
      </c>
      <c r="E1944" s="5" t="n">
        <v>2</v>
      </c>
      <c r="F1944" s="20" t="n">
        <v>6.702875109296</v>
      </c>
      <c r="G1944" s="20" t="n">
        <f aca="false">9-F1944</f>
        <v>2.297124890704</v>
      </c>
      <c r="H1944" s="20" t="n">
        <f aca="false">IF(G1944&gt;=1,G1944,0)</f>
        <v>2.297124890704</v>
      </c>
      <c r="I1944" s="5" t="s">
        <v>74</v>
      </c>
      <c r="J1944" s="5" t="s">
        <v>2531</v>
      </c>
    </row>
    <row r="1945" customFormat="false" ht="15" hidden="false" customHeight="false" outlineLevel="0" collapsed="false">
      <c r="A1945" s="5" t="s">
        <v>229</v>
      </c>
      <c r="B1945" s="5" t="s">
        <v>171</v>
      </c>
      <c r="C1945" s="5" t="n">
        <v>63</v>
      </c>
      <c r="D1945" s="5" t="s">
        <v>1910</v>
      </c>
      <c r="E1945" s="5" t="n">
        <v>2</v>
      </c>
      <c r="F1945" s="20" t="n">
        <v>6.702875109296</v>
      </c>
      <c r="G1945" s="20" t="n">
        <f aca="false">9-F1945</f>
        <v>2.297124890704</v>
      </c>
      <c r="H1945" s="20" t="n">
        <f aca="false">IF(G1945&gt;=1,G1945,0)</f>
        <v>2.297124890704</v>
      </c>
      <c r="I1945" s="5" t="s">
        <v>74</v>
      </c>
      <c r="J1945" s="5" t="s">
        <v>2532</v>
      </c>
    </row>
    <row r="1946" customFormat="false" ht="15" hidden="false" customHeight="false" outlineLevel="0" collapsed="false">
      <c r="A1946" s="5" t="s">
        <v>229</v>
      </c>
      <c r="B1946" s="5" t="s">
        <v>171</v>
      </c>
      <c r="C1946" s="5" t="n">
        <v>64</v>
      </c>
      <c r="D1946" s="5" t="s">
        <v>1910</v>
      </c>
      <c r="E1946" s="5" t="n">
        <v>2</v>
      </c>
      <c r="F1946" s="20" t="n">
        <v>6.702875109296</v>
      </c>
      <c r="G1946" s="20" t="n">
        <f aca="false">9-F1946</f>
        <v>2.297124890704</v>
      </c>
      <c r="H1946" s="20" t="n">
        <f aca="false">IF(G1946&gt;=1,G1946,0)</f>
        <v>2.297124890704</v>
      </c>
      <c r="I1946" s="5" t="s">
        <v>74</v>
      </c>
      <c r="J1946" s="5" t="s">
        <v>2533</v>
      </c>
    </row>
    <row r="1947" customFormat="false" ht="15" hidden="false" customHeight="false" outlineLevel="0" collapsed="false">
      <c r="A1947" s="5" t="s">
        <v>229</v>
      </c>
      <c r="B1947" s="5" t="s">
        <v>171</v>
      </c>
      <c r="C1947" s="5" t="n">
        <v>65</v>
      </c>
      <c r="D1947" s="5" t="s">
        <v>1910</v>
      </c>
      <c r="E1947" s="5" t="n">
        <v>2</v>
      </c>
      <c r="F1947" s="20" t="n">
        <v>6.702875109296</v>
      </c>
      <c r="G1947" s="20" t="n">
        <f aca="false">9-F1947</f>
        <v>2.297124890704</v>
      </c>
      <c r="H1947" s="20" t="n">
        <f aca="false">IF(G1947&gt;=1,G1947,0)</f>
        <v>2.297124890704</v>
      </c>
      <c r="I1947" s="5" t="s">
        <v>74</v>
      </c>
      <c r="J1947" s="5" t="s">
        <v>2534</v>
      </c>
    </row>
    <row r="1948" customFormat="false" ht="15" hidden="false" customHeight="false" outlineLevel="0" collapsed="false">
      <c r="A1948" s="5" t="s">
        <v>229</v>
      </c>
      <c r="B1948" s="5" t="s">
        <v>171</v>
      </c>
      <c r="C1948" s="5" t="n">
        <v>66</v>
      </c>
      <c r="D1948" s="5" t="s">
        <v>1910</v>
      </c>
      <c r="E1948" s="5" t="n">
        <v>2</v>
      </c>
      <c r="F1948" s="20" t="n">
        <v>6.702875109296</v>
      </c>
      <c r="G1948" s="20" t="n">
        <f aca="false">9-F1948</f>
        <v>2.297124890704</v>
      </c>
      <c r="H1948" s="20" t="n">
        <f aca="false">IF(G1948&gt;=1,G1948,0)</f>
        <v>2.297124890704</v>
      </c>
      <c r="I1948" s="5" t="s">
        <v>74</v>
      </c>
      <c r="J1948" s="5" t="s">
        <v>2535</v>
      </c>
    </row>
    <row r="1949" customFormat="false" ht="15" hidden="false" customHeight="false" outlineLevel="0" collapsed="false">
      <c r="A1949" s="5" t="s">
        <v>229</v>
      </c>
      <c r="B1949" s="5" t="s">
        <v>171</v>
      </c>
      <c r="C1949" s="5" t="n">
        <v>67</v>
      </c>
      <c r="D1949" s="5" t="s">
        <v>1910</v>
      </c>
      <c r="E1949" s="5" t="n">
        <v>2</v>
      </c>
      <c r="F1949" s="20" t="n">
        <v>6.702875109296</v>
      </c>
      <c r="G1949" s="20" t="n">
        <f aca="false">9-F1949</f>
        <v>2.297124890704</v>
      </c>
      <c r="H1949" s="20" t="n">
        <f aca="false">IF(G1949&gt;=1,G1949,0)</f>
        <v>2.297124890704</v>
      </c>
      <c r="I1949" s="5" t="s">
        <v>74</v>
      </c>
      <c r="J1949" s="5" t="s">
        <v>2536</v>
      </c>
    </row>
    <row r="1950" customFormat="false" ht="15" hidden="false" customHeight="false" outlineLevel="0" collapsed="false">
      <c r="A1950" s="5" t="s">
        <v>229</v>
      </c>
      <c r="B1950" s="5" t="s">
        <v>171</v>
      </c>
      <c r="C1950" s="5" t="n">
        <v>68</v>
      </c>
      <c r="D1950" s="5" t="s">
        <v>1910</v>
      </c>
      <c r="E1950" s="5" t="n">
        <v>2</v>
      </c>
      <c r="F1950" s="20" t="n">
        <v>6.702875109296</v>
      </c>
      <c r="G1950" s="20" t="n">
        <f aca="false">9-F1950</f>
        <v>2.297124890704</v>
      </c>
      <c r="H1950" s="20" t="n">
        <f aca="false">IF(G1950&gt;=1,G1950,0)</f>
        <v>2.297124890704</v>
      </c>
      <c r="I1950" s="5" t="s">
        <v>74</v>
      </c>
      <c r="J1950" s="5" t="s">
        <v>2537</v>
      </c>
    </row>
    <row r="1951" customFormat="false" ht="15" hidden="false" customHeight="false" outlineLevel="0" collapsed="false">
      <c r="A1951" s="5" t="s">
        <v>229</v>
      </c>
      <c r="B1951" s="5" t="s">
        <v>171</v>
      </c>
      <c r="C1951" s="5" t="n">
        <v>69</v>
      </c>
      <c r="D1951" s="5" t="s">
        <v>1910</v>
      </c>
      <c r="E1951" s="5" t="n">
        <v>2</v>
      </c>
      <c r="F1951" s="20" t="n">
        <v>6.702875109296</v>
      </c>
      <c r="G1951" s="20" t="n">
        <f aca="false">9-F1951</f>
        <v>2.297124890704</v>
      </c>
      <c r="H1951" s="20" t="n">
        <f aca="false">IF(G1951&gt;=1,G1951,0)</f>
        <v>2.297124890704</v>
      </c>
      <c r="I1951" s="5" t="s">
        <v>74</v>
      </c>
      <c r="J1951" s="5" t="s">
        <v>2538</v>
      </c>
    </row>
    <row r="1952" customFormat="false" ht="15" hidden="false" customHeight="false" outlineLevel="0" collapsed="false">
      <c r="A1952" s="5" t="s">
        <v>229</v>
      </c>
      <c r="B1952" s="5" t="s">
        <v>171</v>
      </c>
      <c r="C1952" s="5" t="n">
        <v>70</v>
      </c>
      <c r="D1952" s="5" t="s">
        <v>1910</v>
      </c>
      <c r="E1952" s="5" t="n">
        <v>2</v>
      </c>
      <c r="F1952" s="20" t="n">
        <v>6.702875109296</v>
      </c>
      <c r="G1952" s="20" t="n">
        <f aca="false">9-F1952</f>
        <v>2.297124890704</v>
      </c>
      <c r="H1952" s="20" t="n">
        <f aca="false">IF(G1952&gt;=1,G1952,0)</f>
        <v>2.297124890704</v>
      </c>
      <c r="I1952" s="5" t="s">
        <v>74</v>
      </c>
      <c r="J1952" s="5" t="s">
        <v>2539</v>
      </c>
    </row>
    <row r="1953" customFormat="false" ht="15" hidden="false" customHeight="false" outlineLevel="0" collapsed="false">
      <c r="A1953" s="5" t="s">
        <v>229</v>
      </c>
      <c r="B1953" s="5" t="s">
        <v>171</v>
      </c>
      <c r="C1953" s="5" t="n">
        <v>71</v>
      </c>
      <c r="D1953" s="5" t="s">
        <v>1910</v>
      </c>
      <c r="E1953" s="5" t="n">
        <v>2</v>
      </c>
      <c r="F1953" s="20" t="n">
        <v>6.702875109296</v>
      </c>
      <c r="G1953" s="20" t="n">
        <f aca="false">9-F1953</f>
        <v>2.297124890704</v>
      </c>
      <c r="H1953" s="20" t="n">
        <f aca="false">IF(G1953&gt;=1,G1953,0)</f>
        <v>2.297124890704</v>
      </c>
      <c r="I1953" s="5" t="s">
        <v>74</v>
      </c>
      <c r="J1953" s="5" t="s">
        <v>2540</v>
      </c>
    </row>
    <row r="1954" customFormat="false" ht="15" hidden="false" customHeight="false" outlineLevel="0" collapsed="false">
      <c r="A1954" s="5" t="s">
        <v>229</v>
      </c>
      <c r="B1954" s="5" t="s">
        <v>172</v>
      </c>
      <c r="C1954" s="5" t="n">
        <v>1</v>
      </c>
      <c r="D1954" s="5" t="s">
        <v>505</v>
      </c>
      <c r="E1954" s="5" t="n">
        <v>1</v>
      </c>
      <c r="F1954" s="20" t="n">
        <v>9</v>
      </c>
      <c r="G1954" s="20" t="n">
        <f aca="false">9-F1954</f>
        <v>0</v>
      </c>
      <c r="H1954" s="20" t="n">
        <f aca="false">IF(G1954&gt;=1,G1954,0)</f>
        <v>0</v>
      </c>
      <c r="I1954" s="5" t="s">
        <v>75</v>
      </c>
      <c r="J1954" s="5" t="s">
        <v>2541</v>
      </c>
    </row>
    <row r="1955" customFormat="false" ht="15" hidden="false" customHeight="false" outlineLevel="0" collapsed="false">
      <c r="A1955" s="5" t="s">
        <v>229</v>
      </c>
      <c r="B1955" s="5" t="s">
        <v>172</v>
      </c>
      <c r="C1955" s="5" t="n">
        <v>2</v>
      </c>
      <c r="D1955" s="5" t="s">
        <v>505</v>
      </c>
      <c r="E1955" s="5" t="n">
        <v>1</v>
      </c>
      <c r="F1955" s="20" t="n">
        <v>9</v>
      </c>
      <c r="G1955" s="20" t="n">
        <f aca="false">9-F1955</f>
        <v>0</v>
      </c>
      <c r="H1955" s="20" t="n">
        <f aca="false">IF(G1955&gt;=1,G1955,0)</f>
        <v>0</v>
      </c>
      <c r="I1955" s="5" t="s">
        <v>75</v>
      </c>
      <c r="J1955" s="5" t="s">
        <v>2542</v>
      </c>
    </row>
    <row r="1956" customFormat="false" ht="15" hidden="false" customHeight="false" outlineLevel="0" collapsed="false">
      <c r="A1956" s="5" t="s">
        <v>229</v>
      </c>
      <c r="B1956" s="5" t="s">
        <v>172</v>
      </c>
      <c r="C1956" s="5" t="n">
        <v>3</v>
      </c>
      <c r="D1956" s="5" t="s">
        <v>505</v>
      </c>
      <c r="E1956" s="5" t="n">
        <v>1</v>
      </c>
      <c r="F1956" s="20" t="n">
        <v>9</v>
      </c>
      <c r="G1956" s="20" t="n">
        <f aca="false">9-F1956</f>
        <v>0</v>
      </c>
      <c r="H1956" s="20" t="n">
        <f aca="false">IF(G1956&gt;=1,G1956,0)</f>
        <v>0</v>
      </c>
      <c r="I1956" s="5" t="s">
        <v>75</v>
      </c>
      <c r="J1956" s="5" t="s">
        <v>2543</v>
      </c>
    </row>
    <row r="1957" customFormat="false" ht="15" hidden="false" customHeight="false" outlineLevel="0" collapsed="false">
      <c r="A1957" s="5" t="s">
        <v>229</v>
      </c>
      <c r="B1957" s="5" t="s">
        <v>172</v>
      </c>
      <c r="C1957" s="5" t="n">
        <v>4</v>
      </c>
      <c r="D1957" s="5" t="s">
        <v>505</v>
      </c>
      <c r="E1957" s="5" t="n">
        <v>1</v>
      </c>
      <c r="F1957" s="20" t="n">
        <v>9</v>
      </c>
      <c r="G1957" s="20" t="n">
        <f aca="false">9-F1957</f>
        <v>0</v>
      </c>
      <c r="H1957" s="20" t="n">
        <f aca="false">IF(G1957&gt;=1,G1957,0)</f>
        <v>0</v>
      </c>
      <c r="I1957" s="5" t="s">
        <v>75</v>
      </c>
      <c r="J1957" s="5" t="s">
        <v>2544</v>
      </c>
    </row>
    <row r="1958" customFormat="false" ht="15" hidden="false" customHeight="false" outlineLevel="0" collapsed="false">
      <c r="A1958" s="5" t="s">
        <v>229</v>
      </c>
      <c r="B1958" s="5" t="s">
        <v>172</v>
      </c>
      <c r="C1958" s="5" t="n">
        <v>5</v>
      </c>
      <c r="D1958" s="5" t="s">
        <v>505</v>
      </c>
      <c r="E1958" s="5" t="n">
        <v>1</v>
      </c>
      <c r="F1958" s="20" t="n">
        <v>9</v>
      </c>
      <c r="G1958" s="20" t="n">
        <f aca="false">9-F1958</f>
        <v>0</v>
      </c>
      <c r="H1958" s="20" t="n">
        <f aca="false">IF(G1958&gt;=1,G1958,0)</f>
        <v>0</v>
      </c>
      <c r="I1958" s="5" t="s">
        <v>75</v>
      </c>
      <c r="J1958" s="5" t="s">
        <v>2545</v>
      </c>
    </row>
    <row r="1959" customFormat="false" ht="15" hidden="false" customHeight="false" outlineLevel="0" collapsed="false">
      <c r="A1959" s="5" t="s">
        <v>229</v>
      </c>
      <c r="B1959" s="5" t="s">
        <v>172</v>
      </c>
      <c r="C1959" s="5" t="n">
        <v>6</v>
      </c>
      <c r="D1959" s="5" t="s">
        <v>505</v>
      </c>
      <c r="E1959" s="5" t="n">
        <v>1</v>
      </c>
      <c r="F1959" s="20" t="n">
        <v>9</v>
      </c>
      <c r="G1959" s="20" t="n">
        <f aca="false">9-F1959</f>
        <v>0</v>
      </c>
      <c r="H1959" s="20" t="n">
        <f aca="false">IF(G1959&gt;=1,G1959,0)</f>
        <v>0</v>
      </c>
      <c r="I1959" s="5" t="s">
        <v>75</v>
      </c>
      <c r="J1959" s="5" t="s">
        <v>2546</v>
      </c>
    </row>
    <row r="1960" customFormat="false" ht="15" hidden="false" customHeight="false" outlineLevel="0" collapsed="false">
      <c r="A1960" s="5" t="s">
        <v>229</v>
      </c>
      <c r="B1960" s="5" t="s">
        <v>172</v>
      </c>
      <c r="C1960" s="5" t="n">
        <v>7</v>
      </c>
      <c r="D1960" s="5" t="s">
        <v>505</v>
      </c>
      <c r="E1960" s="5" t="n">
        <v>1</v>
      </c>
      <c r="F1960" s="20" t="n">
        <v>9</v>
      </c>
      <c r="G1960" s="20" t="n">
        <f aca="false">9-F1960</f>
        <v>0</v>
      </c>
      <c r="H1960" s="20" t="n">
        <f aca="false">IF(G1960&gt;=1,G1960,0)</f>
        <v>0</v>
      </c>
      <c r="I1960" s="5" t="s">
        <v>75</v>
      </c>
      <c r="J1960" s="5" t="s">
        <v>2547</v>
      </c>
    </row>
    <row r="1961" customFormat="false" ht="15" hidden="false" customHeight="false" outlineLevel="0" collapsed="false">
      <c r="A1961" s="5" t="s">
        <v>229</v>
      </c>
      <c r="B1961" s="5" t="s">
        <v>172</v>
      </c>
      <c r="C1961" s="5" t="n">
        <v>8</v>
      </c>
      <c r="D1961" s="5" t="s">
        <v>505</v>
      </c>
      <c r="E1961" s="5" t="n">
        <v>1</v>
      </c>
      <c r="F1961" s="20" t="n">
        <v>9</v>
      </c>
      <c r="G1961" s="20" t="n">
        <f aca="false">9-F1961</f>
        <v>0</v>
      </c>
      <c r="H1961" s="20" t="n">
        <f aca="false">IF(G1961&gt;=1,G1961,0)</f>
        <v>0</v>
      </c>
      <c r="I1961" s="5" t="s">
        <v>75</v>
      </c>
      <c r="J1961" s="5" t="s">
        <v>2548</v>
      </c>
    </row>
    <row r="1962" customFormat="false" ht="15" hidden="false" customHeight="false" outlineLevel="0" collapsed="false">
      <c r="A1962" s="5" t="s">
        <v>229</v>
      </c>
      <c r="B1962" s="5" t="s">
        <v>172</v>
      </c>
      <c r="C1962" s="5" t="n">
        <v>9</v>
      </c>
      <c r="D1962" s="5" t="s">
        <v>1370</v>
      </c>
      <c r="E1962" s="5" t="n">
        <v>1</v>
      </c>
      <c r="F1962" s="20" t="n">
        <v>8.96897480565453</v>
      </c>
      <c r="G1962" s="20" t="n">
        <f aca="false">9-F1962</f>
        <v>0.0310251943454691</v>
      </c>
      <c r="H1962" s="20" t="n">
        <f aca="false">IF(G1962&gt;=1,G1962,0)</f>
        <v>0</v>
      </c>
      <c r="I1962" s="5" t="s">
        <v>75</v>
      </c>
      <c r="J1962" s="5" t="s">
        <v>2549</v>
      </c>
    </row>
    <row r="1963" customFormat="false" ht="15" hidden="false" customHeight="false" outlineLevel="0" collapsed="false">
      <c r="A1963" s="5" t="s">
        <v>229</v>
      </c>
      <c r="B1963" s="5" t="s">
        <v>172</v>
      </c>
      <c r="C1963" s="5" t="n">
        <v>10</v>
      </c>
      <c r="D1963" s="5" t="s">
        <v>1372</v>
      </c>
      <c r="E1963" s="5" t="n">
        <v>1</v>
      </c>
      <c r="F1963" s="20" t="n">
        <v>8.95697480565453</v>
      </c>
      <c r="G1963" s="20" t="n">
        <f aca="false">9-F1963</f>
        <v>0.0430251943454696</v>
      </c>
      <c r="H1963" s="20" t="n">
        <f aca="false">IF(G1963&gt;=1,G1963,0)</f>
        <v>0</v>
      </c>
      <c r="I1963" s="5" t="s">
        <v>75</v>
      </c>
      <c r="J1963" s="5" t="s">
        <v>2550</v>
      </c>
    </row>
    <row r="1964" customFormat="false" ht="15" hidden="false" customHeight="false" outlineLevel="0" collapsed="false">
      <c r="A1964" s="5" t="s">
        <v>229</v>
      </c>
      <c r="B1964" s="5" t="s">
        <v>172</v>
      </c>
      <c r="C1964" s="5" t="n">
        <v>11</v>
      </c>
      <c r="D1964" s="5" t="s">
        <v>1376</v>
      </c>
      <c r="E1964" s="5" t="n">
        <v>1</v>
      </c>
      <c r="F1964" s="20" t="n">
        <v>8.92454196056548</v>
      </c>
      <c r="G1964" s="20" t="n">
        <f aca="false">9-F1964</f>
        <v>0.0754580394345243</v>
      </c>
      <c r="H1964" s="20" t="n">
        <f aca="false">IF(G1964&gt;=1,G1964,0)</f>
        <v>0</v>
      </c>
      <c r="I1964" s="5" t="s">
        <v>75</v>
      </c>
      <c r="J1964" s="5" t="s">
        <v>2551</v>
      </c>
    </row>
    <row r="1965" customFormat="false" ht="15" hidden="false" customHeight="false" outlineLevel="0" collapsed="false">
      <c r="A1965" s="5" t="s">
        <v>229</v>
      </c>
      <c r="B1965" s="5" t="s">
        <v>172</v>
      </c>
      <c r="C1965" s="5" t="n">
        <v>12</v>
      </c>
      <c r="D1965" s="5" t="s">
        <v>1376</v>
      </c>
      <c r="E1965" s="5" t="n">
        <v>1</v>
      </c>
      <c r="F1965" s="20" t="n">
        <v>8.92454196056548</v>
      </c>
      <c r="G1965" s="20" t="n">
        <f aca="false">9-F1965</f>
        <v>0.0754580394345243</v>
      </c>
      <c r="H1965" s="20" t="n">
        <f aca="false">IF(G1965&gt;=1,G1965,0)</f>
        <v>0</v>
      </c>
      <c r="I1965" s="5" t="s">
        <v>75</v>
      </c>
      <c r="J1965" s="5" t="s">
        <v>2552</v>
      </c>
    </row>
    <row r="1966" customFormat="false" ht="15" hidden="false" customHeight="false" outlineLevel="0" collapsed="false">
      <c r="A1966" s="5" t="s">
        <v>229</v>
      </c>
      <c r="B1966" s="5" t="s">
        <v>172</v>
      </c>
      <c r="C1966" s="5" t="n">
        <v>13</v>
      </c>
      <c r="D1966" s="5" t="s">
        <v>1376</v>
      </c>
      <c r="E1966" s="5" t="n">
        <v>1</v>
      </c>
      <c r="F1966" s="20" t="n">
        <v>8.92454196056547</v>
      </c>
      <c r="G1966" s="20" t="n">
        <f aca="false">9-F1966</f>
        <v>0.0754580394345332</v>
      </c>
      <c r="H1966" s="20" t="n">
        <f aca="false">IF(G1966&gt;=1,G1966,0)</f>
        <v>0</v>
      </c>
      <c r="I1966" s="5" t="s">
        <v>75</v>
      </c>
      <c r="J1966" s="5" t="s">
        <v>2553</v>
      </c>
    </row>
    <row r="1967" customFormat="false" ht="15" hidden="false" customHeight="false" outlineLevel="0" collapsed="false">
      <c r="A1967" s="5" t="s">
        <v>229</v>
      </c>
      <c r="B1967" s="5" t="s">
        <v>172</v>
      </c>
      <c r="C1967" s="5" t="n">
        <v>14</v>
      </c>
      <c r="D1967" s="5" t="s">
        <v>1376</v>
      </c>
      <c r="E1967" s="5" t="n">
        <v>1</v>
      </c>
      <c r="F1967" s="20" t="n">
        <v>8.92454196056547</v>
      </c>
      <c r="G1967" s="20" t="n">
        <f aca="false">9-F1967</f>
        <v>0.075458039434535</v>
      </c>
      <c r="H1967" s="20" t="n">
        <f aca="false">IF(G1967&gt;=1,G1967,0)</f>
        <v>0</v>
      </c>
      <c r="I1967" s="5" t="s">
        <v>75</v>
      </c>
      <c r="J1967" s="5" t="s">
        <v>2554</v>
      </c>
    </row>
    <row r="1968" customFormat="false" ht="15" hidden="false" customHeight="false" outlineLevel="0" collapsed="false">
      <c r="A1968" s="5" t="s">
        <v>229</v>
      </c>
      <c r="B1968" s="5" t="s">
        <v>172</v>
      </c>
      <c r="C1968" s="5" t="n">
        <v>15</v>
      </c>
      <c r="D1968" s="5" t="s">
        <v>1381</v>
      </c>
      <c r="E1968" s="5" t="n">
        <v>1</v>
      </c>
      <c r="F1968" s="20" t="n">
        <v>8.77454196056538</v>
      </c>
      <c r="G1968" s="20" t="n">
        <f aca="false">9-F1968</f>
        <v>0.225458039434624</v>
      </c>
      <c r="H1968" s="20" t="n">
        <f aca="false">IF(G1968&gt;=1,G1968,0)</f>
        <v>0</v>
      </c>
      <c r="I1968" s="5" t="s">
        <v>75</v>
      </c>
      <c r="J1968" s="5" t="s">
        <v>2555</v>
      </c>
    </row>
    <row r="1969" customFormat="false" ht="15" hidden="false" customHeight="false" outlineLevel="0" collapsed="false">
      <c r="A1969" s="5" t="s">
        <v>229</v>
      </c>
      <c r="B1969" s="5" t="s">
        <v>172</v>
      </c>
      <c r="C1969" s="5" t="n">
        <v>16</v>
      </c>
      <c r="D1969" s="5" t="s">
        <v>1381</v>
      </c>
      <c r="E1969" s="5" t="n">
        <v>1</v>
      </c>
      <c r="F1969" s="20" t="n">
        <v>8.77454196056538</v>
      </c>
      <c r="G1969" s="20" t="n">
        <f aca="false">9-F1969</f>
        <v>0.225458039434624</v>
      </c>
      <c r="H1969" s="20" t="n">
        <f aca="false">IF(G1969&gt;=1,G1969,0)</f>
        <v>0</v>
      </c>
      <c r="I1969" s="5" t="s">
        <v>75</v>
      </c>
      <c r="J1969" s="5" t="s">
        <v>2556</v>
      </c>
    </row>
    <row r="1970" customFormat="false" ht="15" hidden="false" customHeight="false" outlineLevel="0" collapsed="false">
      <c r="A1970" s="5" t="s">
        <v>229</v>
      </c>
      <c r="B1970" s="5" t="s">
        <v>172</v>
      </c>
      <c r="C1970" s="5" t="n">
        <v>17</v>
      </c>
      <c r="D1970" s="5" t="s">
        <v>1384</v>
      </c>
      <c r="E1970" s="5" t="n">
        <v>1</v>
      </c>
      <c r="F1970" s="20" t="n">
        <v>8.38954196056548</v>
      </c>
      <c r="G1970" s="20" t="n">
        <f aca="false">9-F1970</f>
        <v>0.610458039434523</v>
      </c>
      <c r="H1970" s="20" t="n">
        <f aca="false">IF(G1970&gt;=1,G1970,0)</f>
        <v>0</v>
      </c>
      <c r="I1970" s="5" t="s">
        <v>75</v>
      </c>
      <c r="J1970" s="5" t="s">
        <v>2557</v>
      </c>
    </row>
    <row r="1971" customFormat="false" ht="15" hidden="false" customHeight="false" outlineLevel="0" collapsed="false">
      <c r="A1971" s="5" t="s">
        <v>229</v>
      </c>
      <c r="B1971" s="5" t="s">
        <v>172</v>
      </c>
      <c r="C1971" s="5" t="n">
        <v>18</v>
      </c>
      <c r="D1971" s="5" t="s">
        <v>1384</v>
      </c>
      <c r="E1971" s="5" t="n">
        <v>1</v>
      </c>
      <c r="F1971" s="20" t="n">
        <v>8.38954196056548</v>
      </c>
      <c r="G1971" s="20" t="n">
        <f aca="false">9-F1971</f>
        <v>0.610458039434525</v>
      </c>
      <c r="H1971" s="20" t="n">
        <f aca="false">IF(G1971&gt;=1,G1971,0)</f>
        <v>0</v>
      </c>
      <c r="I1971" s="5" t="s">
        <v>75</v>
      </c>
      <c r="J1971" s="5" t="s">
        <v>2558</v>
      </c>
    </row>
    <row r="1972" customFormat="false" ht="15" hidden="false" customHeight="false" outlineLevel="0" collapsed="false">
      <c r="A1972" s="5" t="s">
        <v>229</v>
      </c>
      <c r="B1972" s="5" t="s">
        <v>172</v>
      </c>
      <c r="C1972" s="5" t="n">
        <v>19</v>
      </c>
      <c r="D1972" s="5" t="s">
        <v>1384</v>
      </c>
      <c r="E1972" s="5" t="n">
        <v>1</v>
      </c>
      <c r="F1972" s="20" t="n">
        <v>8.38954196056547</v>
      </c>
      <c r="G1972" s="20" t="n">
        <f aca="false">9-F1972</f>
        <v>0.610458039434526</v>
      </c>
      <c r="H1972" s="20" t="n">
        <f aca="false">IF(G1972&gt;=1,G1972,0)</f>
        <v>0</v>
      </c>
      <c r="I1972" s="5" t="s">
        <v>75</v>
      </c>
      <c r="J1972" s="5" t="s">
        <v>2559</v>
      </c>
    </row>
    <row r="1973" customFormat="false" ht="15" hidden="false" customHeight="false" outlineLevel="0" collapsed="false">
      <c r="A1973" s="5" t="s">
        <v>229</v>
      </c>
      <c r="B1973" s="5" t="s">
        <v>172</v>
      </c>
      <c r="C1973" s="5" t="n">
        <v>20</v>
      </c>
      <c r="D1973" s="5" t="s">
        <v>1384</v>
      </c>
      <c r="E1973" s="5" t="n">
        <v>1</v>
      </c>
      <c r="F1973" s="20" t="n">
        <v>8.38954196056547</v>
      </c>
      <c r="G1973" s="20" t="n">
        <f aca="false">9-F1973</f>
        <v>0.610458039434526</v>
      </c>
      <c r="H1973" s="20" t="n">
        <f aca="false">IF(G1973&gt;=1,G1973,0)</f>
        <v>0</v>
      </c>
      <c r="I1973" s="5" t="s">
        <v>75</v>
      </c>
      <c r="J1973" s="5" t="s">
        <v>2560</v>
      </c>
    </row>
    <row r="1974" customFormat="false" ht="15" hidden="false" customHeight="false" outlineLevel="0" collapsed="false">
      <c r="A1974" s="5" t="s">
        <v>229</v>
      </c>
      <c r="B1974" s="5" t="s">
        <v>172</v>
      </c>
      <c r="C1974" s="5" t="n">
        <v>21</v>
      </c>
      <c r="D1974" s="5" t="s">
        <v>1389</v>
      </c>
      <c r="E1974" s="5" t="n">
        <v>1</v>
      </c>
      <c r="F1974" s="20" t="n">
        <v>7.99587480565453</v>
      </c>
      <c r="G1974" s="20" t="n">
        <f aca="false">9-F1974</f>
        <v>1.00412519434547</v>
      </c>
      <c r="H1974" s="20" t="n">
        <f aca="false">IF(G1974&gt;=1,G1974,0)</f>
        <v>1.00412519434547</v>
      </c>
      <c r="I1974" s="5" t="s">
        <v>75</v>
      </c>
      <c r="J1974" s="5" t="s">
        <v>2561</v>
      </c>
    </row>
    <row r="1975" customFormat="false" ht="15" hidden="false" customHeight="false" outlineLevel="0" collapsed="false">
      <c r="A1975" s="5" t="s">
        <v>229</v>
      </c>
      <c r="B1975" s="5" t="s">
        <v>172</v>
      </c>
      <c r="C1975" s="5" t="n">
        <v>22</v>
      </c>
      <c r="D1975" s="5" t="s">
        <v>1389</v>
      </c>
      <c r="E1975" s="5" t="n">
        <v>1</v>
      </c>
      <c r="F1975" s="20" t="n">
        <v>7.99587480565453</v>
      </c>
      <c r="G1975" s="20" t="n">
        <f aca="false">9-F1975</f>
        <v>1.00412519434547</v>
      </c>
      <c r="H1975" s="20" t="n">
        <f aca="false">IF(G1975&gt;=1,G1975,0)</f>
        <v>1.00412519434547</v>
      </c>
      <c r="I1975" s="5" t="s">
        <v>75</v>
      </c>
      <c r="J1975" s="5" t="s">
        <v>2562</v>
      </c>
    </row>
    <row r="1976" customFormat="false" ht="15" hidden="false" customHeight="false" outlineLevel="0" collapsed="false">
      <c r="A1976" s="5" t="s">
        <v>229</v>
      </c>
      <c r="B1976" s="5" t="s">
        <v>172</v>
      </c>
      <c r="C1976" s="5" t="n">
        <v>23</v>
      </c>
      <c r="D1976" s="5" t="s">
        <v>1396</v>
      </c>
      <c r="E1976" s="5" t="n">
        <v>1</v>
      </c>
      <c r="F1976" s="20" t="n">
        <v>7.83187480565453</v>
      </c>
      <c r="G1976" s="20" t="n">
        <f aca="false">9-F1976</f>
        <v>1.16812519434547</v>
      </c>
      <c r="H1976" s="20" t="n">
        <f aca="false">IF(G1976&gt;=1,G1976,0)</f>
        <v>1.16812519434547</v>
      </c>
      <c r="I1976" s="5" t="s">
        <v>75</v>
      </c>
      <c r="J1976" s="5" t="s">
        <v>2563</v>
      </c>
    </row>
    <row r="1977" customFormat="false" ht="15" hidden="false" customHeight="false" outlineLevel="0" collapsed="false">
      <c r="A1977" s="5" t="s">
        <v>229</v>
      </c>
      <c r="B1977" s="5" t="s">
        <v>172</v>
      </c>
      <c r="C1977" s="5" t="n">
        <v>24</v>
      </c>
      <c r="D1977" s="5" t="s">
        <v>1396</v>
      </c>
      <c r="E1977" s="5" t="n">
        <v>1</v>
      </c>
      <c r="F1977" s="20" t="n">
        <v>7.83187480565453</v>
      </c>
      <c r="G1977" s="20" t="n">
        <f aca="false">9-F1977</f>
        <v>1.16812519434547</v>
      </c>
      <c r="H1977" s="20" t="n">
        <f aca="false">IF(G1977&gt;=1,G1977,0)</f>
        <v>1.16812519434547</v>
      </c>
      <c r="I1977" s="5" t="s">
        <v>75</v>
      </c>
      <c r="J1977" s="5" t="s">
        <v>2564</v>
      </c>
    </row>
    <row r="1978" customFormat="false" ht="15" hidden="false" customHeight="false" outlineLevel="0" collapsed="false">
      <c r="A1978" s="5" t="s">
        <v>229</v>
      </c>
      <c r="B1978" s="5" t="s">
        <v>172</v>
      </c>
      <c r="C1978" s="5" t="n">
        <v>25</v>
      </c>
      <c r="D1978" s="5" t="s">
        <v>1399</v>
      </c>
      <c r="E1978" s="5" t="n">
        <v>1</v>
      </c>
      <c r="F1978" s="20" t="n">
        <v>7.78897480565453</v>
      </c>
      <c r="G1978" s="20" t="n">
        <f aca="false">9-F1978</f>
        <v>1.21102519434547</v>
      </c>
      <c r="H1978" s="20" t="n">
        <f aca="false">IF(G1978&gt;=1,G1978,0)</f>
        <v>1.21102519434547</v>
      </c>
      <c r="I1978" s="5" t="s">
        <v>75</v>
      </c>
      <c r="J1978" s="5" t="s">
        <v>2565</v>
      </c>
    </row>
    <row r="1979" customFormat="false" ht="15" hidden="false" customHeight="false" outlineLevel="0" collapsed="false">
      <c r="A1979" s="5" t="s">
        <v>229</v>
      </c>
      <c r="B1979" s="5" t="s">
        <v>172</v>
      </c>
      <c r="C1979" s="5" t="n">
        <v>26</v>
      </c>
      <c r="D1979" s="5" t="s">
        <v>1399</v>
      </c>
      <c r="E1979" s="5" t="n">
        <v>1</v>
      </c>
      <c r="F1979" s="20" t="n">
        <v>7.78897480565453</v>
      </c>
      <c r="G1979" s="20" t="n">
        <f aca="false">9-F1979</f>
        <v>1.21102519434547</v>
      </c>
      <c r="H1979" s="20" t="n">
        <f aca="false">IF(G1979&gt;=1,G1979,0)</f>
        <v>1.21102519434547</v>
      </c>
      <c r="I1979" s="5" t="s">
        <v>75</v>
      </c>
      <c r="J1979" s="5" t="s">
        <v>2566</v>
      </c>
    </row>
    <row r="1980" customFormat="false" ht="15" hidden="false" customHeight="false" outlineLevel="0" collapsed="false">
      <c r="A1980" s="5" t="s">
        <v>229</v>
      </c>
      <c r="B1980" s="5" t="s">
        <v>172</v>
      </c>
      <c r="C1980" s="5" t="n">
        <v>27</v>
      </c>
      <c r="D1980" s="5" t="s">
        <v>2004</v>
      </c>
      <c r="E1980" s="5" t="n">
        <v>1</v>
      </c>
      <c r="F1980" s="20" t="n">
        <v>7.73272480565454</v>
      </c>
      <c r="G1980" s="20" t="n">
        <f aca="false">9-F1980</f>
        <v>1.26727519434546</v>
      </c>
      <c r="H1980" s="20" t="n">
        <f aca="false">IF(G1980&gt;=1,G1980,0)</f>
        <v>1.26727519434546</v>
      </c>
      <c r="I1980" s="5" t="s">
        <v>75</v>
      </c>
      <c r="J1980" s="5" t="s">
        <v>2567</v>
      </c>
    </row>
    <row r="1981" customFormat="false" ht="15" hidden="false" customHeight="false" outlineLevel="0" collapsed="false">
      <c r="A1981" s="5" t="s">
        <v>229</v>
      </c>
      <c r="B1981" s="5" t="s">
        <v>172</v>
      </c>
      <c r="C1981" s="5" t="n">
        <v>28</v>
      </c>
      <c r="D1981" s="5" t="s">
        <v>2007</v>
      </c>
      <c r="E1981" s="5" t="n">
        <v>2</v>
      </c>
      <c r="F1981" s="20" t="n">
        <v>8.92664961130907</v>
      </c>
      <c r="G1981" s="20" t="n">
        <f aca="false">9-F1981</f>
        <v>0.073350388690935</v>
      </c>
      <c r="H1981" s="20" t="n">
        <f aca="false">IF(G1981&gt;=1,G1981,0)</f>
        <v>0</v>
      </c>
      <c r="I1981" s="5" t="s">
        <v>75</v>
      </c>
      <c r="J1981" s="5" t="s">
        <v>2568</v>
      </c>
    </row>
    <row r="1982" customFormat="false" ht="15" hidden="false" customHeight="false" outlineLevel="0" collapsed="false">
      <c r="A1982" s="5" t="s">
        <v>229</v>
      </c>
      <c r="B1982" s="5" t="s">
        <v>172</v>
      </c>
      <c r="C1982" s="5" t="n">
        <v>29</v>
      </c>
      <c r="D1982" s="5" t="s">
        <v>1406</v>
      </c>
      <c r="E1982" s="5" t="n">
        <v>2</v>
      </c>
      <c r="F1982" s="20" t="n">
        <v>8.97513284508906</v>
      </c>
      <c r="G1982" s="20" t="n">
        <f aca="false">9-F1982</f>
        <v>0.0248671549109432</v>
      </c>
      <c r="H1982" s="20" t="n">
        <f aca="false">IF(G1982&gt;=1,G1982,0)</f>
        <v>0</v>
      </c>
      <c r="I1982" s="5" t="s">
        <v>75</v>
      </c>
      <c r="J1982" s="5" t="s">
        <v>2569</v>
      </c>
    </row>
    <row r="1983" customFormat="false" ht="15" hidden="false" customHeight="false" outlineLevel="0" collapsed="false">
      <c r="A1983" s="5" t="s">
        <v>229</v>
      </c>
      <c r="B1983" s="5" t="s">
        <v>172</v>
      </c>
      <c r="C1983" s="5" t="n">
        <v>30</v>
      </c>
      <c r="D1983" s="5" t="s">
        <v>1406</v>
      </c>
      <c r="E1983" s="5" t="n">
        <v>2</v>
      </c>
      <c r="F1983" s="20" t="n">
        <v>8.97513284508906</v>
      </c>
      <c r="G1983" s="20" t="n">
        <f aca="false">9-F1983</f>
        <v>0.0248671549109432</v>
      </c>
      <c r="H1983" s="20" t="n">
        <f aca="false">IF(G1983&gt;=1,G1983,0)</f>
        <v>0</v>
      </c>
      <c r="I1983" s="5" t="s">
        <v>75</v>
      </c>
      <c r="J1983" s="5" t="s">
        <v>2570</v>
      </c>
    </row>
    <row r="1984" customFormat="false" ht="15" hidden="false" customHeight="false" outlineLevel="0" collapsed="false">
      <c r="A1984" s="5" t="s">
        <v>229</v>
      </c>
      <c r="B1984" s="5" t="s">
        <v>172</v>
      </c>
      <c r="C1984" s="5" t="n">
        <v>31</v>
      </c>
      <c r="D1984" s="5" t="s">
        <v>1413</v>
      </c>
      <c r="E1984" s="5" t="n">
        <v>2</v>
      </c>
      <c r="F1984" s="20" t="n">
        <v>8.97856569017812</v>
      </c>
      <c r="G1984" s="20" t="n">
        <f aca="false">9-F1984</f>
        <v>0.0214343098218777</v>
      </c>
      <c r="H1984" s="20" t="n">
        <f aca="false">IF(G1984&gt;=1,G1984,0)</f>
        <v>0</v>
      </c>
      <c r="I1984" s="5" t="s">
        <v>75</v>
      </c>
      <c r="J1984" s="5" t="s">
        <v>2571</v>
      </c>
    </row>
    <row r="1985" customFormat="false" ht="15" hidden="false" customHeight="false" outlineLevel="0" collapsed="false">
      <c r="A1985" s="5" t="s">
        <v>229</v>
      </c>
      <c r="B1985" s="5" t="s">
        <v>172</v>
      </c>
      <c r="C1985" s="5" t="n">
        <v>32</v>
      </c>
      <c r="D1985" s="5" t="s">
        <v>1413</v>
      </c>
      <c r="E1985" s="5" t="n">
        <v>2</v>
      </c>
      <c r="F1985" s="20" t="n">
        <v>8.97856569017812</v>
      </c>
      <c r="G1985" s="20" t="n">
        <f aca="false">9-F1985</f>
        <v>0.021434309821883</v>
      </c>
      <c r="H1985" s="20" t="n">
        <f aca="false">IF(G1985&gt;=1,G1985,0)</f>
        <v>0</v>
      </c>
      <c r="I1985" s="5" t="s">
        <v>75</v>
      </c>
      <c r="J1985" s="5" t="s">
        <v>2572</v>
      </c>
    </row>
    <row r="1986" customFormat="false" ht="15" hidden="false" customHeight="false" outlineLevel="0" collapsed="false">
      <c r="A1986" s="5" t="s">
        <v>229</v>
      </c>
      <c r="B1986" s="5" t="s">
        <v>172</v>
      </c>
      <c r="C1986" s="5" t="n">
        <v>33</v>
      </c>
      <c r="D1986" s="5" t="s">
        <v>1419</v>
      </c>
      <c r="E1986" s="5" t="n">
        <v>2</v>
      </c>
      <c r="F1986" s="20" t="n">
        <v>8.98025765074361</v>
      </c>
      <c r="G1986" s="20" t="n">
        <f aca="false">9-F1986</f>
        <v>0.0197423492563917</v>
      </c>
      <c r="H1986" s="20" t="n">
        <f aca="false">IF(G1986&gt;=1,G1986,0)</f>
        <v>0</v>
      </c>
      <c r="I1986" s="5" t="s">
        <v>75</v>
      </c>
      <c r="J1986" s="5" t="s">
        <v>2573</v>
      </c>
    </row>
    <row r="1987" customFormat="false" ht="15" hidden="false" customHeight="false" outlineLevel="0" collapsed="false">
      <c r="A1987" s="5" t="s">
        <v>229</v>
      </c>
      <c r="B1987" s="5" t="s">
        <v>172</v>
      </c>
      <c r="C1987" s="5" t="n">
        <v>34</v>
      </c>
      <c r="D1987" s="5" t="s">
        <v>1419</v>
      </c>
      <c r="E1987" s="5" t="n">
        <v>2</v>
      </c>
      <c r="F1987" s="20" t="n">
        <v>8.98025765074353</v>
      </c>
      <c r="G1987" s="20" t="n">
        <f aca="false">9-F1987</f>
        <v>0.0197423492564663</v>
      </c>
      <c r="H1987" s="20" t="n">
        <f aca="false">IF(G1987&gt;=1,G1987,0)</f>
        <v>0</v>
      </c>
      <c r="I1987" s="5" t="s">
        <v>75</v>
      </c>
      <c r="J1987" s="5" t="s">
        <v>2574</v>
      </c>
    </row>
    <row r="1988" customFormat="false" ht="15" hidden="false" customHeight="false" outlineLevel="0" collapsed="false">
      <c r="A1988" s="5" t="s">
        <v>229</v>
      </c>
      <c r="B1988" s="5" t="s">
        <v>172</v>
      </c>
      <c r="C1988" s="5" t="n">
        <v>35</v>
      </c>
      <c r="D1988" s="5" t="s">
        <v>2575</v>
      </c>
      <c r="E1988" s="5" t="n">
        <v>2</v>
      </c>
      <c r="F1988" s="20" t="n">
        <v>8.94825765074353</v>
      </c>
      <c r="G1988" s="20" t="n">
        <f aca="false">9-F1988</f>
        <v>0.0517423492564735</v>
      </c>
      <c r="H1988" s="20" t="n">
        <f aca="false">IF(G1988&gt;=1,G1988,0)</f>
        <v>0</v>
      </c>
      <c r="I1988" s="5" t="s">
        <v>75</v>
      </c>
      <c r="J1988" s="5" t="s">
        <v>2576</v>
      </c>
    </row>
    <row r="1989" customFormat="false" ht="15" hidden="false" customHeight="false" outlineLevel="0" collapsed="false">
      <c r="A1989" s="5" t="s">
        <v>229</v>
      </c>
      <c r="B1989" s="5" t="s">
        <v>172</v>
      </c>
      <c r="C1989" s="5" t="n">
        <v>36</v>
      </c>
      <c r="D1989" s="5" t="s">
        <v>2577</v>
      </c>
      <c r="E1989" s="5" t="n">
        <v>2</v>
      </c>
      <c r="F1989" s="20" t="n">
        <v>8.92425765074365</v>
      </c>
      <c r="G1989" s="20" t="n">
        <f aca="false">9-F1989</f>
        <v>0.0757423492563554</v>
      </c>
      <c r="H1989" s="20" t="n">
        <f aca="false">IF(G1989&gt;=1,G1989,0)</f>
        <v>0</v>
      </c>
      <c r="I1989" s="5" t="s">
        <v>75</v>
      </c>
      <c r="J1989" s="5" t="s">
        <v>2578</v>
      </c>
    </row>
    <row r="1990" customFormat="false" ht="15" hidden="false" customHeight="false" outlineLevel="0" collapsed="false">
      <c r="A1990" s="5" t="s">
        <v>229</v>
      </c>
      <c r="B1990" s="5" t="s">
        <v>172</v>
      </c>
      <c r="C1990" s="5" t="n">
        <v>37</v>
      </c>
      <c r="D1990" s="5" t="s">
        <v>1432</v>
      </c>
      <c r="E1990" s="5" t="n">
        <v>2</v>
      </c>
      <c r="F1990" s="20" t="n">
        <v>8.57513284508906</v>
      </c>
      <c r="G1990" s="20" t="n">
        <f aca="false">9-F1990</f>
        <v>0.424867154910944</v>
      </c>
      <c r="H1990" s="20" t="n">
        <f aca="false">IF(G1990&gt;=1,G1990,0)</f>
        <v>0</v>
      </c>
      <c r="I1990" s="5" t="s">
        <v>75</v>
      </c>
      <c r="J1990" s="5" t="s">
        <v>2579</v>
      </c>
    </row>
    <row r="1991" customFormat="false" ht="15" hidden="false" customHeight="false" outlineLevel="0" collapsed="false">
      <c r="A1991" s="5" t="s">
        <v>229</v>
      </c>
      <c r="B1991" s="5" t="s">
        <v>172</v>
      </c>
      <c r="C1991" s="5" t="n">
        <v>38</v>
      </c>
      <c r="D1991" s="5" t="s">
        <v>1432</v>
      </c>
      <c r="E1991" s="5" t="n">
        <v>2</v>
      </c>
      <c r="F1991" s="20" t="n">
        <v>8.57513284508906</v>
      </c>
      <c r="G1991" s="20" t="n">
        <f aca="false">9-F1991</f>
        <v>0.424867154910944</v>
      </c>
      <c r="H1991" s="20" t="n">
        <f aca="false">IF(G1991&gt;=1,G1991,0)</f>
        <v>0</v>
      </c>
      <c r="I1991" s="5" t="s">
        <v>75</v>
      </c>
      <c r="J1991" s="5" t="s">
        <v>2580</v>
      </c>
    </row>
    <row r="1992" customFormat="false" ht="15" hidden="false" customHeight="false" outlineLevel="0" collapsed="false">
      <c r="A1992" s="5" t="s">
        <v>229</v>
      </c>
      <c r="B1992" s="5" t="s">
        <v>172</v>
      </c>
      <c r="C1992" s="5" t="n">
        <v>39</v>
      </c>
      <c r="D1992" s="5" t="s">
        <v>1432</v>
      </c>
      <c r="E1992" s="5" t="n">
        <v>2</v>
      </c>
      <c r="F1992" s="20" t="n">
        <v>8.57513284508905</v>
      </c>
      <c r="G1992" s="20" t="n">
        <f aca="false">9-F1992</f>
        <v>0.424867154910949</v>
      </c>
      <c r="H1992" s="20" t="n">
        <f aca="false">IF(G1992&gt;=1,G1992,0)</f>
        <v>0</v>
      </c>
      <c r="I1992" s="5" t="s">
        <v>75</v>
      </c>
      <c r="J1992" s="5" t="s">
        <v>2581</v>
      </c>
    </row>
    <row r="1993" customFormat="false" ht="15" hidden="false" customHeight="false" outlineLevel="0" collapsed="false">
      <c r="A1993" s="5" t="s">
        <v>229</v>
      </c>
      <c r="B1993" s="5" t="s">
        <v>172</v>
      </c>
      <c r="C1993" s="5" t="n">
        <v>40</v>
      </c>
      <c r="D1993" s="5" t="s">
        <v>1432</v>
      </c>
      <c r="E1993" s="5" t="n">
        <v>2</v>
      </c>
      <c r="F1993" s="20" t="n">
        <v>8.57513284508905</v>
      </c>
      <c r="G1993" s="20" t="n">
        <f aca="false">9-F1993</f>
        <v>0.424867154910952</v>
      </c>
      <c r="H1993" s="20" t="n">
        <f aca="false">IF(G1993&gt;=1,G1993,0)</f>
        <v>0</v>
      </c>
      <c r="I1993" s="5" t="s">
        <v>75</v>
      </c>
      <c r="J1993" s="5" t="s">
        <v>2582</v>
      </c>
    </row>
    <row r="1994" customFormat="false" ht="15" hidden="false" customHeight="false" outlineLevel="0" collapsed="false">
      <c r="A1994" s="5" t="s">
        <v>229</v>
      </c>
      <c r="B1994" s="5" t="s">
        <v>172</v>
      </c>
      <c r="C1994" s="5" t="n">
        <v>41</v>
      </c>
      <c r="D1994" s="5" t="s">
        <v>1437</v>
      </c>
      <c r="E1994" s="5" t="n">
        <v>2</v>
      </c>
      <c r="F1994" s="20" t="n">
        <v>8.46213284508905</v>
      </c>
      <c r="G1994" s="20" t="n">
        <f aca="false">9-F1994</f>
        <v>0.537867154910947</v>
      </c>
      <c r="H1994" s="20" t="n">
        <f aca="false">IF(G1994&gt;=1,G1994,0)</f>
        <v>0</v>
      </c>
      <c r="I1994" s="5" t="s">
        <v>75</v>
      </c>
      <c r="J1994" s="5" t="s">
        <v>2583</v>
      </c>
    </row>
    <row r="1995" customFormat="false" ht="15" hidden="false" customHeight="false" outlineLevel="0" collapsed="false">
      <c r="A1995" s="5" t="s">
        <v>229</v>
      </c>
      <c r="B1995" s="5" t="s">
        <v>172</v>
      </c>
      <c r="C1995" s="5" t="n">
        <v>42</v>
      </c>
      <c r="D1995" s="5" t="s">
        <v>1437</v>
      </c>
      <c r="E1995" s="5" t="n">
        <v>2</v>
      </c>
      <c r="F1995" s="20" t="n">
        <v>8.46213284508905</v>
      </c>
      <c r="G1995" s="20" t="n">
        <f aca="false">9-F1995</f>
        <v>0.537867154910952</v>
      </c>
      <c r="H1995" s="20" t="n">
        <f aca="false">IF(G1995&gt;=1,G1995,0)</f>
        <v>0</v>
      </c>
      <c r="I1995" s="5" t="s">
        <v>75</v>
      </c>
      <c r="J1995" s="5" t="s">
        <v>2584</v>
      </c>
    </row>
    <row r="1996" customFormat="false" ht="15" hidden="false" customHeight="false" outlineLevel="0" collapsed="false">
      <c r="A1996" s="5" t="s">
        <v>229</v>
      </c>
      <c r="B1996" s="5" t="s">
        <v>172</v>
      </c>
      <c r="C1996" s="5" t="n">
        <v>43</v>
      </c>
      <c r="D1996" s="5" t="s">
        <v>2024</v>
      </c>
      <c r="E1996" s="5" t="n">
        <v>2</v>
      </c>
      <c r="F1996" s="20" t="n">
        <v>8.41813284508905</v>
      </c>
      <c r="G1996" s="20" t="n">
        <f aca="false">9-F1996</f>
        <v>0.581867154910951</v>
      </c>
      <c r="H1996" s="20" t="n">
        <f aca="false">IF(G1996&gt;=1,G1996,0)</f>
        <v>0</v>
      </c>
      <c r="I1996" s="5" t="s">
        <v>75</v>
      </c>
      <c r="J1996" s="5" t="s">
        <v>2585</v>
      </c>
    </row>
    <row r="1997" customFormat="false" ht="15" hidden="false" customHeight="false" outlineLevel="0" collapsed="false">
      <c r="A1997" s="5" t="s">
        <v>229</v>
      </c>
      <c r="B1997" s="5" t="s">
        <v>172</v>
      </c>
      <c r="C1997" s="5" t="n">
        <v>44</v>
      </c>
      <c r="D1997" s="5" t="s">
        <v>2024</v>
      </c>
      <c r="E1997" s="5" t="n">
        <v>2</v>
      </c>
      <c r="F1997" s="20" t="n">
        <v>8.41813284508905</v>
      </c>
      <c r="G1997" s="20" t="n">
        <f aca="false">9-F1997</f>
        <v>0.581867154910954</v>
      </c>
      <c r="H1997" s="20" t="n">
        <f aca="false">IF(G1997&gt;=1,G1997,0)</f>
        <v>0</v>
      </c>
      <c r="I1997" s="5" t="s">
        <v>75</v>
      </c>
      <c r="J1997" s="5" t="s">
        <v>2586</v>
      </c>
    </row>
    <row r="1998" customFormat="false" ht="15" hidden="false" customHeight="false" outlineLevel="0" collapsed="false">
      <c r="A1998" s="5" t="s">
        <v>229</v>
      </c>
      <c r="B1998" s="5" t="s">
        <v>172</v>
      </c>
      <c r="C1998" s="5" t="n">
        <v>45</v>
      </c>
      <c r="D1998" s="5" t="s">
        <v>1446</v>
      </c>
      <c r="E1998" s="5" t="n">
        <v>2</v>
      </c>
      <c r="F1998" s="20" t="n">
        <v>8.08713284508904</v>
      </c>
      <c r="G1998" s="20" t="n">
        <f aca="false">9-F1998</f>
        <v>0.912867154910959</v>
      </c>
      <c r="H1998" s="20" t="n">
        <f aca="false">IF(G1998&gt;=1,G1998,0)</f>
        <v>0</v>
      </c>
      <c r="I1998" s="5" t="s">
        <v>75</v>
      </c>
      <c r="J1998" s="5" t="s">
        <v>2587</v>
      </c>
    </row>
    <row r="1999" customFormat="false" ht="15" hidden="false" customHeight="false" outlineLevel="0" collapsed="false">
      <c r="A1999" s="5" t="s">
        <v>229</v>
      </c>
      <c r="B1999" s="5" t="s">
        <v>172</v>
      </c>
      <c r="C1999" s="5" t="n">
        <v>46</v>
      </c>
      <c r="D1999" s="5" t="s">
        <v>1446</v>
      </c>
      <c r="E1999" s="5" t="n">
        <v>2</v>
      </c>
      <c r="F1999" s="20" t="n">
        <v>8.08713284508903</v>
      </c>
      <c r="G1999" s="20" t="n">
        <f aca="false">9-F1999</f>
        <v>0.912867154910975</v>
      </c>
      <c r="H1999" s="20" t="n">
        <f aca="false">IF(G1999&gt;=1,G1999,0)</f>
        <v>0</v>
      </c>
      <c r="I1999" s="5" t="s">
        <v>75</v>
      </c>
      <c r="J1999" s="5" t="s">
        <v>2588</v>
      </c>
    </row>
    <row r="2000" customFormat="false" ht="15" hidden="false" customHeight="false" outlineLevel="0" collapsed="false">
      <c r="A2000" s="5" t="s">
        <v>229</v>
      </c>
      <c r="B2000" s="5" t="s">
        <v>172</v>
      </c>
      <c r="C2000" s="5" t="n">
        <v>47</v>
      </c>
      <c r="D2000" s="5" t="s">
        <v>1451</v>
      </c>
      <c r="E2000" s="5" t="n">
        <v>2</v>
      </c>
      <c r="F2000" s="20" t="n">
        <v>8.04313284508904</v>
      </c>
      <c r="G2000" s="20" t="n">
        <f aca="false">9-F2000</f>
        <v>0.956867154910963</v>
      </c>
      <c r="H2000" s="20" t="n">
        <f aca="false">IF(G2000&gt;=1,G2000,0)</f>
        <v>0</v>
      </c>
      <c r="I2000" s="5" t="s">
        <v>75</v>
      </c>
      <c r="J2000" s="5" t="s">
        <v>2589</v>
      </c>
    </row>
    <row r="2001" customFormat="false" ht="15" hidden="false" customHeight="false" outlineLevel="0" collapsed="false">
      <c r="A2001" s="5" t="s">
        <v>229</v>
      </c>
      <c r="B2001" s="5" t="s">
        <v>172</v>
      </c>
      <c r="C2001" s="5" t="n">
        <v>48</v>
      </c>
      <c r="D2001" s="5" t="s">
        <v>1451</v>
      </c>
      <c r="E2001" s="5" t="n">
        <v>2</v>
      </c>
      <c r="F2001" s="20" t="n">
        <v>8.04313284508899</v>
      </c>
      <c r="G2001" s="20" t="n">
        <f aca="false">9-F2001</f>
        <v>0.956867154911013</v>
      </c>
      <c r="H2001" s="20" t="n">
        <f aca="false">IF(G2001&gt;=1,G2001,0)</f>
        <v>0</v>
      </c>
      <c r="I2001" s="5" t="s">
        <v>75</v>
      </c>
      <c r="J2001" s="5" t="s">
        <v>2590</v>
      </c>
    </row>
    <row r="2002" customFormat="false" ht="15" hidden="false" customHeight="false" outlineLevel="0" collapsed="false">
      <c r="A2002" s="5" t="s">
        <v>229</v>
      </c>
      <c r="B2002" s="5" t="s">
        <v>172</v>
      </c>
      <c r="C2002" s="5" t="n">
        <v>49</v>
      </c>
      <c r="D2002" s="5" t="s">
        <v>2591</v>
      </c>
      <c r="E2002" s="5" t="n">
        <v>2</v>
      </c>
      <c r="F2002" s="20" t="n">
        <v>7.94739196056537</v>
      </c>
      <c r="G2002" s="20" t="n">
        <f aca="false">9-F2002</f>
        <v>1.05260803943463</v>
      </c>
      <c r="H2002" s="20" t="n">
        <f aca="false">IF(G2002&gt;=1,G2002,0)</f>
        <v>1.05260803943463</v>
      </c>
      <c r="I2002" s="5" t="s">
        <v>75</v>
      </c>
      <c r="J2002" s="5" t="s">
        <v>2592</v>
      </c>
    </row>
    <row r="2003" customFormat="false" ht="15" hidden="false" customHeight="false" outlineLevel="0" collapsed="false">
      <c r="A2003" s="5" t="s">
        <v>229</v>
      </c>
      <c r="B2003" s="5" t="s">
        <v>172</v>
      </c>
      <c r="C2003" s="5" t="n">
        <v>50</v>
      </c>
      <c r="D2003" s="5" t="s">
        <v>2591</v>
      </c>
      <c r="E2003" s="5" t="n">
        <v>2</v>
      </c>
      <c r="F2003" s="20" t="n">
        <v>7.94739196056537</v>
      </c>
      <c r="G2003" s="20" t="n">
        <f aca="false">9-F2003</f>
        <v>1.05260803943463</v>
      </c>
      <c r="H2003" s="20" t="n">
        <f aca="false">IF(G2003&gt;=1,G2003,0)</f>
        <v>1.05260803943463</v>
      </c>
      <c r="I2003" s="5" t="s">
        <v>75</v>
      </c>
      <c r="J2003" s="5" t="s">
        <v>2593</v>
      </c>
    </row>
    <row r="2004" customFormat="false" ht="15" hidden="false" customHeight="false" outlineLevel="0" collapsed="false">
      <c r="A2004" s="5" t="s">
        <v>229</v>
      </c>
      <c r="B2004" s="5" t="s">
        <v>172</v>
      </c>
      <c r="C2004" s="5" t="n">
        <v>51</v>
      </c>
      <c r="D2004" s="5" t="s">
        <v>2594</v>
      </c>
      <c r="E2004" s="5" t="n">
        <v>3</v>
      </c>
      <c r="F2004" s="20" t="n">
        <v>8.86336676621997</v>
      </c>
      <c r="G2004" s="20" t="n">
        <f aca="false">9-F2004</f>
        <v>0.136633233780033</v>
      </c>
      <c r="H2004" s="20" t="n">
        <f aca="false">IF(G2004&gt;=1,G2004,0)</f>
        <v>0</v>
      </c>
      <c r="I2004" s="5" t="s">
        <v>75</v>
      </c>
      <c r="J2004" s="5" t="s">
        <v>2595</v>
      </c>
    </row>
    <row r="2005" customFormat="false" ht="15" hidden="false" customHeight="false" outlineLevel="0" collapsed="false">
      <c r="A2005" s="5" t="s">
        <v>229</v>
      </c>
      <c r="B2005" s="5" t="s">
        <v>172</v>
      </c>
      <c r="C2005" s="5" t="n">
        <v>52</v>
      </c>
      <c r="D2005" s="5" t="s">
        <v>2594</v>
      </c>
      <c r="E2005" s="5" t="n">
        <v>3</v>
      </c>
      <c r="F2005" s="20" t="n">
        <v>8.86336676621997</v>
      </c>
      <c r="G2005" s="20" t="n">
        <f aca="false">9-F2005</f>
        <v>0.136633233780033</v>
      </c>
      <c r="H2005" s="20" t="n">
        <f aca="false">IF(G2005&gt;=1,G2005,0)</f>
        <v>0</v>
      </c>
      <c r="I2005" s="5" t="s">
        <v>75</v>
      </c>
      <c r="J2005" s="5" t="s">
        <v>2596</v>
      </c>
    </row>
    <row r="2006" customFormat="false" ht="15" hidden="false" customHeight="false" outlineLevel="0" collapsed="false">
      <c r="A2006" s="5" t="s">
        <v>229</v>
      </c>
      <c r="B2006" s="5" t="s">
        <v>172</v>
      </c>
      <c r="C2006" s="5" t="n">
        <v>53</v>
      </c>
      <c r="D2006" s="5" t="s">
        <v>1463</v>
      </c>
      <c r="E2006" s="5" t="n">
        <v>3</v>
      </c>
      <c r="F2006" s="20" t="n">
        <v>8.63836676622001</v>
      </c>
      <c r="G2006" s="20" t="n">
        <f aca="false">9-F2006</f>
        <v>0.361633233779994</v>
      </c>
      <c r="H2006" s="20" t="n">
        <f aca="false">IF(G2006&gt;=1,G2006,0)</f>
        <v>0</v>
      </c>
      <c r="I2006" s="5" t="s">
        <v>75</v>
      </c>
      <c r="J2006" s="5" t="s">
        <v>2597</v>
      </c>
    </row>
    <row r="2007" customFormat="false" ht="15" hidden="false" customHeight="false" outlineLevel="0" collapsed="false">
      <c r="A2007" s="5" t="s">
        <v>229</v>
      </c>
      <c r="B2007" s="5" t="s">
        <v>172</v>
      </c>
      <c r="C2007" s="5" t="n">
        <v>54</v>
      </c>
      <c r="D2007" s="5" t="s">
        <v>1463</v>
      </c>
      <c r="E2007" s="5" t="n">
        <v>3</v>
      </c>
      <c r="F2007" s="20" t="n">
        <v>8.63836676622</v>
      </c>
      <c r="G2007" s="20" t="n">
        <f aca="false">9-F2007</f>
        <v>0.361633233780005</v>
      </c>
      <c r="H2007" s="20" t="n">
        <f aca="false">IF(G2007&gt;=1,G2007,0)</f>
        <v>0</v>
      </c>
      <c r="I2007" s="5" t="s">
        <v>75</v>
      </c>
      <c r="J2007" s="5" t="s">
        <v>2598</v>
      </c>
    </row>
    <row r="2008" customFormat="false" ht="15" hidden="false" customHeight="false" outlineLevel="0" collapsed="false">
      <c r="A2008" s="5" t="s">
        <v>229</v>
      </c>
      <c r="B2008" s="5" t="s">
        <v>172</v>
      </c>
      <c r="C2008" s="5" t="n">
        <v>55</v>
      </c>
      <c r="D2008" s="5" t="s">
        <v>2599</v>
      </c>
      <c r="E2008" s="5" t="n">
        <v>3</v>
      </c>
      <c r="F2008" s="20" t="n">
        <v>8.99867480565452</v>
      </c>
      <c r="G2008" s="20" t="n">
        <f aca="false">9-F2008</f>
        <v>0.00132519434547618</v>
      </c>
      <c r="H2008" s="20" t="n">
        <f aca="false">IF(G2008&gt;=1,G2008,0)</f>
        <v>0</v>
      </c>
      <c r="I2008" s="5" t="s">
        <v>75</v>
      </c>
      <c r="J2008" s="5" t="s">
        <v>2600</v>
      </c>
    </row>
    <row r="2009" customFormat="false" ht="15" hidden="false" customHeight="false" outlineLevel="0" collapsed="false">
      <c r="A2009" s="5" t="s">
        <v>229</v>
      </c>
      <c r="B2009" s="5" t="s">
        <v>172</v>
      </c>
      <c r="C2009" s="5" t="n">
        <v>56</v>
      </c>
      <c r="D2009" s="5" t="s">
        <v>2601</v>
      </c>
      <c r="E2009" s="5" t="n">
        <v>3</v>
      </c>
      <c r="F2009" s="20" t="n">
        <v>8.01679961130906</v>
      </c>
      <c r="G2009" s="20" t="n">
        <f aca="false">9-F2009</f>
        <v>0.983200388690939</v>
      </c>
      <c r="H2009" s="20" t="n">
        <f aca="false">IF(G2009&gt;=1,G2009,0)</f>
        <v>0</v>
      </c>
      <c r="I2009" s="5" t="s">
        <v>75</v>
      </c>
      <c r="J2009" s="5" t="s">
        <v>2602</v>
      </c>
    </row>
    <row r="2010" customFormat="false" ht="15" hidden="false" customHeight="false" outlineLevel="0" collapsed="false">
      <c r="A2010" s="5" t="s">
        <v>229</v>
      </c>
      <c r="B2010" s="5" t="s">
        <v>172</v>
      </c>
      <c r="C2010" s="5" t="n">
        <v>57</v>
      </c>
      <c r="D2010" s="5" t="s">
        <v>2603</v>
      </c>
      <c r="E2010" s="5" t="n">
        <v>2</v>
      </c>
      <c r="F2010" s="20" t="n">
        <v>6.59182480565454</v>
      </c>
      <c r="G2010" s="20" t="n">
        <f aca="false">9-F2010</f>
        <v>2.40817519434546</v>
      </c>
      <c r="H2010" s="20" t="n">
        <f aca="false">IF(G2010&gt;=1,G2010,0)</f>
        <v>2.40817519434546</v>
      </c>
      <c r="I2010" s="5" t="s">
        <v>75</v>
      </c>
      <c r="J2010" s="5" t="s">
        <v>2604</v>
      </c>
    </row>
    <row r="2011" customFormat="false" ht="15" hidden="false" customHeight="false" outlineLevel="0" collapsed="false">
      <c r="A2011" s="5" t="s">
        <v>229</v>
      </c>
      <c r="B2011" s="5" t="s">
        <v>172</v>
      </c>
      <c r="C2011" s="5" t="n">
        <v>58</v>
      </c>
      <c r="D2011" s="5" t="s">
        <v>1475</v>
      </c>
      <c r="E2011" s="5" t="n">
        <v>1</v>
      </c>
      <c r="F2011" s="20" t="n">
        <v>5.32285</v>
      </c>
      <c r="G2011" s="20" t="n">
        <f aca="false">9-F2011</f>
        <v>3.67715</v>
      </c>
      <c r="H2011" s="20" t="n">
        <f aca="false">IF(G2011&gt;=1,G2011,0)</f>
        <v>3.67715</v>
      </c>
      <c r="I2011" s="5" t="s">
        <v>75</v>
      </c>
      <c r="J2011" s="5" t="s">
        <v>2605</v>
      </c>
    </row>
    <row r="2012" customFormat="false" ht="15" hidden="false" customHeight="false" outlineLevel="0" collapsed="false">
      <c r="A2012" s="5" t="s">
        <v>229</v>
      </c>
      <c r="B2012" s="5" t="s">
        <v>172</v>
      </c>
      <c r="C2012" s="5" t="n">
        <v>59</v>
      </c>
      <c r="D2012" s="5" t="s">
        <v>1475</v>
      </c>
      <c r="E2012" s="5" t="n">
        <v>1</v>
      </c>
      <c r="F2012" s="20" t="n">
        <v>5.32285</v>
      </c>
      <c r="G2012" s="20" t="n">
        <f aca="false">9-F2012</f>
        <v>3.67715</v>
      </c>
      <c r="H2012" s="20" t="n">
        <f aca="false">IF(G2012&gt;=1,G2012,0)</f>
        <v>3.67715</v>
      </c>
      <c r="I2012" s="5" t="s">
        <v>75</v>
      </c>
      <c r="J2012" s="5" t="s">
        <v>2606</v>
      </c>
    </row>
    <row r="2013" customFormat="false" ht="15" hidden="false" customHeight="false" outlineLevel="0" collapsed="false">
      <c r="A2013" s="5" t="s">
        <v>229</v>
      </c>
      <c r="B2013" s="5" t="s">
        <v>172</v>
      </c>
      <c r="C2013" s="5" t="n">
        <v>60</v>
      </c>
      <c r="D2013" s="5" t="s">
        <v>1480</v>
      </c>
      <c r="E2013" s="5" t="n">
        <v>1</v>
      </c>
      <c r="F2013" s="20" t="n">
        <v>5.21897480565453</v>
      </c>
      <c r="G2013" s="20" t="n">
        <f aca="false">9-F2013</f>
        <v>3.78102519434547</v>
      </c>
      <c r="H2013" s="20" t="n">
        <f aca="false">IF(G2013&gt;=1,G2013,0)</f>
        <v>3.78102519434547</v>
      </c>
      <c r="I2013" s="5" t="s">
        <v>75</v>
      </c>
      <c r="J2013" s="5" t="s">
        <v>2607</v>
      </c>
    </row>
    <row r="2014" customFormat="false" ht="15" hidden="false" customHeight="false" outlineLevel="0" collapsed="false">
      <c r="A2014" s="5" t="s">
        <v>229</v>
      </c>
      <c r="B2014" s="5" t="s">
        <v>172</v>
      </c>
      <c r="C2014" s="5" t="n">
        <v>61</v>
      </c>
      <c r="D2014" s="5" t="s">
        <v>1484</v>
      </c>
      <c r="E2014" s="5" t="n">
        <v>1</v>
      </c>
      <c r="F2014" s="20" t="n">
        <v>5.17285000000004</v>
      </c>
      <c r="G2014" s="20" t="n">
        <f aca="false">9-F2014</f>
        <v>3.82714999999996</v>
      </c>
      <c r="H2014" s="20" t="n">
        <f aca="false">IF(G2014&gt;=1,G2014,0)</f>
        <v>3.82714999999996</v>
      </c>
      <c r="I2014" s="5" t="s">
        <v>75</v>
      </c>
      <c r="J2014" s="5" t="s">
        <v>2608</v>
      </c>
    </row>
    <row r="2015" customFormat="false" ht="15" hidden="false" customHeight="false" outlineLevel="0" collapsed="false">
      <c r="A2015" s="5" t="s">
        <v>229</v>
      </c>
      <c r="B2015" s="5" t="s">
        <v>172</v>
      </c>
      <c r="C2015" s="5" t="n">
        <v>62</v>
      </c>
      <c r="D2015" s="5" t="s">
        <v>1484</v>
      </c>
      <c r="E2015" s="5" t="n">
        <v>1</v>
      </c>
      <c r="F2015" s="20" t="n">
        <v>5.17285000000004</v>
      </c>
      <c r="G2015" s="20" t="n">
        <f aca="false">9-F2015</f>
        <v>3.82714999999996</v>
      </c>
      <c r="H2015" s="20" t="n">
        <f aca="false">IF(G2015&gt;=1,G2015,0)</f>
        <v>3.82714999999996</v>
      </c>
      <c r="I2015" s="5" t="s">
        <v>75</v>
      </c>
      <c r="J2015" s="5" t="s">
        <v>2609</v>
      </c>
    </row>
    <row r="2016" customFormat="false" ht="15" hidden="false" customHeight="false" outlineLevel="0" collapsed="false">
      <c r="A2016" s="5" t="s">
        <v>229</v>
      </c>
      <c r="B2016" s="5" t="s">
        <v>172</v>
      </c>
      <c r="C2016" s="5" t="n">
        <v>63</v>
      </c>
      <c r="D2016" s="5" t="s">
        <v>1487</v>
      </c>
      <c r="E2016" s="5" t="n">
        <v>2</v>
      </c>
      <c r="F2016" s="20" t="n">
        <v>8.98541676622001</v>
      </c>
      <c r="G2016" s="20" t="n">
        <f aca="false">9-F2016</f>
        <v>0.0145832337799874</v>
      </c>
      <c r="H2016" s="20" t="n">
        <f aca="false">IF(G2016&gt;=1,G2016,0)</f>
        <v>0</v>
      </c>
      <c r="I2016" s="5" t="s">
        <v>75</v>
      </c>
      <c r="J2016" s="5" t="s">
        <v>2610</v>
      </c>
    </row>
    <row r="2017" customFormat="false" ht="15" hidden="false" customHeight="false" outlineLevel="0" collapsed="false">
      <c r="A2017" s="5" t="s">
        <v>229</v>
      </c>
      <c r="B2017" s="5" t="s">
        <v>172</v>
      </c>
      <c r="C2017" s="5" t="n">
        <v>64</v>
      </c>
      <c r="D2017" s="5" t="s">
        <v>1490</v>
      </c>
      <c r="E2017" s="5" t="n">
        <v>1</v>
      </c>
      <c r="F2017" s="20" t="n">
        <v>4.88954196056548</v>
      </c>
      <c r="G2017" s="20" t="n">
        <f aca="false">9-F2017</f>
        <v>4.11045803943452</v>
      </c>
      <c r="H2017" s="20" t="n">
        <f aca="false">IF(G2017&gt;=1,G2017,0)</f>
        <v>4.11045803943452</v>
      </c>
      <c r="I2017" s="5" t="s">
        <v>75</v>
      </c>
      <c r="J2017" s="5" t="s">
        <v>2611</v>
      </c>
    </row>
    <row r="2018" customFormat="false" ht="15" hidden="false" customHeight="false" outlineLevel="0" collapsed="false">
      <c r="A2018" s="5" t="s">
        <v>229</v>
      </c>
      <c r="B2018" s="5" t="s">
        <v>172</v>
      </c>
      <c r="C2018" s="5" t="n">
        <v>65</v>
      </c>
      <c r="D2018" s="5" t="s">
        <v>1490</v>
      </c>
      <c r="E2018" s="5" t="n">
        <v>1</v>
      </c>
      <c r="F2018" s="20" t="n">
        <v>4.88954196056548</v>
      </c>
      <c r="G2018" s="20" t="n">
        <f aca="false">9-F2018</f>
        <v>4.11045803943452</v>
      </c>
      <c r="H2018" s="20" t="n">
        <f aca="false">IF(G2018&gt;=1,G2018,0)</f>
        <v>4.11045803943452</v>
      </c>
      <c r="I2018" s="5" t="s">
        <v>75</v>
      </c>
      <c r="J2018" s="5" t="s">
        <v>2612</v>
      </c>
    </row>
    <row r="2019" customFormat="false" ht="15" hidden="false" customHeight="false" outlineLevel="0" collapsed="false">
      <c r="A2019" s="5" t="s">
        <v>229</v>
      </c>
      <c r="B2019" s="5" t="s">
        <v>172</v>
      </c>
      <c r="C2019" s="5" t="n">
        <v>66</v>
      </c>
      <c r="D2019" s="5" t="s">
        <v>1490</v>
      </c>
      <c r="E2019" s="5" t="n">
        <v>1</v>
      </c>
      <c r="F2019" s="20" t="n">
        <v>4.88954196056548</v>
      </c>
      <c r="G2019" s="20" t="n">
        <f aca="false">9-F2019</f>
        <v>4.11045803943452</v>
      </c>
      <c r="H2019" s="20" t="n">
        <f aca="false">IF(G2019&gt;=1,G2019,0)</f>
        <v>4.11045803943452</v>
      </c>
      <c r="I2019" s="5" t="s">
        <v>75</v>
      </c>
      <c r="J2019" s="5" t="s">
        <v>2613</v>
      </c>
    </row>
    <row r="2020" customFormat="false" ht="15" hidden="false" customHeight="false" outlineLevel="0" collapsed="false">
      <c r="A2020" s="5" t="s">
        <v>229</v>
      </c>
      <c r="B2020" s="5" t="s">
        <v>172</v>
      </c>
      <c r="C2020" s="5" t="n">
        <v>67</v>
      </c>
      <c r="D2020" s="5" t="s">
        <v>1495</v>
      </c>
      <c r="E2020" s="5" t="n">
        <v>2</v>
      </c>
      <c r="F2020" s="20" t="n">
        <v>8.46459961130907</v>
      </c>
      <c r="G2020" s="20" t="n">
        <f aca="false">9-F2020</f>
        <v>0.535400388690935</v>
      </c>
      <c r="H2020" s="20" t="n">
        <f aca="false">IF(G2020&gt;=1,G2020,0)</f>
        <v>0</v>
      </c>
      <c r="I2020" s="5" t="s">
        <v>75</v>
      </c>
      <c r="J2020" s="5" t="s">
        <v>2614</v>
      </c>
    </row>
    <row r="2021" customFormat="false" ht="15" hidden="false" customHeight="false" outlineLevel="0" collapsed="false">
      <c r="A2021" s="5" t="s">
        <v>229</v>
      </c>
      <c r="B2021" s="5" t="s">
        <v>172</v>
      </c>
      <c r="C2021" s="5" t="n">
        <v>68</v>
      </c>
      <c r="D2021" s="5" t="s">
        <v>2060</v>
      </c>
      <c r="E2021" s="5" t="n">
        <v>2</v>
      </c>
      <c r="F2021" s="20" t="n">
        <v>8.43844961130906</v>
      </c>
      <c r="G2021" s="20" t="n">
        <f aca="false">9-F2021</f>
        <v>0.561550388690939</v>
      </c>
      <c r="H2021" s="20" t="n">
        <f aca="false">IF(G2021&gt;=1,G2021,0)</f>
        <v>0</v>
      </c>
      <c r="I2021" s="5" t="s">
        <v>75</v>
      </c>
      <c r="J2021" s="5" t="s">
        <v>2615</v>
      </c>
    </row>
    <row r="2022" customFormat="false" ht="15" hidden="false" customHeight="false" outlineLevel="0" collapsed="false">
      <c r="A2022" s="5" t="s">
        <v>229</v>
      </c>
      <c r="B2022" s="5" t="s">
        <v>172</v>
      </c>
      <c r="C2022" s="5" t="n">
        <v>69</v>
      </c>
      <c r="D2022" s="5" t="s">
        <v>2062</v>
      </c>
      <c r="E2022" s="5" t="n">
        <v>1</v>
      </c>
      <c r="F2022" s="20" t="n">
        <v>4.15367480565453</v>
      </c>
      <c r="G2022" s="20" t="n">
        <f aca="false">9-F2022</f>
        <v>4.84632519434547</v>
      </c>
      <c r="H2022" s="20" t="n">
        <f aca="false">IF(G2022&gt;=1,G2022,0)</f>
        <v>4.84632519434547</v>
      </c>
      <c r="I2022" s="5" t="s">
        <v>75</v>
      </c>
      <c r="J2022" s="5" t="s">
        <v>2616</v>
      </c>
    </row>
    <row r="2023" customFormat="false" ht="15" hidden="false" customHeight="false" outlineLevel="0" collapsed="false">
      <c r="A2023" s="5" t="s">
        <v>231</v>
      </c>
      <c r="B2023" s="5" t="s">
        <v>168</v>
      </c>
      <c r="C2023" s="5" t="n">
        <v>1</v>
      </c>
      <c r="D2023" s="5" t="s">
        <v>773</v>
      </c>
      <c r="E2023" s="5" t="n">
        <v>2</v>
      </c>
      <c r="F2023" s="20" t="n">
        <v>8.45646835012722</v>
      </c>
      <c r="G2023" s="20" t="n">
        <f aca="false">9-F2023</f>
        <v>0.543531649872779</v>
      </c>
      <c r="H2023" s="20" t="n">
        <f aca="false">IF(G2023&gt;=1,G2023,0)</f>
        <v>0</v>
      </c>
      <c r="I2023" s="5" t="s">
        <v>774</v>
      </c>
      <c r="J2023" s="5" t="s">
        <v>2617</v>
      </c>
    </row>
    <row r="2024" customFormat="false" ht="15" hidden="false" customHeight="false" outlineLevel="0" collapsed="false">
      <c r="A2024" s="5" t="s">
        <v>231</v>
      </c>
      <c r="B2024" s="5" t="s">
        <v>168</v>
      </c>
      <c r="C2024" s="5" t="n">
        <v>2</v>
      </c>
      <c r="D2024" s="5" t="s">
        <v>773</v>
      </c>
      <c r="E2024" s="5" t="n">
        <v>2</v>
      </c>
      <c r="F2024" s="20" t="n">
        <v>8.45646835012722</v>
      </c>
      <c r="G2024" s="20" t="n">
        <f aca="false">9-F2024</f>
        <v>0.543531649872779</v>
      </c>
      <c r="H2024" s="20" t="n">
        <f aca="false">IF(G2024&gt;=1,G2024,0)</f>
        <v>0</v>
      </c>
      <c r="I2024" s="5" t="s">
        <v>774</v>
      </c>
      <c r="J2024" s="5" t="s">
        <v>2618</v>
      </c>
    </row>
    <row r="2025" customFormat="false" ht="15" hidden="false" customHeight="false" outlineLevel="0" collapsed="false">
      <c r="A2025" s="5" t="s">
        <v>231</v>
      </c>
      <c r="B2025" s="5" t="s">
        <v>168</v>
      </c>
      <c r="C2025" s="5" t="n">
        <v>3</v>
      </c>
      <c r="D2025" s="5" t="s">
        <v>773</v>
      </c>
      <c r="E2025" s="5" t="n">
        <v>2</v>
      </c>
      <c r="F2025" s="20" t="n">
        <v>8.45646835012722</v>
      </c>
      <c r="G2025" s="20" t="n">
        <f aca="false">9-F2025</f>
        <v>0.543531649872781</v>
      </c>
      <c r="H2025" s="20" t="n">
        <f aca="false">IF(G2025&gt;=1,G2025,0)</f>
        <v>0</v>
      </c>
      <c r="I2025" s="5" t="s">
        <v>774</v>
      </c>
      <c r="J2025" s="5" t="s">
        <v>2619</v>
      </c>
    </row>
    <row r="2026" customFormat="false" ht="15" hidden="false" customHeight="false" outlineLevel="0" collapsed="false">
      <c r="A2026" s="5" t="s">
        <v>231</v>
      </c>
      <c r="B2026" s="5" t="s">
        <v>168</v>
      </c>
      <c r="C2026" s="5" t="n">
        <v>4</v>
      </c>
      <c r="D2026" s="5" t="s">
        <v>773</v>
      </c>
      <c r="E2026" s="5" t="n">
        <v>2</v>
      </c>
      <c r="F2026" s="20" t="n">
        <v>8.45646835012722</v>
      </c>
      <c r="G2026" s="20" t="n">
        <f aca="false">9-F2026</f>
        <v>0.543531649872781</v>
      </c>
      <c r="H2026" s="20" t="n">
        <f aca="false">IF(G2026&gt;=1,G2026,0)</f>
        <v>0</v>
      </c>
      <c r="I2026" s="5" t="s">
        <v>774</v>
      </c>
      <c r="J2026" s="5" t="s">
        <v>2620</v>
      </c>
    </row>
    <row r="2027" customFormat="false" ht="15" hidden="false" customHeight="false" outlineLevel="0" collapsed="false">
      <c r="A2027" s="5" t="s">
        <v>231</v>
      </c>
      <c r="B2027" s="5" t="s">
        <v>168</v>
      </c>
      <c r="C2027" s="5" t="n">
        <v>5</v>
      </c>
      <c r="D2027" s="5" t="s">
        <v>773</v>
      </c>
      <c r="E2027" s="5" t="n">
        <v>2</v>
      </c>
      <c r="F2027" s="20" t="n">
        <v>8.45646835012722</v>
      </c>
      <c r="G2027" s="20" t="n">
        <f aca="false">9-F2027</f>
        <v>0.543531649872781</v>
      </c>
      <c r="H2027" s="20" t="n">
        <f aca="false">IF(G2027&gt;=1,G2027,0)</f>
        <v>0</v>
      </c>
      <c r="I2027" s="5" t="s">
        <v>774</v>
      </c>
      <c r="J2027" s="5" t="s">
        <v>2621</v>
      </c>
    </row>
    <row r="2028" customFormat="false" ht="15" hidden="false" customHeight="false" outlineLevel="0" collapsed="false">
      <c r="A2028" s="5" t="s">
        <v>231</v>
      </c>
      <c r="B2028" s="5" t="s">
        <v>168</v>
      </c>
      <c r="C2028" s="5" t="n">
        <v>6</v>
      </c>
      <c r="D2028" s="5" t="s">
        <v>773</v>
      </c>
      <c r="E2028" s="5" t="n">
        <v>2</v>
      </c>
      <c r="F2028" s="20" t="n">
        <v>8.45646835012722</v>
      </c>
      <c r="G2028" s="20" t="n">
        <f aca="false">9-F2028</f>
        <v>0.543531649872781</v>
      </c>
      <c r="H2028" s="20" t="n">
        <f aca="false">IF(G2028&gt;=1,G2028,0)</f>
        <v>0</v>
      </c>
      <c r="I2028" s="5" t="s">
        <v>774</v>
      </c>
      <c r="J2028" s="5" t="s">
        <v>2622</v>
      </c>
    </row>
    <row r="2029" customFormat="false" ht="15" hidden="false" customHeight="false" outlineLevel="0" collapsed="false">
      <c r="A2029" s="5" t="s">
        <v>231</v>
      </c>
      <c r="B2029" s="5" t="s">
        <v>168</v>
      </c>
      <c r="C2029" s="5" t="n">
        <v>7</v>
      </c>
      <c r="D2029" s="5" t="s">
        <v>773</v>
      </c>
      <c r="E2029" s="5" t="n">
        <v>2</v>
      </c>
      <c r="F2029" s="20" t="n">
        <v>8.45646835012722</v>
      </c>
      <c r="G2029" s="20" t="n">
        <f aca="false">9-F2029</f>
        <v>0.543531649872781</v>
      </c>
      <c r="H2029" s="20" t="n">
        <f aca="false">IF(G2029&gt;=1,G2029,0)</f>
        <v>0</v>
      </c>
      <c r="I2029" s="5" t="s">
        <v>774</v>
      </c>
      <c r="J2029" s="5" t="s">
        <v>2623</v>
      </c>
    </row>
    <row r="2030" customFormat="false" ht="15" hidden="false" customHeight="false" outlineLevel="0" collapsed="false">
      <c r="A2030" s="5" t="s">
        <v>231</v>
      </c>
      <c r="B2030" s="5" t="s">
        <v>168</v>
      </c>
      <c r="C2030" s="5" t="n">
        <v>8</v>
      </c>
      <c r="D2030" s="5" t="s">
        <v>773</v>
      </c>
      <c r="E2030" s="5" t="n">
        <v>2</v>
      </c>
      <c r="F2030" s="20" t="n">
        <v>8.45646835012722</v>
      </c>
      <c r="G2030" s="20" t="n">
        <f aca="false">9-F2030</f>
        <v>0.543531649872781</v>
      </c>
      <c r="H2030" s="20" t="n">
        <f aca="false">IF(G2030&gt;=1,G2030,0)</f>
        <v>0</v>
      </c>
      <c r="I2030" s="5" t="s">
        <v>774</v>
      </c>
      <c r="J2030" s="5" t="s">
        <v>2624</v>
      </c>
    </row>
    <row r="2031" customFormat="false" ht="15" hidden="false" customHeight="false" outlineLevel="0" collapsed="false">
      <c r="A2031" s="5" t="s">
        <v>231</v>
      </c>
      <c r="B2031" s="5" t="s">
        <v>168</v>
      </c>
      <c r="C2031" s="5" t="n">
        <v>9</v>
      </c>
      <c r="D2031" s="5" t="s">
        <v>773</v>
      </c>
      <c r="E2031" s="5" t="n">
        <v>2</v>
      </c>
      <c r="F2031" s="20" t="n">
        <v>8.45646835012722</v>
      </c>
      <c r="G2031" s="20" t="n">
        <f aca="false">9-F2031</f>
        <v>0.543531649872781</v>
      </c>
      <c r="H2031" s="20" t="n">
        <f aca="false">IF(G2031&gt;=1,G2031,0)</f>
        <v>0</v>
      </c>
      <c r="I2031" s="5" t="s">
        <v>774</v>
      </c>
      <c r="J2031" s="5" t="s">
        <v>2625</v>
      </c>
    </row>
    <row r="2032" customFormat="false" ht="15" hidden="false" customHeight="false" outlineLevel="0" collapsed="false">
      <c r="A2032" s="5" t="s">
        <v>231</v>
      </c>
      <c r="B2032" s="5" t="s">
        <v>168</v>
      </c>
      <c r="C2032" s="5" t="n">
        <v>10</v>
      </c>
      <c r="D2032" s="5" t="s">
        <v>773</v>
      </c>
      <c r="E2032" s="5" t="n">
        <v>2</v>
      </c>
      <c r="F2032" s="20" t="n">
        <v>8.45646835012722</v>
      </c>
      <c r="G2032" s="20" t="n">
        <f aca="false">9-F2032</f>
        <v>0.543531649872781</v>
      </c>
      <c r="H2032" s="20" t="n">
        <f aca="false">IF(G2032&gt;=1,G2032,0)</f>
        <v>0</v>
      </c>
      <c r="I2032" s="5" t="s">
        <v>774</v>
      </c>
      <c r="J2032" s="5" t="s">
        <v>2626</v>
      </c>
    </row>
    <row r="2033" customFormat="false" ht="15" hidden="false" customHeight="false" outlineLevel="0" collapsed="false">
      <c r="A2033" s="5" t="s">
        <v>231</v>
      </c>
      <c r="B2033" s="5" t="s">
        <v>168</v>
      </c>
      <c r="C2033" s="5" t="n">
        <v>11</v>
      </c>
      <c r="D2033" s="5" t="s">
        <v>773</v>
      </c>
      <c r="E2033" s="5" t="n">
        <v>2</v>
      </c>
      <c r="F2033" s="20" t="n">
        <v>8.45646835012722</v>
      </c>
      <c r="G2033" s="20" t="n">
        <f aca="false">9-F2033</f>
        <v>0.543531649872781</v>
      </c>
      <c r="H2033" s="20" t="n">
        <f aca="false">IF(G2033&gt;=1,G2033,0)</f>
        <v>0</v>
      </c>
      <c r="I2033" s="5" t="s">
        <v>774</v>
      </c>
      <c r="J2033" s="5" t="s">
        <v>2627</v>
      </c>
    </row>
    <row r="2034" customFormat="false" ht="15" hidden="false" customHeight="false" outlineLevel="0" collapsed="false">
      <c r="A2034" s="5" t="s">
        <v>231</v>
      </c>
      <c r="B2034" s="5" t="s">
        <v>168</v>
      </c>
      <c r="C2034" s="5" t="n">
        <v>12</v>
      </c>
      <c r="D2034" s="5" t="s">
        <v>773</v>
      </c>
      <c r="E2034" s="5" t="n">
        <v>2</v>
      </c>
      <c r="F2034" s="20" t="n">
        <v>8.45646835012722</v>
      </c>
      <c r="G2034" s="20" t="n">
        <f aca="false">9-F2034</f>
        <v>0.543531649872781</v>
      </c>
      <c r="H2034" s="20" t="n">
        <f aca="false">IF(G2034&gt;=1,G2034,0)</f>
        <v>0</v>
      </c>
      <c r="I2034" s="5" t="s">
        <v>774</v>
      </c>
      <c r="J2034" s="5" t="s">
        <v>2628</v>
      </c>
    </row>
    <row r="2035" customFormat="false" ht="15" hidden="false" customHeight="false" outlineLevel="0" collapsed="false">
      <c r="A2035" s="5" t="s">
        <v>231</v>
      </c>
      <c r="B2035" s="5" t="s">
        <v>168</v>
      </c>
      <c r="C2035" s="5" t="n">
        <v>13</v>
      </c>
      <c r="D2035" s="5" t="s">
        <v>773</v>
      </c>
      <c r="E2035" s="5" t="n">
        <v>2</v>
      </c>
      <c r="F2035" s="20" t="n">
        <v>8.45646835012722</v>
      </c>
      <c r="G2035" s="20" t="n">
        <f aca="false">9-F2035</f>
        <v>0.543531649872781</v>
      </c>
      <c r="H2035" s="20" t="n">
        <f aca="false">IF(G2035&gt;=1,G2035,0)</f>
        <v>0</v>
      </c>
      <c r="I2035" s="5" t="s">
        <v>774</v>
      </c>
      <c r="J2035" s="5" t="s">
        <v>2629</v>
      </c>
    </row>
    <row r="2036" customFormat="false" ht="15" hidden="false" customHeight="false" outlineLevel="0" collapsed="false">
      <c r="A2036" s="5" t="s">
        <v>231</v>
      </c>
      <c r="B2036" s="5" t="s">
        <v>168</v>
      </c>
      <c r="C2036" s="5" t="n">
        <v>14</v>
      </c>
      <c r="D2036" s="5" t="s">
        <v>773</v>
      </c>
      <c r="E2036" s="5" t="n">
        <v>2</v>
      </c>
      <c r="F2036" s="20" t="n">
        <v>8.45646835012722</v>
      </c>
      <c r="G2036" s="20" t="n">
        <f aca="false">9-F2036</f>
        <v>0.543531649872781</v>
      </c>
      <c r="H2036" s="20" t="n">
        <f aca="false">IF(G2036&gt;=1,G2036,0)</f>
        <v>0</v>
      </c>
      <c r="I2036" s="5" t="s">
        <v>774</v>
      </c>
      <c r="J2036" s="5" t="s">
        <v>2630</v>
      </c>
    </row>
    <row r="2037" customFormat="false" ht="15" hidden="false" customHeight="false" outlineLevel="0" collapsed="false">
      <c r="A2037" s="5" t="s">
        <v>231</v>
      </c>
      <c r="B2037" s="5" t="s">
        <v>168</v>
      </c>
      <c r="C2037" s="5" t="n">
        <v>15</v>
      </c>
      <c r="D2037" s="5" t="s">
        <v>773</v>
      </c>
      <c r="E2037" s="5" t="n">
        <v>2</v>
      </c>
      <c r="F2037" s="20" t="n">
        <v>8.45646835012722</v>
      </c>
      <c r="G2037" s="20" t="n">
        <f aca="false">9-F2037</f>
        <v>0.543531649872783</v>
      </c>
      <c r="H2037" s="20" t="n">
        <f aca="false">IF(G2037&gt;=1,G2037,0)</f>
        <v>0</v>
      </c>
      <c r="I2037" s="5" t="s">
        <v>774</v>
      </c>
      <c r="J2037" s="5" t="s">
        <v>2631</v>
      </c>
    </row>
    <row r="2038" customFormat="false" ht="15" hidden="false" customHeight="false" outlineLevel="0" collapsed="false">
      <c r="A2038" s="5" t="s">
        <v>231</v>
      </c>
      <c r="B2038" s="5" t="s">
        <v>168</v>
      </c>
      <c r="C2038" s="5" t="n">
        <v>16</v>
      </c>
      <c r="D2038" s="5" t="s">
        <v>773</v>
      </c>
      <c r="E2038" s="5" t="n">
        <v>2</v>
      </c>
      <c r="F2038" s="20" t="n">
        <v>8.45646835012722</v>
      </c>
      <c r="G2038" s="20" t="n">
        <f aca="false">9-F2038</f>
        <v>0.543531649872783</v>
      </c>
      <c r="H2038" s="20" t="n">
        <f aca="false">IF(G2038&gt;=1,G2038,0)</f>
        <v>0</v>
      </c>
      <c r="I2038" s="5" t="s">
        <v>774</v>
      </c>
      <c r="J2038" s="5" t="s">
        <v>2632</v>
      </c>
    </row>
    <row r="2039" customFormat="false" ht="15" hidden="false" customHeight="false" outlineLevel="0" collapsed="false">
      <c r="A2039" s="5" t="s">
        <v>231</v>
      </c>
      <c r="B2039" s="5" t="s">
        <v>168</v>
      </c>
      <c r="C2039" s="5" t="n">
        <v>17</v>
      </c>
      <c r="D2039" s="5" t="s">
        <v>773</v>
      </c>
      <c r="E2039" s="5" t="n">
        <v>2</v>
      </c>
      <c r="F2039" s="20" t="n">
        <v>8.45646835012722</v>
      </c>
      <c r="G2039" s="20" t="n">
        <f aca="false">9-F2039</f>
        <v>0.543531649872783</v>
      </c>
      <c r="H2039" s="20" t="n">
        <f aca="false">IF(G2039&gt;=1,G2039,0)</f>
        <v>0</v>
      </c>
      <c r="I2039" s="5" t="s">
        <v>774</v>
      </c>
      <c r="J2039" s="5" t="s">
        <v>2633</v>
      </c>
    </row>
    <row r="2040" customFormat="false" ht="15" hidden="false" customHeight="false" outlineLevel="0" collapsed="false">
      <c r="A2040" s="5" t="s">
        <v>231</v>
      </c>
      <c r="B2040" s="5" t="s">
        <v>168</v>
      </c>
      <c r="C2040" s="5" t="n">
        <v>18</v>
      </c>
      <c r="D2040" s="5" t="s">
        <v>792</v>
      </c>
      <c r="E2040" s="5" t="n">
        <v>3</v>
      </c>
      <c r="F2040" s="20" t="n">
        <v>8.78793670025443</v>
      </c>
      <c r="G2040" s="20" t="n">
        <f aca="false">9-F2040</f>
        <v>0.212063299745566</v>
      </c>
      <c r="H2040" s="20" t="n">
        <f aca="false">IF(G2040&gt;=1,G2040,0)</f>
        <v>0</v>
      </c>
      <c r="I2040" s="5" t="s">
        <v>774</v>
      </c>
      <c r="J2040" s="5" t="s">
        <v>2634</v>
      </c>
    </row>
    <row r="2041" customFormat="false" ht="15" hidden="false" customHeight="false" outlineLevel="0" collapsed="false">
      <c r="A2041" s="5" t="s">
        <v>231</v>
      </c>
      <c r="B2041" s="5" t="s">
        <v>168</v>
      </c>
      <c r="C2041" s="5" t="n">
        <v>19</v>
      </c>
      <c r="D2041" s="5" t="s">
        <v>794</v>
      </c>
      <c r="E2041" s="5" t="n">
        <v>3</v>
      </c>
      <c r="F2041" s="20" t="n">
        <v>8.78793670025443</v>
      </c>
      <c r="G2041" s="20" t="n">
        <f aca="false">9-F2041</f>
        <v>0.212063299745569</v>
      </c>
      <c r="H2041" s="20" t="n">
        <f aca="false">IF(G2041&gt;=1,G2041,0)</f>
        <v>0</v>
      </c>
      <c r="I2041" s="5" t="s">
        <v>774</v>
      </c>
      <c r="J2041" s="5" t="s">
        <v>2635</v>
      </c>
    </row>
    <row r="2042" customFormat="false" ht="15" hidden="false" customHeight="false" outlineLevel="0" collapsed="false">
      <c r="A2042" s="5" t="s">
        <v>231</v>
      </c>
      <c r="B2042" s="5" t="s">
        <v>168</v>
      </c>
      <c r="C2042" s="5" t="n">
        <v>20</v>
      </c>
      <c r="D2042" s="5" t="s">
        <v>794</v>
      </c>
      <c r="E2042" s="5" t="n">
        <v>3</v>
      </c>
      <c r="F2042" s="20" t="n">
        <v>8.78793670025443</v>
      </c>
      <c r="G2042" s="20" t="n">
        <f aca="false">9-F2042</f>
        <v>0.212063299745573</v>
      </c>
      <c r="H2042" s="20" t="n">
        <f aca="false">IF(G2042&gt;=1,G2042,0)</f>
        <v>0</v>
      </c>
      <c r="I2042" s="5" t="s">
        <v>774</v>
      </c>
      <c r="J2042" s="5" t="s">
        <v>2636</v>
      </c>
    </row>
    <row r="2043" customFormat="false" ht="15" hidden="false" customHeight="false" outlineLevel="0" collapsed="false">
      <c r="A2043" s="5" t="s">
        <v>231</v>
      </c>
      <c r="B2043" s="5" t="s">
        <v>168</v>
      </c>
      <c r="C2043" s="5" t="n">
        <v>21</v>
      </c>
      <c r="D2043" s="5" t="s">
        <v>794</v>
      </c>
      <c r="E2043" s="5" t="n">
        <v>3</v>
      </c>
      <c r="F2043" s="20" t="n">
        <v>8.78793670025443</v>
      </c>
      <c r="G2043" s="20" t="n">
        <f aca="false">9-F2043</f>
        <v>0.212063299745573</v>
      </c>
      <c r="H2043" s="20" t="n">
        <f aca="false">IF(G2043&gt;=1,G2043,0)</f>
        <v>0</v>
      </c>
      <c r="I2043" s="5" t="s">
        <v>774</v>
      </c>
      <c r="J2043" s="5" t="s">
        <v>2637</v>
      </c>
    </row>
    <row r="2044" customFormat="false" ht="15" hidden="false" customHeight="false" outlineLevel="0" collapsed="false">
      <c r="A2044" s="5" t="s">
        <v>231</v>
      </c>
      <c r="B2044" s="5" t="s">
        <v>168</v>
      </c>
      <c r="C2044" s="5" t="n">
        <v>22</v>
      </c>
      <c r="D2044" s="5" t="s">
        <v>794</v>
      </c>
      <c r="E2044" s="5" t="n">
        <v>3</v>
      </c>
      <c r="F2044" s="20" t="n">
        <v>8.78793670025443</v>
      </c>
      <c r="G2044" s="20" t="n">
        <f aca="false">9-F2044</f>
        <v>0.212063299745573</v>
      </c>
      <c r="H2044" s="20" t="n">
        <f aca="false">IF(G2044&gt;=1,G2044,0)</f>
        <v>0</v>
      </c>
      <c r="I2044" s="5" t="s">
        <v>774</v>
      </c>
      <c r="J2044" s="5" t="s">
        <v>2638</v>
      </c>
    </row>
    <row r="2045" customFormat="false" ht="15" hidden="false" customHeight="false" outlineLevel="0" collapsed="false">
      <c r="A2045" s="5" t="s">
        <v>231</v>
      </c>
      <c r="B2045" s="5" t="s">
        <v>168</v>
      </c>
      <c r="C2045" s="5" t="n">
        <v>23</v>
      </c>
      <c r="D2045" s="5" t="s">
        <v>794</v>
      </c>
      <c r="E2045" s="5" t="n">
        <v>3</v>
      </c>
      <c r="F2045" s="20" t="n">
        <v>8.78793670025443</v>
      </c>
      <c r="G2045" s="20" t="n">
        <f aca="false">9-F2045</f>
        <v>0.212063299745573</v>
      </c>
      <c r="H2045" s="20" t="n">
        <f aca="false">IF(G2045&gt;=1,G2045,0)</f>
        <v>0</v>
      </c>
      <c r="I2045" s="5" t="s">
        <v>774</v>
      </c>
      <c r="J2045" s="5" t="s">
        <v>2639</v>
      </c>
    </row>
    <row r="2046" customFormat="false" ht="15" hidden="false" customHeight="false" outlineLevel="0" collapsed="false">
      <c r="A2046" s="5" t="s">
        <v>231</v>
      </c>
      <c r="B2046" s="5" t="s">
        <v>168</v>
      </c>
      <c r="C2046" s="5" t="n">
        <v>24</v>
      </c>
      <c r="D2046" s="5" t="s">
        <v>794</v>
      </c>
      <c r="E2046" s="5" t="n">
        <v>3</v>
      </c>
      <c r="F2046" s="20" t="n">
        <v>8.78793670025443</v>
      </c>
      <c r="G2046" s="20" t="n">
        <f aca="false">9-F2046</f>
        <v>0.212063299745573</v>
      </c>
      <c r="H2046" s="20" t="n">
        <f aca="false">IF(G2046&gt;=1,G2046,0)</f>
        <v>0</v>
      </c>
      <c r="I2046" s="5" t="s">
        <v>774</v>
      </c>
      <c r="J2046" s="5" t="s">
        <v>2640</v>
      </c>
    </row>
    <row r="2047" customFormat="false" ht="15" hidden="false" customHeight="false" outlineLevel="0" collapsed="false">
      <c r="A2047" s="5" t="s">
        <v>231</v>
      </c>
      <c r="B2047" s="5" t="s">
        <v>168</v>
      </c>
      <c r="C2047" s="5" t="n">
        <v>25</v>
      </c>
      <c r="D2047" s="5" t="s">
        <v>794</v>
      </c>
      <c r="E2047" s="5" t="n">
        <v>3</v>
      </c>
      <c r="F2047" s="20" t="n">
        <v>8.78793670025443</v>
      </c>
      <c r="G2047" s="20" t="n">
        <f aca="false">9-F2047</f>
        <v>0.212063299745573</v>
      </c>
      <c r="H2047" s="20" t="n">
        <f aca="false">IF(G2047&gt;=1,G2047,0)</f>
        <v>0</v>
      </c>
      <c r="I2047" s="5" t="s">
        <v>774</v>
      </c>
      <c r="J2047" s="5" t="s">
        <v>2641</v>
      </c>
    </row>
    <row r="2048" customFormat="false" ht="15" hidden="false" customHeight="false" outlineLevel="0" collapsed="false">
      <c r="A2048" s="5" t="s">
        <v>231</v>
      </c>
      <c r="B2048" s="5" t="s">
        <v>168</v>
      </c>
      <c r="C2048" s="5" t="n">
        <v>26</v>
      </c>
      <c r="D2048" s="5" t="s">
        <v>794</v>
      </c>
      <c r="E2048" s="5" t="n">
        <v>3</v>
      </c>
      <c r="F2048" s="20" t="n">
        <v>8.78793670025443</v>
      </c>
      <c r="G2048" s="20" t="n">
        <f aca="false">9-F2048</f>
        <v>0.212063299745573</v>
      </c>
      <c r="H2048" s="20" t="n">
        <f aca="false">IF(G2048&gt;=1,G2048,0)</f>
        <v>0</v>
      </c>
      <c r="I2048" s="5" t="s">
        <v>774</v>
      </c>
      <c r="J2048" s="5" t="s">
        <v>2642</v>
      </c>
    </row>
    <row r="2049" customFormat="false" ht="15" hidden="false" customHeight="false" outlineLevel="0" collapsed="false">
      <c r="A2049" s="5" t="s">
        <v>231</v>
      </c>
      <c r="B2049" s="5" t="s">
        <v>168</v>
      </c>
      <c r="C2049" s="5" t="n">
        <v>27</v>
      </c>
      <c r="D2049" s="5" t="s">
        <v>794</v>
      </c>
      <c r="E2049" s="5" t="n">
        <v>3</v>
      </c>
      <c r="F2049" s="20" t="n">
        <v>8.78793670025443</v>
      </c>
      <c r="G2049" s="20" t="n">
        <f aca="false">9-F2049</f>
        <v>0.212063299745573</v>
      </c>
      <c r="H2049" s="20" t="n">
        <f aca="false">IF(G2049&gt;=1,G2049,0)</f>
        <v>0</v>
      </c>
      <c r="I2049" s="5" t="s">
        <v>774</v>
      </c>
      <c r="J2049" s="5" t="s">
        <v>2643</v>
      </c>
    </row>
    <row r="2050" customFormat="false" ht="15" hidden="false" customHeight="false" outlineLevel="0" collapsed="false">
      <c r="A2050" s="5" t="s">
        <v>231</v>
      </c>
      <c r="B2050" s="5" t="s">
        <v>168</v>
      </c>
      <c r="C2050" s="5" t="n">
        <v>28</v>
      </c>
      <c r="D2050" s="5" t="s">
        <v>794</v>
      </c>
      <c r="E2050" s="5" t="n">
        <v>3</v>
      </c>
      <c r="F2050" s="20" t="n">
        <v>8.78793670025443</v>
      </c>
      <c r="G2050" s="20" t="n">
        <f aca="false">9-F2050</f>
        <v>0.212063299745573</v>
      </c>
      <c r="H2050" s="20" t="n">
        <f aca="false">IF(G2050&gt;=1,G2050,0)</f>
        <v>0</v>
      </c>
      <c r="I2050" s="5" t="s">
        <v>774</v>
      </c>
      <c r="J2050" s="5" t="s">
        <v>2644</v>
      </c>
    </row>
    <row r="2051" customFormat="false" ht="15" hidden="false" customHeight="false" outlineLevel="0" collapsed="false">
      <c r="A2051" s="5" t="s">
        <v>231</v>
      </c>
      <c r="B2051" s="5" t="s">
        <v>168</v>
      </c>
      <c r="C2051" s="5" t="n">
        <v>29</v>
      </c>
      <c r="D2051" s="5" t="s">
        <v>794</v>
      </c>
      <c r="E2051" s="5" t="n">
        <v>3</v>
      </c>
      <c r="F2051" s="20" t="n">
        <v>8.78793670025443</v>
      </c>
      <c r="G2051" s="20" t="n">
        <f aca="false">9-F2051</f>
        <v>0.212063299745573</v>
      </c>
      <c r="H2051" s="20" t="n">
        <f aca="false">IF(G2051&gt;=1,G2051,0)</f>
        <v>0</v>
      </c>
      <c r="I2051" s="5" t="s">
        <v>774</v>
      </c>
      <c r="J2051" s="5" t="s">
        <v>2645</v>
      </c>
    </row>
    <row r="2052" customFormat="false" ht="15" hidden="false" customHeight="false" outlineLevel="0" collapsed="false">
      <c r="A2052" s="5" t="s">
        <v>231</v>
      </c>
      <c r="B2052" s="5" t="s">
        <v>168</v>
      </c>
      <c r="C2052" s="5" t="n">
        <v>30</v>
      </c>
      <c r="D2052" s="5" t="s">
        <v>794</v>
      </c>
      <c r="E2052" s="5" t="n">
        <v>3</v>
      </c>
      <c r="F2052" s="20" t="n">
        <v>8.78793670025443</v>
      </c>
      <c r="G2052" s="20" t="n">
        <f aca="false">9-F2052</f>
        <v>0.212063299745573</v>
      </c>
      <c r="H2052" s="20" t="n">
        <f aca="false">IF(G2052&gt;=1,G2052,0)</f>
        <v>0</v>
      </c>
      <c r="I2052" s="5" t="s">
        <v>774</v>
      </c>
      <c r="J2052" s="5" t="s">
        <v>2646</v>
      </c>
    </row>
    <row r="2053" customFormat="false" ht="15" hidden="false" customHeight="false" outlineLevel="0" collapsed="false">
      <c r="A2053" s="5" t="s">
        <v>231</v>
      </c>
      <c r="B2053" s="5" t="s">
        <v>168</v>
      </c>
      <c r="C2053" s="5" t="n">
        <v>31</v>
      </c>
      <c r="D2053" s="5" t="s">
        <v>794</v>
      </c>
      <c r="E2053" s="5" t="n">
        <v>3</v>
      </c>
      <c r="F2053" s="20" t="n">
        <v>8.78793670025443</v>
      </c>
      <c r="G2053" s="20" t="n">
        <f aca="false">9-F2053</f>
        <v>0.212063299745573</v>
      </c>
      <c r="H2053" s="20" t="n">
        <f aca="false">IF(G2053&gt;=1,G2053,0)</f>
        <v>0</v>
      </c>
      <c r="I2053" s="5" t="s">
        <v>774</v>
      </c>
      <c r="J2053" s="5" t="s">
        <v>2647</v>
      </c>
    </row>
    <row r="2054" customFormat="false" ht="15" hidden="false" customHeight="false" outlineLevel="0" collapsed="false">
      <c r="A2054" s="5" t="s">
        <v>231</v>
      </c>
      <c r="B2054" s="5" t="s">
        <v>168</v>
      </c>
      <c r="C2054" s="5" t="n">
        <v>32</v>
      </c>
      <c r="D2054" s="5" t="s">
        <v>794</v>
      </c>
      <c r="E2054" s="5" t="n">
        <v>3</v>
      </c>
      <c r="F2054" s="20" t="n">
        <v>8.78793670025443</v>
      </c>
      <c r="G2054" s="20" t="n">
        <f aca="false">9-F2054</f>
        <v>0.212063299745573</v>
      </c>
      <c r="H2054" s="20" t="n">
        <f aca="false">IF(G2054&gt;=1,G2054,0)</f>
        <v>0</v>
      </c>
      <c r="I2054" s="5" t="s">
        <v>774</v>
      </c>
      <c r="J2054" s="5" t="s">
        <v>2648</v>
      </c>
    </row>
    <row r="2055" customFormat="false" ht="15" hidden="false" customHeight="false" outlineLevel="0" collapsed="false">
      <c r="A2055" s="5" t="s">
        <v>231</v>
      </c>
      <c r="B2055" s="5" t="s">
        <v>168</v>
      </c>
      <c r="C2055" s="5" t="n">
        <v>33</v>
      </c>
      <c r="D2055" s="5" t="s">
        <v>794</v>
      </c>
      <c r="E2055" s="5" t="n">
        <v>3</v>
      </c>
      <c r="F2055" s="20" t="n">
        <v>8.78793670025443</v>
      </c>
      <c r="G2055" s="20" t="n">
        <f aca="false">9-F2055</f>
        <v>0.212063299745573</v>
      </c>
      <c r="H2055" s="20" t="n">
        <f aca="false">IF(G2055&gt;=1,G2055,0)</f>
        <v>0</v>
      </c>
      <c r="I2055" s="5" t="s">
        <v>774</v>
      </c>
      <c r="J2055" s="5" t="s">
        <v>2649</v>
      </c>
    </row>
    <row r="2056" customFormat="false" ht="15" hidden="false" customHeight="false" outlineLevel="0" collapsed="false">
      <c r="A2056" s="5" t="s">
        <v>231</v>
      </c>
      <c r="B2056" s="5" t="s">
        <v>168</v>
      </c>
      <c r="C2056" s="5" t="n">
        <v>34</v>
      </c>
      <c r="D2056" s="5" t="s">
        <v>794</v>
      </c>
      <c r="E2056" s="5" t="n">
        <v>3</v>
      </c>
      <c r="F2056" s="20" t="n">
        <v>8.7855374882143</v>
      </c>
      <c r="G2056" s="20" t="n">
        <f aca="false">9-F2056</f>
        <v>0.214462511785705</v>
      </c>
      <c r="H2056" s="20" t="n">
        <f aca="false">IF(G2056&gt;=1,G2056,0)</f>
        <v>0</v>
      </c>
      <c r="I2056" s="5" t="s">
        <v>774</v>
      </c>
      <c r="J2056" s="5" t="s">
        <v>2650</v>
      </c>
    </row>
    <row r="2057" customFormat="false" ht="15" hidden="false" customHeight="false" outlineLevel="0" collapsed="false">
      <c r="A2057" s="5" t="s">
        <v>231</v>
      </c>
      <c r="B2057" s="5" t="s">
        <v>168</v>
      </c>
      <c r="C2057" s="5" t="n">
        <v>35</v>
      </c>
      <c r="D2057" s="5" t="s">
        <v>811</v>
      </c>
      <c r="E2057" s="5" t="n">
        <v>3</v>
      </c>
      <c r="F2057" s="20" t="n">
        <v>8.76672028391322</v>
      </c>
      <c r="G2057" s="20" t="n">
        <f aca="false">9-F2057</f>
        <v>0.233279716086784</v>
      </c>
      <c r="H2057" s="20" t="n">
        <f aca="false">IF(G2057&gt;=1,G2057,0)</f>
        <v>0</v>
      </c>
      <c r="I2057" s="5" t="s">
        <v>774</v>
      </c>
      <c r="J2057" s="5" t="s">
        <v>2651</v>
      </c>
    </row>
    <row r="2058" customFormat="false" ht="15" hidden="false" customHeight="false" outlineLevel="0" collapsed="false">
      <c r="A2058" s="5" t="s">
        <v>231</v>
      </c>
      <c r="B2058" s="5" t="s">
        <v>168</v>
      </c>
      <c r="C2058" s="5" t="n">
        <v>36</v>
      </c>
      <c r="D2058" s="5" t="s">
        <v>813</v>
      </c>
      <c r="E2058" s="5" t="n">
        <v>3</v>
      </c>
      <c r="F2058" s="20" t="n">
        <v>8.74790307961214</v>
      </c>
      <c r="G2058" s="20" t="n">
        <f aca="false">9-F2058</f>
        <v>0.252096920387864</v>
      </c>
      <c r="H2058" s="20" t="n">
        <f aca="false">IF(G2058&gt;=1,G2058,0)</f>
        <v>0</v>
      </c>
      <c r="I2058" s="5" t="s">
        <v>774</v>
      </c>
      <c r="J2058" s="5" t="s">
        <v>2652</v>
      </c>
    </row>
    <row r="2059" customFormat="false" ht="15" hidden="false" customHeight="false" outlineLevel="0" collapsed="false">
      <c r="A2059" s="5" t="s">
        <v>231</v>
      </c>
      <c r="B2059" s="5" t="s">
        <v>168</v>
      </c>
      <c r="C2059" s="5" t="n">
        <v>37</v>
      </c>
      <c r="D2059" s="5" t="s">
        <v>815</v>
      </c>
      <c r="E2059" s="5" t="n">
        <v>3</v>
      </c>
      <c r="F2059" s="20" t="n">
        <v>8.72908587531107</v>
      </c>
      <c r="G2059" s="20" t="n">
        <f aca="false">9-F2059</f>
        <v>0.270914124688932</v>
      </c>
      <c r="H2059" s="20" t="n">
        <f aca="false">IF(G2059&gt;=1,G2059,0)</f>
        <v>0</v>
      </c>
      <c r="I2059" s="5" t="s">
        <v>774</v>
      </c>
      <c r="J2059" s="5" t="s">
        <v>2653</v>
      </c>
    </row>
    <row r="2060" customFormat="false" ht="15" hidden="false" customHeight="false" outlineLevel="0" collapsed="false">
      <c r="A2060" s="5" t="s">
        <v>231</v>
      </c>
      <c r="B2060" s="5" t="s">
        <v>168</v>
      </c>
      <c r="C2060" s="5" t="n">
        <v>38</v>
      </c>
      <c r="D2060" s="5" t="s">
        <v>817</v>
      </c>
      <c r="E2060" s="5" t="n">
        <v>3</v>
      </c>
      <c r="F2060" s="20" t="n">
        <v>8.71026867101</v>
      </c>
      <c r="G2060" s="20" t="n">
        <f aca="false">9-F2060</f>
        <v>0.289731328990003</v>
      </c>
      <c r="H2060" s="20" t="n">
        <f aca="false">IF(G2060&gt;=1,G2060,0)</f>
        <v>0</v>
      </c>
      <c r="I2060" s="5" t="s">
        <v>774</v>
      </c>
      <c r="J2060" s="5" t="s">
        <v>2654</v>
      </c>
    </row>
    <row r="2061" customFormat="false" ht="15" hidden="false" customHeight="false" outlineLevel="0" collapsed="false">
      <c r="A2061" s="5" t="s">
        <v>231</v>
      </c>
      <c r="B2061" s="5" t="s">
        <v>168</v>
      </c>
      <c r="C2061" s="5" t="n">
        <v>39</v>
      </c>
      <c r="D2061" s="5" t="s">
        <v>819</v>
      </c>
      <c r="E2061" s="5" t="n">
        <v>3</v>
      </c>
      <c r="F2061" s="20" t="n">
        <v>8.69145146670892</v>
      </c>
      <c r="G2061" s="20" t="n">
        <f aca="false">9-F2061</f>
        <v>0.308548533291081</v>
      </c>
      <c r="H2061" s="20" t="n">
        <f aca="false">IF(G2061&gt;=1,G2061,0)</f>
        <v>0</v>
      </c>
      <c r="I2061" s="5" t="s">
        <v>774</v>
      </c>
      <c r="J2061" s="5" t="s">
        <v>2655</v>
      </c>
    </row>
    <row r="2062" customFormat="false" ht="15" hidden="false" customHeight="false" outlineLevel="0" collapsed="false">
      <c r="A2062" s="5" t="s">
        <v>231</v>
      </c>
      <c r="B2062" s="5" t="s">
        <v>168</v>
      </c>
      <c r="C2062" s="5" t="n">
        <v>40</v>
      </c>
      <c r="D2062" s="5" t="s">
        <v>821</v>
      </c>
      <c r="E2062" s="5" t="n">
        <v>3</v>
      </c>
      <c r="F2062" s="20" t="n">
        <v>8.67263426240784</v>
      </c>
      <c r="G2062" s="20" t="n">
        <f aca="false">9-F2062</f>
        <v>0.327365737592157</v>
      </c>
      <c r="H2062" s="20" t="n">
        <f aca="false">IF(G2062&gt;=1,G2062,0)</f>
        <v>0</v>
      </c>
      <c r="I2062" s="5" t="s">
        <v>774</v>
      </c>
      <c r="J2062" s="5" t="s">
        <v>2656</v>
      </c>
    </row>
    <row r="2063" customFormat="false" ht="15" hidden="false" customHeight="false" outlineLevel="0" collapsed="false">
      <c r="A2063" s="5" t="s">
        <v>231</v>
      </c>
      <c r="B2063" s="5" t="s">
        <v>168</v>
      </c>
      <c r="C2063" s="5" t="n">
        <v>41</v>
      </c>
      <c r="D2063" s="5" t="s">
        <v>823</v>
      </c>
      <c r="E2063" s="5" t="n">
        <v>3</v>
      </c>
      <c r="F2063" s="20" t="n">
        <v>8.65381705810676</v>
      </c>
      <c r="G2063" s="20" t="n">
        <f aca="false">9-F2063</f>
        <v>0.346182941893243</v>
      </c>
      <c r="H2063" s="20" t="n">
        <f aca="false">IF(G2063&gt;=1,G2063,0)</f>
        <v>0</v>
      </c>
      <c r="I2063" s="5" t="s">
        <v>774</v>
      </c>
      <c r="J2063" s="5" t="s">
        <v>2657</v>
      </c>
    </row>
    <row r="2064" customFormat="false" ht="15" hidden="false" customHeight="false" outlineLevel="0" collapsed="false">
      <c r="A2064" s="5" t="s">
        <v>231</v>
      </c>
      <c r="B2064" s="5" t="s">
        <v>168</v>
      </c>
      <c r="C2064" s="5" t="n">
        <v>42</v>
      </c>
      <c r="D2064" s="5" t="s">
        <v>825</v>
      </c>
      <c r="E2064" s="5" t="n">
        <v>1</v>
      </c>
      <c r="F2064" s="20" t="n">
        <v>6.92206315355126</v>
      </c>
      <c r="G2064" s="20" t="n">
        <f aca="false">9-F2064</f>
        <v>2.07793684644874</v>
      </c>
      <c r="H2064" s="20" t="n">
        <f aca="false">IF(G2064&gt;=1,G2064,0)</f>
        <v>2.07793684644874</v>
      </c>
      <c r="I2064" s="5" t="s">
        <v>774</v>
      </c>
      <c r="J2064" s="5" t="s">
        <v>2658</v>
      </c>
    </row>
    <row r="2065" customFormat="false" ht="15" hidden="false" customHeight="false" outlineLevel="0" collapsed="false">
      <c r="A2065" s="5" t="s">
        <v>231</v>
      </c>
      <c r="B2065" s="5" t="s">
        <v>168</v>
      </c>
      <c r="C2065" s="5" t="n">
        <v>43</v>
      </c>
      <c r="D2065" s="5" t="s">
        <v>827</v>
      </c>
      <c r="E2065" s="5" t="n">
        <v>1</v>
      </c>
      <c r="F2065" s="20" t="n">
        <v>6.90324594925019</v>
      </c>
      <c r="G2065" s="20" t="n">
        <f aca="false">9-F2065</f>
        <v>2.09675405074981</v>
      </c>
      <c r="H2065" s="20" t="n">
        <f aca="false">IF(G2065&gt;=1,G2065,0)</f>
        <v>2.09675405074981</v>
      </c>
      <c r="I2065" s="5" t="s">
        <v>774</v>
      </c>
      <c r="J2065" s="5" t="s">
        <v>2659</v>
      </c>
    </row>
    <row r="2066" customFormat="false" ht="15" hidden="false" customHeight="false" outlineLevel="0" collapsed="false">
      <c r="A2066" s="5" t="s">
        <v>231</v>
      </c>
      <c r="B2066" s="5" t="s">
        <v>168</v>
      </c>
      <c r="C2066" s="5" t="n">
        <v>44</v>
      </c>
      <c r="D2066" s="5" t="s">
        <v>829</v>
      </c>
      <c r="E2066" s="5" t="n">
        <v>1</v>
      </c>
      <c r="F2066" s="20" t="n">
        <v>6.89480519480516</v>
      </c>
      <c r="G2066" s="20" t="n">
        <f aca="false">9-F2066</f>
        <v>2.10519480519484</v>
      </c>
      <c r="H2066" s="20" t="n">
        <f aca="false">IF(G2066&gt;=1,G2066,0)</f>
        <v>2.10519480519484</v>
      </c>
      <c r="I2066" s="5" t="s">
        <v>774</v>
      </c>
      <c r="J2066" s="5" t="s">
        <v>2660</v>
      </c>
    </row>
    <row r="2067" customFormat="false" ht="15" hidden="false" customHeight="false" outlineLevel="0" collapsed="false">
      <c r="A2067" s="5" t="s">
        <v>231</v>
      </c>
      <c r="B2067" s="5" t="s">
        <v>168</v>
      </c>
      <c r="C2067" s="5" t="n">
        <v>45</v>
      </c>
      <c r="D2067" s="5" t="s">
        <v>831</v>
      </c>
      <c r="E2067" s="5" t="n">
        <v>1</v>
      </c>
      <c r="F2067" s="20" t="n">
        <v>6.88442874494911</v>
      </c>
      <c r="G2067" s="20" t="n">
        <f aca="false">9-F2067</f>
        <v>2.11557125505089</v>
      </c>
      <c r="H2067" s="20" t="n">
        <f aca="false">IF(G2067&gt;=1,G2067,0)</f>
        <v>2.11557125505089</v>
      </c>
      <c r="I2067" s="5" t="s">
        <v>774</v>
      </c>
      <c r="J2067" s="5" t="s">
        <v>2661</v>
      </c>
    </row>
    <row r="2068" customFormat="false" ht="15" hidden="false" customHeight="false" outlineLevel="0" collapsed="false">
      <c r="A2068" s="5" t="s">
        <v>231</v>
      </c>
      <c r="B2068" s="5" t="s">
        <v>168</v>
      </c>
      <c r="C2068" s="5" t="n">
        <v>46</v>
      </c>
      <c r="D2068" s="5" t="s">
        <v>833</v>
      </c>
      <c r="E2068" s="5" t="n">
        <v>1</v>
      </c>
      <c r="F2068" s="20" t="n">
        <v>6.86561154064804</v>
      </c>
      <c r="G2068" s="20" t="n">
        <f aca="false">9-F2068</f>
        <v>2.13438845935196</v>
      </c>
      <c r="H2068" s="20" t="n">
        <f aca="false">IF(G2068&gt;=1,G2068,0)</f>
        <v>2.13438845935196</v>
      </c>
      <c r="I2068" s="5" t="s">
        <v>774</v>
      </c>
      <c r="J2068" s="5" t="s">
        <v>2662</v>
      </c>
    </row>
    <row r="2069" customFormat="false" ht="15" hidden="false" customHeight="false" outlineLevel="0" collapsed="false">
      <c r="A2069" s="5" t="s">
        <v>231</v>
      </c>
      <c r="B2069" s="5" t="s">
        <v>168</v>
      </c>
      <c r="C2069" s="5" t="n">
        <v>47</v>
      </c>
      <c r="D2069" s="5" t="s">
        <v>835</v>
      </c>
      <c r="E2069" s="5" t="n">
        <v>1</v>
      </c>
      <c r="F2069" s="20" t="n">
        <v>6.84679433634696</v>
      </c>
      <c r="G2069" s="20" t="n">
        <f aca="false">9-F2069</f>
        <v>2.15320566365304</v>
      </c>
      <c r="H2069" s="20" t="n">
        <f aca="false">IF(G2069&gt;=1,G2069,0)</f>
        <v>2.15320566365304</v>
      </c>
      <c r="I2069" s="5" t="s">
        <v>774</v>
      </c>
      <c r="J2069" s="5" t="s">
        <v>2663</v>
      </c>
    </row>
    <row r="2070" customFormat="false" ht="15" hidden="false" customHeight="false" outlineLevel="0" collapsed="false">
      <c r="A2070" s="5" t="s">
        <v>231</v>
      </c>
      <c r="B2070" s="5" t="s">
        <v>168</v>
      </c>
      <c r="C2070" s="5" t="n">
        <v>48</v>
      </c>
      <c r="D2070" s="5" t="s">
        <v>837</v>
      </c>
      <c r="E2070" s="5" t="n">
        <v>1</v>
      </c>
      <c r="F2070" s="20" t="n">
        <v>6.82797713204589</v>
      </c>
      <c r="G2070" s="20" t="n">
        <f aca="false">9-F2070</f>
        <v>2.17202286795411</v>
      </c>
      <c r="H2070" s="20" t="n">
        <f aca="false">IF(G2070&gt;=1,G2070,0)</f>
        <v>2.17202286795411</v>
      </c>
      <c r="I2070" s="5" t="s">
        <v>774</v>
      </c>
      <c r="J2070" s="5" t="s">
        <v>2664</v>
      </c>
    </row>
    <row r="2071" customFormat="false" ht="15" hidden="false" customHeight="false" outlineLevel="0" collapsed="false">
      <c r="A2071" s="5" t="s">
        <v>231</v>
      </c>
      <c r="B2071" s="5" t="s">
        <v>168</v>
      </c>
      <c r="C2071" s="5" t="n">
        <v>49</v>
      </c>
      <c r="D2071" s="5" t="s">
        <v>839</v>
      </c>
      <c r="E2071" s="5" t="n">
        <v>1</v>
      </c>
      <c r="F2071" s="20" t="n">
        <v>6.8091599277448</v>
      </c>
      <c r="G2071" s="20" t="n">
        <f aca="false">9-F2071</f>
        <v>2.1908400722552</v>
      </c>
      <c r="H2071" s="20" t="n">
        <f aca="false">IF(G2071&gt;=1,G2071,0)</f>
        <v>2.1908400722552</v>
      </c>
      <c r="I2071" s="5" t="s">
        <v>774</v>
      </c>
      <c r="J2071" s="5" t="s">
        <v>2665</v>
      </c>
    </row>
    <row r="2072" customFormat="false" ht="15" hidden="false" customHeight="false" outlineLevel="0" collapsed="false">
      <c r="A2072" s="5" t="s">
        <v>231</v>
      </c>
      <c r="B2072" s="5" t="s">
        <v>168</v>
      </c>
      <c r="C2072" s="5" t="n">
        <v>50</v>
      </c>
      <c r="D2072" s="5" t="s">
        <v>841</v>
      </c>
      <c r="E2072" s="5" t="n">
        <v>1</v>
      </c>
      <c r="F2072" s="20" t="n">
        <v>6.31471422882008</v>
      </c>
      <c r="G2072" s="20" t="n">
        <f aca="false">9-F2072</f>
        <v>2.68528577117992</v>
      </c>
      <c r="H2072" s="20" t="n">
        <f aca="false">IF(G2072&gt;=1,G2072,0)</f>
        <v>2.68528577117992</v>
      </c>
      <c r="I2072" s="5" t="s">
        <v>774</v>
      </c>
      <c r="J2072" s="5" t="s">
        <v>2666</v>
      </c>
    </row>
    <row r="2073" customFormat="false" ht="15" hidden="false" customHeight="false" outlineLevel="0" collapsed="false">
      <c r="A2073" s="5" t="s">
        <v>231</v>
      </c>
      <c r="B2073" s="5" t="s">
        <v>168</v>
      </c>
      <c r="C2073" s="5" t="n">
        <v>51</v>
      </c>
      <c r="D2073" s="5" t="s">
        <v>843</v>
      </c>
      <c r="E2073" s="5" t="n">
        <v>1</v>
      </c>
      <c r="F2073" s="20" t="n">
        <v>6.29589702451901</v>
      </c>
      <c r="G2073" s="20" t="n">
        <f aca="false">9-F2073</f>
        <v>2.70410297548099</v>
      </c>
      <c r="H2073" s="20" t="n">
        <f aca="false">IF(G2073&gt;=1,G2073,0)</f>
        <v>2.70410297548099</v>
      </c>
      <c r="I2073" s="5" t="s">
        <v>774</v>
      </c>
      <c r="J2073" s="5" t="s">
        <v>2667</v>
      </c>
    </row>
    <row r="2074" customFormat="false" ht="15" hidden="false" customHeight="false" outlineLevel="0" collapsed="false">
      <c r="A2074" s="5" t="s">
        <v>231</v>
      </c>
      <c r="B2074" s="5" t="s">
        <v>168</v>
      </c>
      <c r="C2074" s="5" t="n">
        <v>52</v>
      </c>
      <c r="D2074" s="5" t="s">
        <v>845</v>
      </c>
      <c r="E2074" s="5" t="n">
        <v>1</v>
      </c>
      <c r="F2074" s="20" t="n">
        <v>6.27707982021792</v>
      </c>
      <c r="G2074" s="20" t="n">
        <f aca="false">9-F2074</f>
        <v>2.72292017978208</v>
      </c>
      <c r="H2074" s="20" t="n">
        <f aca="false">IF(G2074&gt;=1,G2074,0)</f>
        <v>2.72292017978208</v>
      </c>
      <c r="I2074" s="5" t="s">
        <v>774</v>
      </c>
      <c r="J2074" s="5" t="s">
        <v>2668</v>
      </c>
    </row>
    <row r="2075" customFormat="false" ht="15" hidden="false" customHeight="false" outlineLevel="0" collapsed="false">
      <c r="A2075" s="5" t="s">
        <v>231</v>
      </c>
      <c r="B2075" s="5" t="s">
        <v>168</v>
      </c>
      <c r="C2075" s="5" t="n">
        <v>53</v>
      </c>
      <c r="D2075" s="5" t="s">
        <v>847</v>
      </c>
      <c r="E2075" s="5" t="n">
        <v>1</v>
      </c>
      <c r="F2075" s="20" t="n">
        <v>6.25826261591685</v>
      </c>
      <c r="G2075" s="20" t="n">
        <f aca="false">9-F2075</f>
        <v>2.74173738408315</v>
      </c>
      <c r="H2075" s="20" t="n">
        <f aca="false">IF(G2075&gt;=1,G2075,0)</f>
        <v>2.74173738408315</v>
      </c>
      <c r="I2075" s="5" t="s">
        <v>774</v>
      </c>
      <c r="J2075" s="5" t="s">
        <v>2669</v>
      </c>
    </row>
    <row r="2076" customFormat="false" ht="15" hidden="false" customHeight="false" outlineLevel="0" collapsed="false">
      <c r="A2076" s="5" t="s">
        <v>231</v>
      </c>
      <c r="B2076" s="5" t="s">
        <v>168</v>
      </c>
      <c r="C2076" s="5" t="n">
        <v>54</v>
      </c>
      <c r="D2076" s="5" t="s">
        <v>849</v>
      </c>
      <c r="E2076" s="5" t="n">
        <v>1</v>
      </c>
      <c r="F2076" s="20" t="n">
        <v>6.23944541161578</v>
      </c>
      <c r="G2076" s="20" t="n">
        <f aca="false">9-F2076</f>
        <v>2.76055458838423</v>
      </c>
      <c r="H2076" s="20" t="n">
        <f aca="false">IF(G2076&gt;=1,G2076,0)</f>
        <v>2.76055458838423</v>
      </c>
      <c r="I2076" s="5" t="s">
        <v>774</v>
      </c>
      <c r="J2076" s="5" t="s">
        <v>2670</v>
      </c>
    </row>
    <row r="2077" customFormat="false" ht="15" hidden="false" customHeight="false" outlineLevel="0" collapsed="false">
      <c r="A2077" s="5" t="s">
        <v>231</v>
      </c>
      <c r="B2077" s="5" t="s">
        <v>168</v>
      </c>
      <c r="C2077" s="5" t="n">
        <v>55</v>
      </c>
      <c r="D2077" s="5" t="s">
        <v>851</v>
      </c>
      <c r="E2077" s="5" t="n">
        <v>1</v>
      </c>
      <c r="F2077" s="20" t="n">
        <v>6.2206282073147</v>
      </c>
      <c r="G2077" s="20" t="n">
        <f aca="false">9-F2077</f>
        <v>2.7793717926853</v>
      </c>
      <c r="H2077" s="20" t="n">
        <f aca="false">IF(G2077&gt;=1,G2077,0)</f>
        <v>2.7793717926853</v>
      </c>
      <c r="I2077" s="5" t="s">
        <v>774</v>
      </c>
      <c r="J2077" s="5" t="s">
        <v>2671</v>
      </c>
    </row>
    <row r="2078" customFormat="false" ht="15" hidden="false" customHeight="false" outlineLevel="0" collapsed="false">
      <c r="A2078" s="5" t="s">
        <v>231</v>
      </c>
      <c r="B2078" s="5" t="s">
        <v>168</v>
      </c>
      <c r="C2078" s="5" t="n">
        <v>56</v>
      </c>
      <c r="D2078" s="5" t="s">
        <v>853</v>
      </c>
      <c r="E2078" s="5" t="n">
        <v>1</v>
      </c>
      <c r="F2078" s="20" t="n">
        <v>6.20204998150824</v>
      </c>
      <c r="G2078" s="20" t="n">
        <f aca="false">9-F2078</f>
        <v>2.79795001849176</v>
      </c>
      <c r="H2078" s="20" t="n">
        <f aca="false">IF(G2078&gt;=1,G2078,0)</f>
        <v>2.79795001849176</v>
      </c>
      <c r="I2078" s="5" t="s">
        <v>774</v>
      </c>
      <c r="J2078" s="5" t="s">
        <v>2672</v>
      </c>
    </row>
    <row r="2079" customFormat="false" ht="15" hidden="false" customHeight="false" outlineLevel="0" collapsed="false">
      <c r="A2079" s="5" t="s">
        <v>231</v>
      </c>
      <c r="B2079" s="5" t="s">
        <v>168</v>
      </c>
      <c r="C2079" s="5" t="n">
        <v>57</v>
      </c>
      <c r="D2079" s="5" t="s">
        <v>855</v>
      </c>
      <c r="E2079" s="5" t="n">
        <v>1</v>
      </c>
      <c r="F2079" s="20" t="n">
        <v>5.52500000000001</v>
      </c>
      <c r="G2079" s="20" t="n">
        <f aca="false">9-F2079</f>
        <v>3.475</v>
      </c>
      <c r="H2079" s="20" t="n">
        <f aca="false">IF(G2079&gt;=1,G2079,0)</f>
        <v>3.475</v>
      </c>
      <c r="I2079" s="5" t="s">
        <v>774</v>
      </c>
      <c r="J2079" s="5" t="s">
        <v>2673</v>
      </c>
    </row>
    <row r="2080" customFormat="false" ht="15" hidden="false" customHeight="false" outlineLevel="0" collapsed="false">
      <c r="A2080" s="5" t="s">
        <v>231</v>
      </c>
      <c r="B2080" s="5" t="s">
        <v>168</v>
      </c>
      <c r="C2080" s="5" t="n">
        <v>58</v>
      </c>
      <c r="D2080" s="5" t="s">
        <v>855</v>
      </c>
      <c r="E2080" s="5" t="n">
        <v>1</v>
      </c>
      <c r="F2080" s="20" t="n">
        <v>5.52500000000001</v>
      </c>
      <c r="G2080" s="20" t="n">
        <f aca="false">9-F2080</f>
        <v>3.475</v>
      </c>
      <c r="H2080" s="20" t="n">
        <f aca="false">IF(G2080&gt;=1,G2080,0)</f>
        <v>3.475</v>
      </c>
      <c r="I2080" s="5" t="s">
        <v>774</v>
      </c>
      <c r="J2080" s="5" t="s">
        <v>2674</v>
      </c>
    </row>
    <row r="2081" customFormat="false" ht="15" hidden="false" customHeight="false" outlineLevel="0" collapsed="false">
      <c r="A2081" s="5" t="s">
        <v>231</v>
      </c>
      <c r="B2081" s="5" t="s">
        <v>168</v>
      </c>
      <c r="C2081" s="5" t="n">
        <v>59</v>
      </c>
      <c r="D2081" s="5" t="s">
        <v>855</v>
      </c>
      <c r="E2081" s="5" t="n">
        <v>1</v>
      </c>
      <c r="F2081" s="20" t="n">
        <v>5.52500000000001</v>
      </c>
      <c r="G2081" s="20" t="n">
        <f aca="false">9-F2081</f>
        <v>3.475</v>
      </c>
      <c r="H2081" s="20" t="n">
        <f aca="false">IF(G2081&gt;=1,G2081,0)</f>
        <v>3.475</v>
      </c>
      <c r="I2081" s="5" t="s">
        <v>774</v>
      </c>
      <c r="J2081" s="5" t="s">
        <v>2675</v>
      </c>
    </row>
    <row r="2082" customFormat="false" ht="15" hidden="false" customHeight="false" outlineLevel="0" collapsed="false">
      <c r="A2082" s="5" t="s">
        <v>231</v>
      </c>
      <c r="B2082" s="5" t="s">
        <v>168</v>
      </c>
      <c r="C2082" s="5" t="n">
        <v>60</v>
      </c>
      <c r="D2082" s="5" t="s">
        <v>855</v>
      </c>
      <c r="E2082" s="5" t="n">
        <v>1</v>
      </c>
      <c r="F2082" s="20" t="n">
        <v>5.52500000000001</v>
      </c>
      <c r="G2082" s="20" t="n">
        <f aca="false">9-F2082</f>
        <v>3.475</v>
      </c>
      <c r="H2082" s="20" t="n">
        <f aca="false">IF(G2082&gt;=1,G2082,0)</f>
        <v>3.475</v>
      </c>
      <c r="I2082" s="5" t="s">
        <v>774</v>
      </c>
      <c r="J2082" s="5" t="s">
        <v>2676</v>
      </c>
    </row>
    <row r="2083" customFormat="false" ht="15" hidden="false" customHeight="false" outlineLevel="0" collapsed="false">
      <c r="A2083" s="5" t="s">
        <v>231</v>
      </c>
      <c r="B2083" s="5" t="s">
        <v>168</v>
      </c>
      <c r="C2083" s="5" t="n">
        <v>61</v>
      </c>
      <c r="D2083" s="5" t="s">
        <v>855</v>
      </c>
      <c r="E2083" s="5" t="n">
        <v>1</v>
      </c>
      <c r="F2083" s="20" t="n">
        <v>5.52500000000001</v>
      </c>
      <c r="G2083" s="20" t="n">
        <f aca="false">9-F2083</f>
        <v>3.475</v>
      </c>
      <c r="H2083" s="20" t="n">
        <f aca="false">IF(G2083&gt;=1,G2083,0)</f>
        <v>3.475</v>
      </c>
      <c r="I2083" s="5" t="s">
        <v>774</v>
      </c>
      <c r="J2083" s="5" t="s">
        <v>2677</v>
      </c>
    </row>
    <row r="2084" customFormat="false" ht="15" hidden="false" customHeight="false" outlineLevel="0" collapsed="false">
      <c r="A2084" s="5" t="s">
        <v>231</v>
      </c>
      <c r="B2084" s="5" t="s">
        <v>168</v>
      </c>
      <c r="C2084" s="5" t="n">
        <v>62</v>
      </c>
      <c r="D2084" s="5" t="s">
        <v>855</v>
      </c>
      <c r="E2084" s="5" t="n">
        <v>1</v>
      </c>
      <c r="F2084" s="20" t="n">
        <v>5.52500000000001</v>
      </c>
      <c r="G2084" s="20" t="n">
        <f aca="false">9-F2084</f>
        <v>3.475</v>
      </c>
      <c r="H2084" s="20" t="n">
        <f aca="false">IF(G2084&gt;=1,G2084,0)</f>
        <v>3.475</v>
      </c>
      <c r="I2084" s="5" t="s">
        <v>774</v>
      </c>
      <c r="J2084" s="5" t="s">
        <v>2678</v>
      </c>
    </row>
    <row r="2085" customFormat="false" ht="15" hidden="false" customHeight="false" outlineLevel="0" collapsed="false">
      <c r="A2085" s="5" t="s">
        <v>231</v>
      </c>
      <c r="B2085" s="5" t="s">
        <v>168</v>
      </c>
      <c r="C2085" s="5" t="n">
        <v>63</v>
      </c>
      <c r="D2085" s="5" t="s">
        <v>855</v>
      </c>
      <c r="E2085" s="5" t="n">
        <v>1</v>
      </c>
      <c r="F2085" s="20" t="n">
        <v>5.52500000000001</v>
      </c>
      <c r="G2085" s="20" t="n">
        <f aca="false">9-F2085</f>
        <v>3.475</v>
      </c>
      <c r="H2085" s="20" t="n">
        <f aca="false">IF(G2085&gt;=1,G2085,0)</f>
        <v>3.475</v>
      </c>
      <c r="I2085" s="5" t="s">
        <v>774</v>
      </c>
      <c r="J2085" s="5" t="s">
        <v>2679</v>
      </c>
    </row>
    <row r="2086" customFormat="false" ht="15" hidden="false" customHeight="false" outlineLevel="0" collapsed="false">
      <c r="A2086" s="5" t="s">
        <v>231</v>
      </c>
      <c r="B2086" s="5" t="s">
        <v>168</v>
      </c>
      <c r="C2086" s="5" t="n">
        <v>64</v>
      </c>
      <c r="D2086" s="5" t="s">
        <v>855</v>
      </c>
      <c r="E2086" s="5" t="n">
        <v>1</v>
      </c>
      <c r="F2086" s="20" t="n">
        <v>5.525</v>
      </c>
      <c r="G2086" s="20" t="n">
        <f aca="false">9-F2086</f>
        <v>3.475</v>
      </c>
      <c r="H2086" s="20" t="n">
        <f aca="false">IF(G2086&gt;=1,G2086,0)</f>
        <v>3.475</v>
      </c>
      <c r="I2086" s="5" t="s">
        <v>774</v>
      </c>
      <c r="J2086" s="5" t="s">
        <v>2680</v>
      </c>
    </row>
    <row r="2087" customFormat="false" ht="15" hidden="false" customHeight="false" outlineLevel="0" collapsed="false">
      <c r="A2087" s="5" t="s">
        <v>231</v>
      </c>
      <c r="B2087" s="5" t="s">
        <v>168</v>
      </c>
      <c r="C2087" s="5" t="n">
        <v>65</v>
      </c>
      <c r="D2087" s="5" t="s">
        <v>855</v>
      </c>
      <c r="E2087" s="5" t="n">
        <v>1</v>
      </c>
      <c r="F2087" s="20" t="n">
        <v>5.525</v>
      </c>
      <c r="G2087" s="20" t="n">
        <f aca="false">9-F2087</f>
        <v>3.475</v>
      </c>
      <c r="H2087" s="20" t="n">
        <f aca="false">IF(G2087&gt;=1,G2087,0)</f>
        <v>3.475</v>
      </c>
      <c r="I2087" s="5" t="s">
        <v>774</v>
      </c>
      <c r="J2087" s="5" t="s">
        <v>2681</v>
      </c>
    </row>
    <row r="2088" customFormat="false" ht="15" hidden="false" customHeight="false" outlineLevel="0" collapsed="false">
      <c r="A2088" s="5" t="s">
        <v>231</v>
      </c>
      <c r="B2088" s="5" t="s">
        <v>168</v>
      </c>
      <c r="C2088" s="5" t="n">
        <v>66</v>
      </c>
      <c r="D2088" s="5" t="s">
        <v>855</v>
      </c>
      <c r="E2088" s="5" t="n">
        <v>1</v>
      </c>
      <c r="F2088" s="20" t="n">
        <v>5.525</v>
      </c>
      <c r="G2088" s="20" t="n">
        <f aca="false">9-F2088</f>
        <v>3.475</v>
      </c>
      <c r="H2088" s="20" t="n">
        <f aca="false">IF(G2088&gt;=1,G2088,0)</f>
        <v>3.475</v>
      </c>
      <c r="I2088" s="5" t="s">
        <v>774</v>
      </c>
      <c r="J2088" s="5" t="s">
        <v>2682</v>
      </c>
    </row>
    <row r="2089" customFormat="false" ht="15" hidden="false" customHeight="false" outlineLevel="0" collapsed="false">
      <c r="A2089" s="5" t="s">
        <v>231</v>
      </c>
      <c r="B2089" s="5" t="s">
        <v>168</v>
      </c>
      <c r="C2089" s="5" t="n">
        <v>67</v>
      </c>
      <c r="D2089" s="5" t="s">
        <v>855</v>
      </c>
      <c r="E2089" s="5" t="n">
        <v>1</v>
      </c>
      <c r="F2089" s="20" t="n">
        <v>5.525</v>
      </c>
      <c r="G2089" s="20" t="n">
        <f aca="false">9-F2089</f>
        <v>3.475</v>
      </c>
      <c r="H2089" s="20" t="n">
        <f aca="false">IF(G2089&gt;=1,G2089,0)</f>
        <v>3.475</v>
      </c>
      <c r="I2089" s="5" t="s">
        <v>774</v>
      </c>
      <c r="J2089" s="5" t="s">
        <v>2683</v>
      </c>
    </row>
    <row r="2090" customFormat="false" ht="15" hidden="false" customHeight="false" outlineLevel="0" collapsed="false">
      <c r="A2090" s="5" t="s">
        <v>231</v>
      </c>
      <c r="B2090" s="5" t="s">
        <v>168</v>
      </c>
      <c r="C2090" s="5" t="n">
        <v>68</v>
      </c>
      <c r="D2090" s="5" t="s">
        <v>855</v>
      </c>
      <c r="E2090" s="5" t="n">
        <v>1</v>
      </c>
      <c r="F2090" s="20" t="n">
        <v>5.525</v>
      </c>
      <c r="G2090" s="20" t="n">
        <f aca="false">9-F2090</f>
        <v>3.475</v>
      </c>
      <c r="H2090" s="20" t="n">
        <f aca="false">IF(G2090&gt;=1,G2090,0)</f>
        <v>3.475</v>
      </c>
      <c r="I2090" s="5" t="s">
        <v>774</v>
      </c>
      <c r="J2090" s="5" t="s">
        <v>2684</v>
      </c>
    </row>
    <row r="2091" customFormat="false" ht="15" hidden="false" customHeight="false" outlineLevel="0" collapsed="false">
      <c r="A2091" s="5" t="s">
        <v>231</v>
      </c>
      <c r="B2091" s="5" t="s">
        <v>168</v>
      </c>
      <c r="C2091" s="5" t="n">
        <v>69</v>
      </c>
      <c r="D2091" s="5" t="s">
        <v>855</v>
      </c>
      <c r="E2091" s="5" t="n">
        <v>1</v>
      </c>
      <c r="F2091" s="20" t="n">
        <v>5.525</v>
      </c>
      <c r="G2091" s="20" t="n">
        <f aca="false">9-F2091</f>
        <v>3.475</v>
      </c>
      <c r="H2091" s="20" t="n">
        <f aca="false">IF(G2091&gt;=1,G2091,0)</f>
        <v>3.475</v>
      </c>
      <c r="I2091" s="5" t="s">
        <v>774</v>
      </c>
      <c r="J2091" s="5" t="s">
        <v>2685</v>
      </c>
    </row>
    <row r="2092" customFormat="false" ht="15" hidden="false" customHeight="false" outlineLevel="0" collapsed="false">
      <c r="A2092" s="5" t="s">
        <v>231</v>
      </c>
      <c r="B2092" s="5" t="s">
        <v>168</v>
      </c>
      <c r="C2092" s="5" t="n">
        <v>70</v>
      </c>
      <c r="D2092" s="5" t="s">
        <v>855</v>
      </c>
      <c r="E2092" s="5" t="n">
        <v>1</v>
      </c>
      <c r="F2092" s="20" t="n">
        <v>5.525</v>
      </c>
      <c r="G2092" s="20" t="n">
        <f aca="false">9-F2092</f>
        <v>3.475</v>
      </c>
      <c r="H2092" s="20" t="n">
        <f aca="false">IF(G2092&gt;=1,G2092,0)</f>
        <v>3.475</v>
      </c>
      <c r="I2092" s="5" t="s">
        <v>774</v>
      </c>
      <c r="J2092" s="5" t="s">
        <v>2686</v>
      </c>
    </row>
    <row r="2093" customFormat="false" ht="15" hidden="false" customHeight="false" outlineLevel="0" collapsed="false">
      <c r="A2093" s="5" t="s">
        <v>231</v>
      </c>
      <c r="B2093" s="5" t="s">
        <v>168</v>
      </c>
      <c r="C2093" s="5" t="n">
        <v>71</v>
      </c>
      <c r="D2093" s="5" t="s">
        <v>855</v>
      </c>
      <c r="E2093" s="5" t="n">
        <v>1</v>
      </c>
      <c r="F2093" s="20" t="n">
        <v>5.525</v>
      </c>
      <c r="G2093" s="20" t="n">
        <f aca="false">9-F2093</f>
        <v>3.475</v>
      </c>
      <c r="H2093" s="20" t="n">
        <f aca="false">IF(G2093&gt;=1,G2093,0)</f>
        <v>3.475</v>
      </c>
      <c r="I2093" s="5" t="s">
        <v>774</v>
      </c>
      <c r="J2093" s="5" t="s">
        <v>2687</v>
      </c>
    </row>
    <row r="2094" customFormat="false" ht="15" hidden="false" customHeight="false" outlineLevel="0" collapsed="false">
      <c r="A2094" s="5" t="s">
        <v>231</v>
      </c>
      <c r="B2094" s="5" t="s">
        <v>168</v>
      </c>
      <c r="C2094" s="5" t="n">
        <v>72</v>
      </c>
      <c r="D2094" s="5" t="s">
        <v>855</v>
      </c>
      <c r="E2094" s="5" t="n">
        <v>1</v>
      </c>
      <c r="F2094" s="20" t="n">
        <v>5.525</v>
      </c>
      <c r="G2094" s="20" t="n">
        <f aca="false">9-F2094</f>
        <v>3.475</v>
      </c>
      <c r="H2094" s="20" t="n">
        <f aca="false">IF(G2094&gt;=1,G2094,0)</f>
        <v>3.475</v>
      </c>
      <c r="I2094" s="5" t="s">
        <v>774</v>
      </c>
      <c r="J2094" s="5" t="s">
        <v>2688</v>
      </c>
    </row>
    <row r="2095" customFormat="false" ht="15" hidden="false" customHeight="false" outlineLevel="0" collapsed="false">
      <c r="A2095" s="5" t="s">
        <v>231</v>
      </c>
      <c r="B2095" s="5" t="s">
        <v>168</v>
      </c>
      <c r="C2095" s="5" t="n">
        <v>73</v>
      </c>
      <c r="D2095" s="5" t="s">
        <v>855</v>
      </c>
      <c r="E2095" s="5" t="n">
        <v>1</v>
      </c>
      <c r="F2095" s="20" t="n">
        <v>5.525</v>
      </c>
      <c r="G2095" s="20" t="n">
        <f aca="false">9-F2095</f>
        <v>3.475</v>
      </c>
      <c r="H2095" s="20" t="n">
        <f aca="false">IF(G2095&gt;=1,G2095,0)</f>
        <v>3.475</v>
      </c>
      <c r="I2095" s="5" t="s">
        <v>774</v>
      </c>
      <c r="J2095" s="5" t="s">
        <v>2689</v>
      </c>
    </row>
    <row r="2096" customFormat="false" ht="15" hidden="false" customHeight="false" outlineLevel="0" collapsed="false">
      <c r="A2096" s="5" t="s">
        <v>231</v>
      </c>
      <c r="B2096" s="5" t="s">
        <v>168</v>
      </c>
      <c r="C2096" s="5" t="n">
        <v>74</v>
      </c>
      <c r="D2096" s="5" t="s">
        <v>855</v>
      </c>
      <c r="E2096" s="5" t="n">
        <v>1</v>
      </c>
      <c r="F2096" s="20" t="n">
        <v>5.525</v>
      </c>
      <c r="G2096" s="20" t="n">
        <f aca="false">9-F2096</f>
        <v>3.475</v>
      </c>
      <c r="H2096" s="20" t="n">
        <f aca="false">IF(G2096&gt;=1,G2096,0)</f>
        <v>3.475</v>
      </c>
      <c r="I2096" s="5" t="s">
        <v>774</v>
      </c>
      <c r="J2096" s="5" t="s">
        <v>2690</v>
      </c>
    </row>
    <row r="2097" customFormat="false" ht="15" hidden="false" customHeight="false" outlineLevel="0" collapsed="false">
      <c r="A2097" s="5" t="s">
        <v>231</v>
      </c>
      <c r="B2097" s="5" t="s">
        <v>168</v>
      </c>
      <c r="C2097" s="5" t="n">
        <v>75</v>
      </c>
      <c r="D2097" s="5" t="s">
        <v>855</v>
      </c>
      <c r="E2097" s="5" t="n">
        <v>1</v>
      </c>
      <c r="F2097" s="20" t="n">
        <v>5.525</v>
      </c>
      <c r="G2097" s="20" t="n">
        <f aca="false">9-F2097</f>
        <v>3.475</v>
      </c>
      <c r="H2097" s="20" t="n">
        <f aca="false">IF(G2097&gt;=1,G2097,0)</f>
        <v>3.475</v>
      </c>
      <c r="I2097" s="5" t="s">
        <v>774</v>
      </c>
      <c r="J2097" s="5" t="s">
        <v>2691</v>
      </c>
    </row>
    <row r="2098" customFormat="false" ht="15" hidden="false" customHeight="false" outlineLevel="0" collapsed="false">
      <c r="A2098" s="5" t="s">
        <v>231</v>
      </c>
      <c r="B2098" s="5" t="s">
        <v>168</v>
      </c>
      <c r="C2098" s="5" t="n">
        <v>76</v>
      </c>
      <c r="D2098" s="5" t="s">
        <v>855</v>
      </c>
      <c r="E2098" s="5" t="n">
        <v>1</v>
      </c>
      <c r="F2098" s="20" t="n">
        <v>5.525</v>
      </c>
      <c r="G2098" s="20" t="n">
        <f aca="false">9-F2098</f>
        <v>3.475</v>
      </c>
      <c r="H2098" s="20" t="n">
        <f aca="false">IF(G2098&gt;=1,G2098,0)</f>
        <v>3.475</v>
      </c>
      <c r="I2098" s="5" t="s">
        <v>774</v>
      </c>
      <c r="J2098" s="5" t="s">
        <v>2692</v>
      </c>
    </row>
    <row r="2099" customFormat="false" ht="15" hidden="false" customHeight="false" outlineLevel="0" collapsed="false">
      <c r="A2099" s="5" t="s">
        <v>231</v>
      </c>
      <c r="B2099" s="5" t="s">
        <v>168</v>
      </c>
      <c r="C2099" s="5" t="n">
        <v>77</v>
      </c>
      <c r="D2099" s="5" t="s">
        <v>855</v>
      </c>
      <c r="E2099" s="5" t="n">
        <v>1</v>
      </c>
      <c r="F2099" s="20" t="n">
        <v>5.525</v>
      </c>
      <c r="G2099" s="20" t="n">
        <f aca="false">9-F2099</f>
        <v>3.475</v>
      </c>
      <c r="H2099" s="20" t="n">
        <f aca="false">IF(G2099&gt;=1,G2099,0)</f>
        <v>3.475</v>
      </c>
      <c r="I2099" s="5" t="s">
        <v>774</v>
      </c>
      <c r="J2099" s="5" t="s">
        <v>2693</v>
      </c>
    </row>
    <row r="2100" customFormat="false" ht="15" hidden="false" customHeight="false" outlineLevel="0" collapsed="false">
      <c r="A2100" s="5" t="s">
        <v>231</v>
      </c>
      <c r="B2100" s="5" t="s">
        <v>168</v>
      </c>
      <c r="C2100" s="5" t="n">
        <v>78</v>
      </c>
      <c r="D2100" s="5" t="s">
        <v>855</v>
      </c>
      <c r="E2100" s="5" t="n">
        <v>1</v>
      </c>
      <c r="F2100" s="20" t="n">
        <v>5.525</v>
      </c>
      <c r="G2100" s="20" t="n">
        <f aca="false">9-F2100</f>
        <v>3.475</v>
      </c>
      <c r="H2100" s="20" t="n">
        <f aca="false">IF(G2100&gt;=1,G2100,0)</f>
        <v>3.475</v>
      </c>
      <c r="I2100" s="5" t="s">
        <v>774</v>
      </c>
      <c r="J2100" s="5" t="s">
        <v>2694</v>
      </c>
    </row>
    <row r="2101" customFormat="false" ht="15" hidden="false" customHeight="false" outlineLevel="0" collapsed="false">
      <c r="A2101" s="5" t="s">
        <v>231</v>
      </c>
      <c r="B2101" s="5" t="s">
        <v>168</v>
      </c>
      <c r="C2101" s="5" t="n">
        <v>79</v>
      </c>
      <c r="D2101" s="5" t="s">
        <v>855</v>
      </c>
      <c r="E2101" s="5" t="n">
        <v>1</v>
      </c>
      <c r="F2101" s="20" t="n">
        <v>5.525</v>
      </c>
      <c r="G2101" s="20" t="n">
        <f aca="false">9-F2101</f>
        <v>3.475</v>
      </c>
      <c r="H2101" s="20" t="n">
        <f aca="false">IF(G2101&gt;=1,G2101,0)</f>
        <v>3.475</v>
      </c>
      <c r="I2101" s="5" t="s">
        <v>774</v>
      </c>
      <c r="J2101" s="5" t="s">
        <v>2695</v>
      </c>
    </row>
    <row r="2102" customFormat="false" ht="15" hidden="false" customHeight="false" outlineLevel="0" collapsed="false">
      <c r="A2102" s="5" t="s">
        <v>231</v>
      </c>
      <c r="B2102" s="5" t="s">
        <v>168</v>
      </c>
      <c r="C2102" s="5" t="n">
        <v>80</v>
      </c>
      <c r="D2102" s="5" t="s">
        <v>855</v>
      </c>
      <c r="E2102" s="5" t="n">
        <v>1</v>
      </c>
      <c r="F2102" s="20" t="n">
        <v>5.525</v>
      </c>
      <c r="G2102" s="20" t="n">
        <f aca="false">9-F2102</f>
        <v>3.475</v>
      </c>
      <c r="H2102" s="20" t="n">
        <f aca="false">IF(G2102&gt;=1,G2102,0)</f>
        <v>3.475</v>
      </c>
      <c r="I2102" s="5" t="s">
        <v>774</v>
      </c>
      <c r="J2102" s="5" t="s">
        <v>2696</v>
      </c>
    </row>
    <row r="2103" customFormat="false" ht="15" hidden="false" customHeight="false" outlineLevel="0" collapsed="false">
      <c r="A2103" s="5" t="s">
        <v>231</v>
      </c>
      <c r="B2103" s="5" t="s">
        <v>168</v>
      </c>
      <c r="C2103" s="5" t="n">
        <v>81</v>
      </c>
      <c r="D2103" s="5" t="s">
        <v>855</v>
      </c>
      <c r="E2103" s="5" t="n">
        <v>1</v>
      </c>
      <c r="F2103" s="20" t="n">
        <v>5.525</v>
      </c>
      <c r="G2103" s="20" t="n">
        <f aca="false">9-F2103</f>
        <v>3.475</v>
      </c>
      <c r="H2103" s="20" t="n">
        <f aca="false">IF(G2103&gt;=1,G2103,0)</f>
        <v>3.475</v>
      </c>
      <c r="I2103" s="5" t="s">
        <v>774</v>
      </c>
      <c r="J2103" s="5" t="s">
        <v>2697</v>
      </c>
    </row>
    <row r="2104" customFormat="false" ht="15" hidden="false" customHeight="false" outlineLevel="0" collapsed="false">
      <c r="A2104" s="5" t="s">
        <v>231</v>
      </c>
      <c r="B2104" s="5" t="s">
        <v>168</v>
      </c>
      <c r="C2104" s="5" t="n">
        <v>82</v>
      </c>
      <c r="D2104" s="5" t="s">
        <v>881</v>
      </c>
      <c r="E2104" s="5" t="n">
        <v>2</v>
      </c>
      <c r="F2104" s="20" t="n">
        <v>8.32853490925306</v>
      </c>
      <c r="G2104" s="20" t="n">
        <f aca="false">9-F2104</f>
        <v>0.671465090746938</v>
      </c>
      <c r="H2104" s="20" t="n">
        <f aca="false">IF(G2104&gt;=1,G2104,0)</f>
        <v>0</v>
      </c>
      <c r="I2104" s="5" t="s">
        <v>774</v>
      </c>
      <c r="J2104" s="5" t="s">
        <v>2698</v>
      </c>
    </row>
    <row r="2105" customFormat="false" ht="15" hidden="false" customHeight="false" outlineLevel="0" collapsed="false">
      <c r="A2105" s="5" t="s">
        <v>231</v>
      </c>
      <c r="B2105" s="5" t="s">
        <v>168</v>
      </c>
      <c r="C2105" s="5" t="n">
        <v>83</v>
      </c>
      <c r="D2105" s="5" t="s">
        <v>883</v>
      </c>
      <c r="E2105" s="5" t="n">
        <v>2</v>
      </c>
      <c r="F2105" s="20" t="n">
        <v>8.25326609204876</v>
      </c>
      <c r="G2105" s="20" t="n">
        <f aca="false">9-F2105</f>
        <v>0.746733907951242</v>
      </c>
      <c r="H2105" s="20" t="n">
        <f aca="false">IF(G2105&gt;=1,G2105,0)</f>
        <v>0</v>
      </c>
      <c r="I2105" s="5" t="s">
        <v>774</v>
      </c>
      <c r="J2105" s="5" t="s">
        <v>2699</v>
      </c>
    </row>
    <row r="2106" customFormat="false" ht="15" hidden="false" customHeight="false" outlineLevel="0" collapsed="false">
      <c r="A2106" s="5" t="s">
        <v>231</v>
      </c>
      <c r="B2106" s="5" t="s">
        <v>168</v>
      </c>
      <c r="C2106" s="5" t="n">
        <v>84</v>
      </c>
      <c r="D2106" s="5" t="s">
        <v>885</v>
      </c>
      <c r="E2106" s="5" t="n">
        <v>2</v>
      </c>
      <c r="F2106" s="20" t="n">
        <v>8.17799727484446</v>
      </c>
      <c r="G2106" s="20" t="n">
        <f aca="false">9-F2106</f>
        <v>0.822002725155539</v>
      </c>
      <c r="H2106" s="20" t="n">
        <f aca="false">IF(G2106&gt;=1,G2106,0)</f>
        <v>0</v>
      </c>
      <c r="I2106" s="5" t="s">
        <v>774</v>
      </c>
      <c r="J2106" s="5" t="s">
        <v>2700</v>
      </c>
    </row>
    <row r="2107" customFormat="false" ht="15" hidden="false" customHeight="false" outlineLevel="0" collapsed="false">
      <c r="A2107" s="5" t="s">
        <v>231</v>
      </c>
      <c r="B2107" s="5" t="s">
        <v>168</v>
      </c>
      <c r="C2107" s="5" t="n">
        <v>85</v>
      </c>
      <c r="D2107" s="5" t="s">
        <v>887</v>
      </c>
      <c r="E2107" s="5" t="n">
        <v>3</v>
      </c>
      <c r="F2107" s="20" t="n">
        <v>8.95919680776737</v>
      </c>
      <c r="G2107" s="20" t="n">
        <f aca="false">9-F2107</f>
        <v>0.0408031922326266</v>
      </c>
      <c r="H2107" s="20" t="n">
        <f aca="false">IF(G2107&gt;=1,G2107,0)</f>
        <v>0</v>
      </c>
      <c r="I2107" s="5" t="s">
        <v>774</v>
      </c>
      <c r="J2107" s="5" t="s">
        <v>2701</v>
      </c>
    </row>
    <row r="2108" customFormat="false" ht="15" hidden="false" customHeight="false" outlineLevel="0" collapsed="false">
      <c r="A2108" s="5" t="s">
        <v>231</v>
      </c>
      <c r="B2108" s="5" t="s">
        <v>168</v>
      </c>
      <c r="C2108" s="5" t="n">
        <v>86</v>
      </c>
      <c r="D2108" s="5" t="s">
        <v>889</v>
      </c>
      <c r="E2108" s="5" t="n">
        <v>3</v>
      </c>
      <c r="F2108" s="20" t="n">
        <v>8.90646835012722</v>
      </c>
      <c r="G2108" s="20" t="n">
        <f aca="false">9-F2108</f>
        <v>0.0935316498727836</v>
      </c>
      <c r="H2108" s="20" t="n">
        <f aca="false">IF(G2108&gt;=1,G2108,0)</f>
        <v>0</v>
      </c>
      <c r="I2108" s="5" t="s">
        <v>774</v>
      </c>
      <c r="J2108" s="5" t="s">
        <v>2702</v>
      </c>
    </row>
    <row r="2109" customFormat="false" ht="15" hidden="false" customHeight="false" outlineLevel="0" collapsed="false">
      <c r="A2109" s="5" t="s">
        <v>231</v>
      </c>
      <c r="B2109" s="5" t="s">
        <v>168</v>
      </c>
      <c r="C2109" s="5" t="n">
        <v>87</v>
      </c>
      <c r="D2109" s="5" t="s">
        <v>889</v>
      </c>
      <c r="E2109" s="5" t="n">
        <v>3</v>
      </c>
      <c r="F2109" s="20" t="n">
        <v>8.90646835012722</v>
      </c>
      <c r="G2109" s="20" t="n">
        <f aca="false">9-F2109</f>
        <v>0.0935316498727836</v>
      </c>
      <c r="H2109" s="20" t="n">
        <f aca="false">IF(G2109&gt;=1,G2109,0)</f>
        <v>0</v>
      </c>
      <c r="I2109" s="5" t="s">
        <v>774</v>
      </c>
      <c r="J2109" s="5" t="s">
        <v>2703</v>
      </c>
    </row>
    <row r="2110" customFormat="false" ht="15" hidden="false" customHeight="false" outlineLevel="0" collapsed="false">
      <c r="A2110" s="5" t="s">
        <v>231</v>
      </c>
      <c r="B2110" s="5" t="s">
        <v>168</v>
      </c>
      <c r="C2110" s="5" t="n">
        <v>88</v>
      </c>
      <c r="D2110" s="5" t="s">
        <v>889</v>
      </c>
      <c r="E2110" s="5" t="n">
        <v>3</v>
      </c>
      <c r="F2110" s="20" t="n">
        <v>8.90646835012722</v>
      </c>
      <c r="G2110" s="20" t="n">
        <f aca="false">9-F2110</f>
        <v>0.0935316498727836</v>
      </c>
      <c r="H2110" s="20" t="n">
        <f aca="false">IF(G2110&gt;=1,G2110,0)</f>
        <v>0</v>
      </c>
      <c r="I2110" s="5" t="s">
        <v>774</v>
      </c>
      <c r="J2110" s="5" t="s">
        <v>2704</v>
      </c>
    </row>
    <row r="2111" customFormat="false" ht="15" hidden="false" customHeight="false" outlineLevel="0" collapsed="false">
      <c r="A2111" s="5" t="s">
        <v>231</v>
      </c>
      <c r="B2111" s="5" t="s">
        <v>168</v>
      </c>
      <c r="C2111" s="5" t="n">
        <v>89</v>
      </c>
      <c r="D2111" s="5" t="s">
        <v>889</v>
      </c>
      <c r="E2111" s="5" t="n">
        <v>3</v>
      </c>
      <c r="F2111" s="20" t="n">
        <v>8.90646835012722</v>
      </c>
      <c r="G2111" s="20" t="n">
        <f aca="false">9-F2111</f>
        <v>0.0935316498727836</v>
      </c>
      <c r="H2111" s="20" t="n">
        <f aca="false">IF(G2111&gt;=1,G2111,0)</f>
        <v>0</v>
      </c>
      <c r="I2111" s="5" t="s">
        <v>774</v>
      </c>
      <c r="J2111" s="5" t="s">
        <v>2705</v>
      </c>
    </row>
    <row r="2112" customFormat="false" ht="15" hidden="false" customHeight="false" outlineLevel="0" collapsed="false">
      <c r="A2112" s="5" t="s">
        <v>231</v>
      </c>
      <c r="B2112" s="5" t="s">
        <v>168</v>
      </c>
      <c r="C2112" s="5" t="n">
        <v>90</v>
      </c>
      <c r="D2112" s="5" t="s">
        <v>889</v>
      </c>
      <c r="E2112" s="5" t="n">
        <v>3</v>
      </c>
      <c r="F2112" s="20" t="n">
        <v>8.90646835012722</v>
      </c>
      <c r="G2112" s="20" t="n">
        <f aca="false">9-F2112</f>
        <v>0.0935316498727836</v>
      </c>
      <c r="H2112" s="20" t="n">
        <f aca="false">IF(G2112&gt;=1,G2112,0)</f>
        <v>0</v>
      </c>
      <c r="I2112" s="5" t="s">
        <v>774</v>
      </c>
      <c r="J2112" s="5" t="s">
        <v>2706</v>
      </c>
    </row>
    <row r="2113" customFormat="false" ht="15" hidden="false" customHeight="false" outlineLevel="0" collapsed="false">
      <c r="A2113" s="5" t="s">
        <v>231</v>
      </c>
      <c r="B2113" s="5" t="s">
        <v>168</v>
      </c>
      <c r="C2113" s="5" t="n">
        <v>91</v>
      </c>
      <c r="D2113" s="5" t="s">
        <v>889</v>
      </c>
      <c r="E2113" s="5" t="n">
        <v>3</v>
      </c>
      <c r="F2113" s="20" t="n">
        <v>8.90646835012722</v>
      </c>
      <c r="G2113" s="20" t="n">
        <f aca="false">9-F2113</f>
        <v>0.0935316498727836</v>
      </c>
      <c r="H2113" s="20" t="n">
        <f aca="false">IF(G2113&gt;=1,G2113,0)</f>
        <v>0</v>
      </c>
      <c r="I2113" s="5" t="s">
        <v>774</v>
      </c>
      <c r="J2113" s="5" t="s">
        <v>2707</v>
      </c>
    </row>
    <row r="2114" customFormat="false" ht="15" hidden="false" customHeight="false" outlineLevel="0" collapsed="false">
      <c r="A2114" s="5" t="s">
        <v>231</v>
      </c>
      <c r="B2114" s="5" t="s">
        <v>168</v>
      </c>
      <c r="C2114" s="5" t="n">
        <v>92</v>
      </c>
      <c r="D2114" s="5" t="s">
        <v>889</v>
      </c>
      <c r="E2114" s="5" t="n">
        <v>3</v>
      </c>
      <c r="F2114" s="20" t="n">
        <v>8.90646835012722</v>
      </c>
      <c r="G2114" s="20" t="n">
        <f aca="false">9-F2114</f>
        <v>0.0935316498727836</v>
      </c>
      <c r="H2114" s="20" t="n">
        <f aca="false">IF(G2114&gt;=1,G2114,0)</f>
        <v>0</v>
      </c>
      <c r="I2114" s="5" t="s">
        <v>774</v>
      </c>
      <c r="J2114" s="5" t="s">
        <v>2708</v>
      </c>
    </row>
    <row r="2115" customFormat="false" ht="15" hidden="false" customHeight="false" outlineLevel="0" collapsed="false">
      <c r="A2115" s="5" t="s">
        <v>231</v>
      </c>
      <c r="B2115" s="5" t="s">
        <v>168</v>
      </c>
      <c r="C2115" s="5" t="n">
        <v>93</v>
      </c>
      <c r="D2115" s="5" t="s">
        <v>889</v>
      </c>
      <c r="E2115" s="5" t="n">
        <v>3</v>
      </c>
      <c r="F2115" s="20" t="n">
        <v>8.90646835012722</v>
      </c>
      <c r="G2115" s="20" t="n">
        <f aca="false">9-F2115</f>
        <v>0.0935316498727836</v>
      </c>
      <c r="H2115" s="20" t="n">
        <f aca="false">IF(G2115&gt;=1,G2115,0)</f>
        <v>0</v>
      </c>
      <c r="I2115" s="5" t="s">
        <v>774</v>
      </c>
      <c r="J2115" s="5" t="s">
        <v>2709</v>
      </c>
    </row>
    <row r="2116" customFormat="false" ht="15" hidden="false" customHeight="false" outlineLevel="0" collapsed="false">
      <c r="A2116" s="5" t="s">
        <v>231</v>
      </c>
      <c r="B2116" s="5" t="s">
        <v>168</v>
      </c>
      <c r="C2116" s="5" t="n">
        <v>94</v>
      </c>
      <c r="D2116" s="5" t="s">
        <v>889</v>
      </c>
      <c r="E2116" s="5" t="n">
        <v>3</v>
      </c>
      <c r="F2116" s="20" t="n">
        <v>8.90646835012722</v>
      </c>
      <c r="G2116" s="20" t="n">
        <f aca="false">9-F2116</f>
        <v>0.0935316498727854</v>
      </c>
      <c r="H2116" s="20" t="n">
        <f aca="false">IF(G2116&gt;=1,G2116,0)</f>
        <v>0</v>
      </c>
      <c r="I2116" s="5" t="s">
        <v>774</v>
      </c>
      <c r="J2116" s="5" t="s">
        <v>2710</v>
      </c>
    </row>
    <row r="2117" customFormat="false" ht="15" hidden="false" customHeight="false" outlineLevel="0" collapsed="false">
      <c r="A2117" s="5" t="s">
        <v>231</v>
      </c>
      <c r="B2117" s="5" t="s">
        <v>168</v>
      </c>
      <c r="C2117" s="5" t="n">
        <v>95</v>
      </c>
      <c r="D2117" s="5" t="s">
        <v>889</v>
      </c>
      <c r="E2117" s="5" t="n">
        <v>3</v>
      </c>
      <c r="F2117" s="20" t="n">
        <v>8.90646835012722</v>
      </c>
      <c r="G2117" s="20" t="n">
        <f aca="false">9-F2117</f>
        <v>0.0935316498727854</v>
      </c>
      <c r="H2117" s="20" t="n">
        <f aca="false">IF(G2117&gt;=1,G2117,0)</f>
        <v>0</v>
      </c>
      <c r="I2117" s="5" t="s">
        <v>774</v>
      </c>
      <c r="J2117" s="5" t="s">
        <v>2711</v>
      </c>
    </row>
    <row r="2118" customFormat="false" ht="15" hidden="false" customHeight="false" outlineLevel="0" collapsed="false">
      <c r="A2118" s="5" t="s">
        <v>231</v>
      </c>
      <c r="B2118" s="5" t="s">
        <v>168</v>
      </c>
      <c r="C2118" s="5" t="n">
        <v>96</v>
      </c>
      <c r="D2118" s="5" t="s">
        <v>889</v>
      </c>
      <c r="E2118" s="5" t="n">
        <v>3</v>
      </c>
      <c r="F2118" s="20" t="n">
        <v>8.90646835012722</v>
      </c>
      <c r="G2118" s="20" t="n">
        <f aca="false">9-F2118</f>
        <v>0.0935316498727854</v>
      </c>
      <c r="H2118" s="20" t="n">
        <f aca="false">IF(G2118&gt;=1,G2118,0)</f>
        <v>0</v>
      </c>
      <c r="I2118" s="5" t="s">
        <v>774</v>
      </c>
      <c r="J2118" s="5" t="s">
        <v>2712</v>
      </c>
    </row>
    <row r="2119" customFormat="false" ht="15" hidden="false" customHeight="false" outlineLevel="0" collapsed="false">
      <c r="A2119" s="5" t="s">
        <v>231</v>
      </c>
      <c r="B2119" s="5" t="s">
        <v>168</v>
      </c>
      <c r="C2119" s="5" t="n">
        <v>97</v>
      </c>
      <c r="D2119" s="5" t="s">
        <v>889</v>
      </c>
      <c r="E2119" s="5" t="n">
        <v>3</v>
      </c>
      <c r="F2119" s="20" t="n">
        <v>8.90646835012722</v>
      </c>
      <c r="G2119" s="20" t="n">
        <f aca="false">9-F2119</f>
        <v>0.0935316498727854</v>
      </c>
      <c r="H2119" s="20" t="n">
        <f aca="false">IF(G2119&gt;=1,G2119,0)</f>
        <v>0</v>
      </c>
      <c r="I2119" s="5" t="s">
        <v>774</v>
      </c>
      <c r="J2119" s="5" t="s">
        <v>2713</v>
      </c>
    </row>
    <row r="2120" customFormat="false" ht="15" hidden="false" customHeight="false" outlineLevel="0" collapsed="false">
      <c r="A2120" s="5" t="s">
        <v>231</v>
      </c>
      <c r="B2120" s="5" t="s">
        <v>168</v>
      </c>
      <c r="C2120" s="5" t="n">
        <v>98</v>
      </c>
      <c r="D2120" s="5" t="s">
        <v>889</v>
      </c>
      <c r="E2120" s="5" t="n">
        <v>3</v>
      </c>
      <c r="F2120" s="20" t="n">
        <v>8.90460677249568</v>
      </c>
      <c r="G2120" s="20" t="n">
        <f aca="false">9-F2120</f>
        <v>0.0953932275043243</v>
      </c>
      <c r="H2120" s="20" t="n">
        <f aca="false">IF(G2120&gt;=1,G2120,0)</f>
        <v>0</v>
      </c>
      <c r="I2120" s="5" t="s">
        <v>774</v>
      </c>
      <c r="J2120" s="5" t="s">
        <v>2714</v>
      </c>
    </row>
    <row r="2121" customFormat="false" ht="15" hidden="false" customHeight="false" outlineLevel="0" collapsed="false">
      <c r="A2121" s="5" t="s">
        <v>231</v>
      </c>
      <c r="B2121" s="5" t="s">
        <v>168</v>
      </c>
      <c r="C2121" s="5" t="n">
        <v>99</v>
      </c>
      <c r="D2121" s="5" t="s">
        <v>903</v>
      </c>
      <c r="E2121" s="5" t="n">
        <v>3</v>
      </c>
      <c r="F2121" s="20" t="n">
        <v>8.84629358196091</v>
      </c>
      <c r="G2121" s="20" t="n">
        <f aca="false">9-F2121</f>
        <v>0.153706418039086</v>
      </c>
      <c r="H2121" s="20" t="n">
        <f aca="false">IF(G2121&gt;=1,G2121,0)</f>
        <v>0</v>
      </c>
      <c r="I2121" s="5" t="s">
        <v>774</v>
      </c>
      <c r="J2121" s="5" t="s">
        <v>2715</v>
      </c>
    </row>
    <row r="2122" customFormat="false" ht="15" hidden="false" customHeight="false" outlineLevel="0" collapsed="false">
      <c r="A2122" s="5" t="s">
        <v>231</v>
      </c>
      <c r="B2122" s="5" t="s">
        <v>168</v>
      </c>
      <c r="C2122" s="5" t="n">
        <v>100</v>
      </c>
      <c r="D2122" s="5" t="s">
        <v>905</v>
      </c>
      <c r="E2122" s="5" t="n">
        <v>3</v>
      </c>
      <c r="F2122" s="20" t="n">
        <v>8.77102476475661</v>
      </c>
      <c r="G2122" s="20" t="n">
        <f aca="false">9-F2122</f>
        <v>0.228975235243388</v>
      </c>
      <c r="H2122" s="20" t="n">
        <f aca="false">IF(G2122&gt;=1,G2122,0)</f>
        <v>0</v>
      </c>
      <c r="I2122" s="5" t="s">
        <v>774</v>
      </c>
      <c r="J2122" s="5" t="s">
        <v>2716</v>
      </c>
    </row>
    <row r="2123" customFormat="false" ht="15" hidden="false" customHeight="false" outlineLevel="0" collapsed="false">
      <c r="A2123" s="5" t="s">
        <v>231</v>
      </c>
      <c r="B2123" s="5" t="s">
        <v>168</v>
      </c>
      <c r="C2123" s="5" t="n">
        <v>101</v>
      </c>
      <c r="D2123" s="5" t="s">
        <v>907</v>
      </c>
      <c r="E2123" s="5" t="n">
        <v>3</v>
      </c>
      <c r="F2123" s="20" t="n">
        <v>8.69575594755231</v>
      </c>
      <c r="G2123" s="20" t="n">
        <f aca="false">9-F2123</f>
        <v>0.304244052447695</v>
      </c>
      <c r="H2123" s="20" t="n">
        <f aca="false">IF(G2123&gt;=1,G2123,0)</f>
        <v>0</v>
      </c>
      <c r="I2123" s="5" t="s">
        <v>774</v>
      </c>
      <c r="J2123" s="5" t="s">
        <v>2717</v>
      </c>
    </row>
    <row r="2124" customFormat="false" ht="15" hidden="false" customHeight="false" outlineLevel="0" collapsed="false">
      <c r="A2124" s="5" t="s">
        <v>231</v>
      </c>
      <c r="B2124" s="5" t="s">
        <v>168</v>
      </c>
      <c r="C2124" s="5" t="n">
        <v>102</v>
      </c>
      <c r="D2124" s="5" t="s">
        <v>909</v>
      </c>
      <c r="E2124" s="5" t="n">
        <v>3</v>
      </c>
      <c r="F2124" s="20" t="n">
        <v>8.62288634238816</v>
      </c>
      <c r="G2124" s="20" t="n">
        <f aca="false">9-F2124</f>
        <v>0.377113657611842</v>
      </c>
      <c r="H2124" s="20" t="n">
        <f aca="false">IF(G2124&gt;=1,G2124,0)</f>
        <v>0</v>
      </c>
      <c r="I2124" s="5" t="s">
        <v>774</v>
      </c>
      <c r="J2124" s="5" t="s">
        <v>2718</v>
      </c>
    </row>
    <row r="2125" customFormat="false" ht="15" hidden="false" customHeight="false" outlineLevel="0" collapsed="false">
      <c r="A2125" s="5" t="s">
        <v>231</v>
      </c>
      <c r="B2125" s="5" t="s">
        <v>168</v>
      </c>
      <c r="C2125" s="5" t="n">
        <v>103</v>
      </c>
      <c r="D2125" s="5" t="s">
        <v>911</v>
      </c>
      <c r="E2125" s="5" t="n">
        <v>3</v>
      </c>
      <c r="F2125" s="20" t="n">
        <v>8.60646835012722</v>
      </c>
      <c r="G2125" s="20" t="n">
        <f aca="false">9-F2125</f>
        <v>0.393531649872781</v>
      </c>
      <c r="H2125" s="20" t="n">
        <f aca="false">IF(G2125&gt;=1,G2125,0)</f>
        <v>0</v>
      </c>
      <c r="I2125" s="5" t="s">
        <v>774</v>
      </c>
      <c r="J2125" s="5" t="s">
        <v>2719</v>
      </c>
    </row>
    <row r="2126" customFormat="false" ht="15" hidden="false" customHeight="false" outlineLevel="0" collapsed="false">
      <c r="A2126" s="5" t="s">
        <v>231</v>
      </c>
      <c r="B2126" s="5" t="s">
        <v>168</v>
      </c>
      <c r="C2126" s="5" t="n">
        <v>104</v>
      </c>
      <c r="D2126" s="5" t="s">
        <v>911</v>
      </c>
      <c r="E2126" s="5" t="n">
        <v>3</v>
      </c>
      <c r="F2126" s="20" t="n">
        <v>8.60646835012722</v>
      </c>
      <c r="G2126" s="20" t="n">
        <f aca="false">9-F2126</f>
        <v>0.393531649872781</v>
      </c>
      <c r="H2126" s="20" t="n">
        <f aca="false">IF(G2126&gt;=1,G2126,0)</f>
        <v>0</v>
      </c>
      <c r="I2126" s="5" t="s">
        <v>774</v>
      </c>
      <c r="J2126" s="5" t="s">
        <v>2720</v>
      </c>
    </row>
    <row r="2127" customFormat="false" ht="15" hidden="false" customHeight="false" outlineLevel="0" collapsed="false">
      <c r="A2127" s="5" t="s">
        <v>231</v>
      </c>
      <c r="B2127" s="5" t="s">
        <v>168</v>
      </c>
      <c r="C2127" s="5" t="n">
        <v>105</v>
      </c>
      <c r="D2127" s="5" t="s">
        <v>911</v>
      </c>
      <c r="E2127" s="5" t="n">
        <v>3</v>
      </c>
      <c r="F2127" s="20" t="n">
        <v>8.60646835012722</v>
      </c>
      <c r="G2127" s="20" t="n">
        <f aca="false">9-F2127</f>
        <v>0.393531649872781</v>
      </c>
      <c r="H2127" s="20" t="n">
        <f aca="false">IF(G2127&gt;=1,G2127,0)</f>
        <v>0</v>
      </c>
      <c r="I2127" s="5" t="s">
        <v>774</v>
      </c>
      <c r="J2127" s="5" t="s">
        <v>2721</v>
      </c>
    </row>
    <row r="2128" customFormat="false" ht="15" hidden="false" customHeight="false" outlineLevel="0" collapsed="false">
      <c r="A2128" s="5" t="s">
        <v>231</v>
      </c>
      <c r="B2128" s="5" t="s">
        <v>168</v>
      </c>
      <c r="C2128" s="5" t="n">
        <v>106</v>
      </c>
      <c r="D2128" s="5" t="s">
        <v>911</v>
      </c>
      <c r="E2128" s="5" t="n">
        <v>3</v>
      </c>
      <c r="F2128" s="20" t="n">
        <v>8.60646835012722</v>
      </c>
      <c r="G2128" s="20" t="n">
        <f aca="false">9-F2128</f>
        <v>0.393531649872781</v>
      </c>
      <c r="H2128" s="20" t="n">
        <f aca="false">IF(G2128&gt;=1,G2128,0)</f>
        <v>0</v>
      </c>
      <c r="I2128" s="5" t="s">
        <v>774</v>
      </c>
      <c r="J2128" s="5" t="s">
        <v>2722</v>
      </c>
    </row>
    <row r="2129" customFormat="false" ht="15" hidden="false" customHeight="false" outlineLevel="0" collapsed="false">
      <c r="A2129" s="5" t="s">
        <v>231</v>
      </c>
      <c r="B2129" s="5" t="s">
        <v>168</v>
      </c>
      <c r="C2129" s="5" t="n">
        <v>107</v>
      </c>
      <c r="D2129" s="5" t="s">
        <v>911</v>
      </c>
      <c r="E2129" s="5" t="n">
        <v>3</v>
      </c>
      <c r="F2129" s="20" t="n">
        <v>8.60646835012722</v>
      </c>
      <c r="G2129" s="20" t="n">
        <f aca="false">9-F2129</f>
        <v>0.393531649872781</v>
      </c>
      <c r="H2129" s="20" t="n">
        <f aca="false">IF(G2129&gt;=1,G2129,0)</f>
        <v>0</v>
      </c>
      <c r="I2129" s="5" t="s">
        <v>774</v>
      </c>
      <c r="J2129" s="5" t="s">
        <v>2723</v>
      </c>
    </row>
    <row r="2130" customFormat="false" ht="15" hidden="false" customHeight="false" outlineLevel="0" collapsed="false">
      <c r="A2130" s="5" t="s">
        <v>231</v>
      </c>
      <c r="B2130" s="5" t="s">
        <v>168</v>
      </c>
      <c r="C2130" s="5" t="n">
        <v>108</v>
      </c>
      <c r="D2130" s="5" t="s">
        <v>911</v>
      </c>
      <c r="E2130" s="5" t="n">
        <v>3</v>
      </c>
      <c r="F2130" s="20" t="n">
        <v>8.60646835012722</v>
      </c>
      <c r="G2130" s="20" t="n">
        <f aca="false">9-F2130</f>
        <v>0.393531649872781</v>
      </c>
      <c r="H2130" s="20" t="n">
        <f aca="false">IF(G2130&gt;=1,G2130,0)</f>
        <v>0</v>
      </c>
      <c r="I2130" s="5" t="s">
        <v>774</v>
      </c>
      <c r="J2130" s="5" t="s">
        <v>2724</v>
      </c>
    </row>
    <row r="2131" customFormat="false" ht="15" hidden="false" customHeight="false" outlineLevel="0" collapsed="false">
      <c r="A2131" s="5" t="s">
        <v>231</v>
      </c>
      <c r="B2131" s="5" t="s">
        <v>168</v>
      </c>
      <c r="C2131" s="5" t="n">
        <v>109</v>
      </c>
      <c r="D2131" s="5" t="s">
        <v>911</v>
      </c>
      <c r="E2131" s="5" t="n">
        <v>3</v>
      </c>
      <c r="F2131" s="20" t="n">
        <v>8.60646835012722</v>
      </c>
      <c r="G2131" s="20" t="n">
        <f aca="false">9-F2131</f>
        <v>0.393531649872781</v>
      </c>
      <c r="H2131" s="20" t="n">
        <f aca="false">IF(G2131&gt;=1,G2131,0)</f>
        <v>0</v>
      </c>
      <c r="I2131" s="5" t="s">
        <v>774</v>
      </c>
      <c r="J2131" s="5" t="s">
        <v>2725</v>
      </c>
    </row>
    <row r="2132" customFormat="false" ht="15" hidden="false" customHeight="false" outlineLevel="0" collapsed="false">
      <c r="A2132" s="5" t="s">
        <v>231</v>
      </c>
      <c r="B2132" s="5" t="s">
        <v>168</v>
      </c>
      <c r="C2132" s="5" t="n">
        <v>110</v>
      </c>
      <c r="D2132" s="5" t="s">
        <v>919</v>
      </c>
      <c r="E2132" s="5" t="n">
        <v>1</v>
      </c>
      <c r="F2132" s="20" t="n">
        <v>3.58847402597399</v>
      </c>
      <c r="G2132" s="20" t="n">
        <f aca="false">9-F2132</f>
        <v>5.41152597402602</v>
      </c>
      <c r="H2132" s="20" t="n">
        <f aca="false">IF(G2132&gt;=1,G2132,0)</f>
        <v>5.41152597402602</v>
      </c>
      <c r="I2132" s="5" t="s">
        <v>774</v>
      </c>
      <c r="J2132" s="5" t="s">
        <v>2726</v>
      </c>
    </row>
    <row r="2133" customFormat="false" ht="15" hidden="false" customHeight="false" outlineLevel="0" collapsed="false">
      <c r="A2133" s="5" t="s">
        <v>231</v>
      </c>
      <c r="B2133" s="5" t="s">
        <v>169</v>
      </c>
      <c r="C2133" s="5" t="n">
        <v>1</v>
      </c>
      <c r="D2133" s="5" t="s">
        <v>930</v>
      </c>
      <c r="E2133" s="5" t="n">
        <v>3</v>
      </c>
      <c r="F2133" s="20" t="n">
        <v>8.94000000000002</v>
      </c>
      <c r="G2133" s="20" t="n">
        <f aca="false">9-F2133</f>
        <v>0.0599999999999845</v>
      </c>
      <c r="H2133" s="20" t="n">
        <f aca="false">IF(G2133&gt;=1,G2133,0)</f>
        <v>0</v>
      </c>
      <c r="I2133" s="5" t="s">
        <v>774</v>
      </c>
      <c r="J2133" s="5" t="s">
        <v>2727</v>
      </c>
    </row>
    <row r="2134" customFormat="false" ht="15" hidden="false" customHeight="false" outlineLevel="0" collapsed="false">
      <c r="A2134" s="5" t="s">
        <v>231</v>
      </c>
      <c r="B2134" s="5" t="s">
        <v>169</v>
      </c>
      <c r="C2134" s="5" t="n">
        <v>2</v>
      </c>
      <c r="D2134" s="5" t="s">
        <v>930</v>
      </c>
      <c r="E2134" s="5" t="n">
        <v>3</v>
      </c>
      <c r="F2134" s="20" t="n">
        <v>8.94000000000001</v>
      </c>
      <c r="G2134" s="20" t="n">
        <f aca="false">9-F2134</f>
        <v>0.0599999999999863</v>
      </c>
      <c r="H2134" s="20" t="n">
        <f aca="false">IF(G2134&gt;=1,G2134,0)</f>
        <v>0</v>
      </c>
      <c r="I2134" s="5" t="s">
        <v>774</v>
      </c>
      <c r="J2134" s="5" t="s">
        <v>2728</v>
      </c>
    </row>
    <row r="2135" customFormat="false" ht="15" hidden="false" customHeight="false" outlineLevel="0" collapsed="false">
      <c r="A2135" s="5" t="s">
        <v>231</v>
      </c>
      <c r="B2135" s="5" t="s">
        <v>169</v>
      </c>
      <c r="C2135" s="5" t="n">
        <v>3</v>
      </c>
      <c r="D2135" s="5" t="s">
        <v>930</v>
      </c>
      <c r="E2135" s="5" t="n">
        <v>3</v>
      </c>
      <c r="F2135" s="20" t="n">
        <v>8.94000000000001</v>
      </c>
      <c r="G2135" s="20" t="n">
        <f aca="false">9-F2135</f>
        <v>0.0599999999999881</v>
      </c>
      <c r="H2135" s="20" t="n">
        <f aca="false">IF(G2135&gt;=1,G2135,0)</f>
        <v>0</v>
      </c>
      <c r="I2135" s="5" t="s">
        <v>774</v>
      </c>
      <c r="J2135" s="5" t="s">
        <v>2729</v>
      </c>
    </row>
    <row r="2136" customFormat="false" ht="15" hidden="false" customHeight="false" outlineLevel="0" collapsed="false">
      <c r="A2136" s="5" t="s">
        <v>231</v>
      </c>
      <c r="B2136" s="5" t="s">
        <v>169</v>
      </c>
      <c r="C2136" s="5" t="n">
        <v>4</v>
      </c>
      <c r="D2136" s="5" t="s">
        <v>930</v>
      </c>
      <c r="E2136" s="5" t="n">
        <v>3</v>
      </c>
      <c r="F2136" s="20" t="n">
        <v>8.94000000000001</v>
      </c>
      <c r="G2136" s="20" t="n">
        <f aca="false">9-F2136</f>
        <v>0.0599999999999881</v>
      </c>
      <c r="H2136" s="20" t="n">
        <f aca="false">IF(G2136&gt;=1,G2136,0)</f>
        <v>0</v>
      </c>
      <c r="I2136" s="5" t="s">
        <v>774</v>
      </c>
      <c r="J2136" s="5" t="s">
        <v>2730</v>
      </c>
    </row>
    <row r="2137" customFormat="false" ht="15" hidden="false" customHeight="false" outlineLevel="0" collapsed="false">
      <c r="A2137" s="5" t="s">
        <v>231</v>
      </c>
      <c r="B2137" s="5" t="s">
        <v>169</v>
      </c>
      <c r="C2137" s="5" t="n">
        <v>5</v>
      </c>
      <c r="D2137" s="5" t="s">
        <v>930</v>
      </c>
      <c r="E2137" s="5" t="n">
        <v>3</v>
      </c>
      <c r="F2137" s="20" t="n">
        <v>8.94000000000001</v>
      </c>
      <c r="G2137" s="20" t="n">
        <f aca="false">9-F2137</f>
        <v>0.0599999999999881</v>
      </c>
      <c r="H2137" s="20" t="n">
        <f aca="false">IF(G2137&gt;=1,G2137,0)</f>
        <v>0</v>
      </c>
      <c r="I2137" s="5" t="s">
        <v>774</v>
      </c>
      <c r="J2137" s="5" t="s">
        <v>2731</v>
      </c>
    </row>
    <row r="2138" customFormat="false" ht="15" hidden="false" customHeight="false" outlineLevel="0" collapsed="false">
      <c r="A2138" s="5" t="s">
        <v>231</v>
      </c>
      <c r="B2138" s="5" t="s">
        <v>169</v>
      </c>
      <c r="C2138" s="5" t="n">
        <v>6</v>
      </c>
      <c r="D2138" s="5" t="s">
        <v>930</v>
      </c>
      <c r="E2138" s="5" t="n">
        <v>3</v>
      </c>
      <c r="F2138" s="20" t="n">
        <v>8.94000000000001</v>
      </c>
      <c r="G2138" s="20" t="n">
        <f aca="false">9-F2138</f>
        <v>0.0599999999999898</v>
      </c>
      <c r="H2138" s="20" t="n">
        <f aca="false">IF(G2138&gt;=1,G2138,0)</f>
        <v>0</v>
      </c>
      <c r="I2138" s="5" t="s">
        <v>774</v>
      </c>
      <c r="J2138" s="5" t="s">
        <v>2732</v>
      </c>
    </row>
    <row r="2139" customFormat="false" ht="15" hidden="false" customHeight="false" outlineLevel="0" collapsed="false">
      <c r="A2139" s="5" t="s">
        <v>231</v>
      </c>
      <c r="B2139" s="5" t="s">
        <v>169</v>
      </c>
      <c r="C2139" s="5" t="n">
        <v>7</v>
      </c>
      <c r="D2139" s="5" t="s">
        <v>930</v>
      </c>
      <c r="E2139" s="5" t="n">
        <v>3</v>
      </c>
      <c r="F2139" s="20" t="n">
        <v>8.94000000000001</v>
      </c>
      <c r="G2139" s="20" t="n">
        <f aca="false">9-F2139</f>
        <v>0.0599999999999898</v>
      </c>
      <c r="H2139" s="20" t="n">
        <f aca="false">IF(G2139&gt;=1,G2139,0)</f>
        <v>0</v>
      </c>
      <c r="I2139" s="5" t="s">
        <v>774</v>
      </c>
      <c r="J2139" s="5" t="s">
        <v>2733</v>
      </c>
    </row>
    <row r="2140" customFormat="false" ht="15" hidden="false" customHeight="false" outlineLevel="0" collapsed="false">
      <c r="A2140" s="5" t="s">
        <v>231</v>
      </c>
      <c r="B2140" s="5" t="s">
        <v>169</v>
      </c>
      <c r="C2140" s="5" t="n">
        <v>8</v>
      </c>
      <c r="D2140" s="5" t="s">
        <v>1616</v>
      </c>
      <c r="E2140" s="5" t="n">
        <v>3</v>
      </c>
      <c r="F2140" s="20" t="n">
        <v>8.68478343051252</v>
      </c>
      <c r="G2140" s="20" t="n">
        <f aca="false">9-F2140</f>
        <v>0.315216569487479</v>
      </c>
      <c r="H2140" s="20" t="n">
        <f aca="false">IF(G2140&gt;=1,G2140,0)</f>
        <v>0</v>
      </c>
      <c r="I2140" s="5" t="s">
        <v>952</v>
      </c>
      <c r="J2140" s="5" t="s">
        <v>2734</v>
      </c>
    </row>
    <row r="2141" customFormat="false" ht="15" hidden="false" customHeight="false" outlineLevel="0" collapsed="false">
      <c r="A2141" s="5" t="s">
        <v>231</v>
      </c>
      <c r="B2141" s="5" t="s">
        <v>169</v>
      </c>
      <c r="C2141" s="5" t="n">
        <v>9</v>
      </c>
      <c r="D2141" s="5" t="s">
        <v>1616</v>
      </c>
      <c r="E2141" s="5" t="n">
        <v>3</v>
      </c>
      <c r="F2141" s="20" t="n">
        <v>8.68478343051252</v>
      </c>
      <c r="G2141" s="20" t="n">
        <f aca="false">9-F2141</f>
        <v>0.315216569487479</v>
      </c>
      <c r="H2141" s="20" t="n">
        <f aca="false">IF(G2141&gt;=1,G2141,0)</f>
        <v>0</v>
      </c>
      <c r="I2141" s="5" t="s">
        <v>952</v>
      </c>
      <c r="J2141" s="5" t="s">
        <v>2735</v>
      </c>
    </row>
    <row r="2142" customFormat="false" ht="15" hidden="false" customHeight="false" outlineLevel="0" collapsed="false">
      <c r="A2142" s="5" t="s">
        <v>231</v>
      </c>
      <c r="B2142" s="5" t="s">
        <v>169</v>
      </c>
      <c r="C2142" s="5" t="n">
        <v>10</v>
      </c>
      <c r="D2142" s="5" t="s">
        <v>1616</v>
      </c>
      <c r="E2142" s="5" t="n">
        <v>3</v>
      </c>
      <c r="F2142" s="20" t="n">
        <v>8.68478343051251</v>
      </c>
      <c r="G2142" s="20" t="n">
        <f aca="false">9-F2142</f>
        <v>0.315216569487486</v>
      </c>
      <c r="H2142" s="20" t="n">
        <f aca="false">IF(G2142&gt;=1,G2142,0)</f>
        <v>0</v>
      </c>
      <c r="I2142" s="5" t="s">
        <v>952</v>
      </c>
      <c r="J2142" s="5" t="s">
        <v>2736</v>
      </c>
    </row>
    <row r="2143" customFormat="false" ht="15" hidden="false" customHeight="false" outlineLevel="0" collapsed="false">
      <c r="A2143" s="5" t="s">
        <v>231</v>
      </c>
      <c r="B2143" s="5" t="s">
        <v>169</v>
      </c>
      <c r="C2143" s="5" t="n">
        <v>11</v>
      </c>
      <c r="D2143" s="5" t="s">
        <v>1616</v>
      </c>
      <c r="E2143" s="5" t="n">
        <v>3</v>
      </c>
      <c r="F2143" s="20" t="n">
        <v>8.68478343051251</v>
      </c>
      <c r="G2143" s="20" t="n">
        <f aca="false">9-F2143</f>
        <v>0.315216569487486</v>
      </c>
      <c r="H2143" s="20" t="n">
        <f aca="false">IF(G2143&gt;=1,G2143,0)</f>
        <v>0</v>
      </c>
      <c r="I2143" s="5" t="s">
        <v>952</v>
      </c>
      <c r="J2143" s="5" t="s">
        <v>2737</v>
      </c>
    </row>
    <row r="2144" customFormat="false" ht="15" hidden="false" customHeight="false" outlineLevel="0" collapsed="false">
      <c r="A2144" s="5" t="s">
        <v>231</v>
      </c>
      <c r="B2144" s="5" t="s">
        <v>169</v>
      </c>
      <c r="C2144" s="5" t="n">
        <v>12</v>
      </c>
      <c r="D2144" s="5" t="s">
        <v>1616</v>
      </c>
      <c r="E2144" s="5" t="n">
        <v>3</v>
      </c>
      <c r="F2144" s="20" t="n">
        <v>8.68478343051251</v>
      </c>
      <c r="G2144" s="20" t="n">
        <f aca="false">9-F2144</f>
        <v>0.315216569487491</v>
      </c>
      <c r="H2144" s="20" t="n">
        <f aca="false">IF(G2144&gt;=1,G2144,0)</f>
        <v>0</v>
      </c>
      <c r="I2144" s="5" t="s">
        <v>952</v>
      </c>
      <c r="J2144" s="5" t="s">
        <v>2738</v>
      </c>
    </row>
    <row r="2145" customFormat="false" ht="15" hidden="false" customHeight="false" outlineLevel="0" collapsed="false">
      <c r="A2145" s="5" t="s">
        <v>231</v>
      </c>
      <c r="B2145" s="5" t="s">
        <v>169</v>
      </c>
      <c r="C2145" s="5" t="n">
        <v>13</v>
      </c>
      <c r="D2145" s="5" t="s">
        <v>1616</v>
      </c>
      <c r="E2145" s="5" t="n">
        <v>3</v>
      </c>
      <c r="F2145" s="20" t="n">
        <v>8.68478343051251</v>
      </c>
      <c r="G2145" s="20" t="n">
        <f aca="false">9-F2145</f>
        <v>0.315216569487493</v>
      </c>
      <c r="H2145" s="20" t="n">
        <f aca="false">IF(G2145&gt;=1,G2145,0)</f>
        <v>0</v>
      </c>
      <c r="I2145" s="5" t="s">
        <v>952</v>
      </c>
      <c r="J2145" s="5" t="s">
        <v>2739</v>
      </c>
    </row>
    <row r="2146" customFormat="false" ht="15" hidden="false" customHeight="false" outlineLevel="0" collapsed="false">
      <c r="A2146" s="5" t="s">
        <v>231</v>
      </c>
      <c r="B2146" s="5" t="s">
        <v>169</v>
      </c>
      <c r="C2146" s="5" t="n">
        <v>14</v>
      </c>
      <c r="D2146" s="5" t="s">
        <v>1623</v>
      </c>
      <c r="E2146" s="5" t="n">
        <v>4</v>
      </c>
      <c r="F2146" s="20" t="n">
        <v>8.94861787060636</v>
      </c>
      <c r="G2146" s="20" t="n">
        <f aca="false">9-F2146</f>
        <v>0.051382129393641</v>
      </c>
      <c r="H2146" s="20" t="n">
        <f aca="false">IF(G2146&gt;=1,G2146,0)</f>
        <v>0</v>
      </c>
      <c r="I2146" s="5" t="s">
        <v>939</v>
      </c>
      <c r="J2146" s="5" t="s">
        <v>2740</v>
      </c>
    </row>
    <row r="2147" customFormat="false" ht="15" hidden="false" customHeight="false" outlineLevel="0" collapsed="false">
      <c r="A2147" s="5" t="s">
        <v>231</v>
      </c>
      <c r="B2147" s="5" t="s">
        <v>169</v>
      </c>
      <c r="C2147" s="5" t="n">
        <v>15</v>
      </c>
      <c r="D2147" s="5" t="s">
        <v>1623</v>
      </c>
      <c r="E2147" s="5" t="n">
        <v>4</v>
      </c>
      <c r="F2147" s="20" t="n">
        <v>8.94861787060635</v>
      </c>
      <c r="G2147" s="20" t="n">
        <f aca="false">9-F2147</f>
        <v>0.0513821293936481</v>
      </c>
      <c r="H2147" s="20" t="n">
        <f aca="false">IF(G2147&gt;=1,G2147,0)</f>
        <v>0</v>
      </c>
      <c r="I2147" s="5" t="s">
        <v>939</v>
      </c>
      <c r="J2147" s="5" t="s">
        <v>2741</v>
      </c>
    </row>
    <row r="2148" customFormat="false" ht="15" hidden="false" customHeight="false" outlineLevel="0" collapsed="false">
      <c r="A2148" s="5" t="s">
        <v>231</v>
      </c>
      <c r="B2148" s="5" t="s">
        <v>169</v>
      </c>
      <c r="C2148" s="5" t="n">
        <v>16</v>
      </c>
      <c r="D2148" s="5" t="s">
        <v>1623</v>
      </c>
      <c r="E2148" s="5" t="n">
        <v>4</v>
      </c>
      <c r="F2148" s="20" t="n">
        <v>8.94861787060635</v>
      </c>
      <c r="G2148" s="20" t="n">
        <f aca="false">9-F2148</f>
        <v>0.0513821293936481</v>
      </c>
      <c r="H2148" s="20" t="n">
        <f aca="false">IF(G2148&gt;=1,G2148,0)</f>
        <v>0</v>
      </c>
      <c r="I2148" s="5" t="s">
        <v>939</v>
      </c>
      <c r="J2148" s="5" t="s">
        <v>2742</v>
      </c>
    </row>
    <row r="2149" customFormat="false" ht="15" hidden="false" customHeight="false" outlineLevel="0" collapsed="false">
      <c r="A2149" s="5" t="s">
        <v>231</v>
      </c>
      <c r="B2149" s="5" t="s">
        <v>169</v>
      </c>
      <c r="C2149" s="5" t="n">
        <v>17</v>
      </c>
      <c r="D2149" s="5" t="s">
        <v>1623</v>
      </c>
      <c r="E2149" s="5" t="n">
        <v>4</v>
      </c>
      <c r="F2149" s="20" t="n">
        <v>8.94861787060635</v>
      </c>
      <c r="G2149" s="20" t="n">
        <f aca="false">9-F2149</f>
        <v>0.0513821293936498</v>
      </c>
      <c r="H2149" s="20" t="n">
        <f aca="false">IF(G2149&gt;=1,G2149,0)</f>
        <v>0</v>
      </c>
      <c r="I2149" s="5" t="s">
        <v>939</v>
      </c>
      <c r="J2149" s="5" t="s">
        <v>2743</v>
      </c>
    </row>
    <row r="2150" customFormat="false" ht="15" hidden="false" customHeight="false" outlineLevel="0" collapsed="false">
      <c r="A2150" s="5" t="s">
        <v>231</v>
      </c>
      <c r="B2150" s="5" t="s">
        <v>169</v>
      </c>
      <c r="C2150" s="5" t="n">
        <v>18</v>
      </c>
      <c r="D2150" s="5" t="s">
        <v>1623</v>
      </c>
      <c r="E2150" s="5" t="n">
        <v>4</v>
      </c>
      <c r="F2150" s="20" t="n">
        <v>8.94861787060635</v>
      </c>
      <c r="G2150" s="20" t="n">
        <f aca="false">9-F2150</f>
        <v>0.0513821293936516</v>
      </c>
      <c r="H2150" s="20" t="n">
        <f aca="false">IF(G2150&gt;=1,G2150,0)</f>
        <v>0</v>
      </c>
      <c r="I2150" s="5" t="s">
        <v>939</v>
      </c>
      <c r="J2150" s="5" t="s">
        <v>2744</v>
      </c>
    </row>
    <row r="2151" customFormat="false" ht="15" hidden="false" customHeight="false" outlineLevel="0" collapsed="false">
      <c r="A2151" s="5" t="s">
        <v>231</v>
      </c>
      <c r="B2151" s="5" t="s">
        <v>169</v>
      </c>
      <c r="C2151" s="5" t="n">
        <v>19</v>
      </c>
      <c r="D2151" s="5" t="s">
        <v>1623</v>
      </c>
      <c r="E2151" s="5" t="n">
        <v>4</v>
      </c>
      <c r="F2151" s="20" t="n">
        <v>8.94861787060635</v>
      </c>
      <c r="G2151" s="20" t="n">
        <f aca="false">9-F2151</f>
        <v>0.0513821293936534</v>
      </c>
      <c r="H2151" s="20" t="n">
        <f aca="false">IF(G2151&gt;=1,G2151,0)</f>
        <v>0</v>
      </c>
      <c r="I2151" s="5" t="s">
        <v>939</v>
      </c>
      <c r="J2151" s="5" t="s">
        <v>2745</v>
      </c>
    </row>
    <row r="2152" customFormat="false" ht="15" hidden="false" customHeight="false" outlineLevel="0" collapsed="false">
      <c r="A2152" s="5" t="s">
        <v>231</v>
      </c>
      <c r="B2152" s="5" t="s">
        <v>169</v>
      </c>
      <c r="C2152" s="5" t="n">
        <v>20</v>
      </c>
      <c r="D2152" s="5" t="s">
        <v>946</v>
      </c>
      <c r="E2152" s="5" t="n">
        <v>4</v>
      </c>
      <c r="F2152" s="20" t="n">
        <v>8.92553138035621</v>
      </c>
      <c r="G2152" s="20" t="n">
        <f aca="false">9-F2152</f>
        <v>0.0744686196437883</v>
      </c>
      <c r="H2152" s="20" t="n">
        <f aca="false">IF(G2152&gt;=1,G2152,0)</f>
        <v>0</v>
      </c>
      <c r="I2152" s="5" t="s">
        <v>774</v>
      </c>
      <c r="J2152" s="5" t="s">
        <v>2746</v>
      </c>
    </row>
    <row r="2153" customFormat="false" ht="15" hidden="false" customHeight="false" outlineLevel="0" collapsed="false">
      <c r="A2153" s="5" t="s">
        <v>231</v>
      </c>
      <c r="B2153" s="5" t="s">
        <v>169</v>
      </c>
      <c r="C2153" s="5" t="n">
        <v>21</v>
      </c>
      <c r="D2153" s="5" t="s">
        <v>946</v>
      </c>
      <c r="E2153" s="5" t="n">
        <v>4</v>
      </c>
      <c r="F2153" s="20" t="n">
        <v>8.92553138035621</v>
      </c>
      <c r="G2153" s="20" t="n">
        <f aca="false">9-F2153</f>
        <v>0.0744686196437918</v>
      </c>
      <c r="H2153" s="20" t="n">
        <f aca="false">IF(G2153&gt;=1,G2153,0)</f>
        <v>0</v>
      </c>
      <c r="I2153" s="5" t="s">
        <v>774</v>
      </c>
      <c r="J2153" s="5" t="s">
        <v>2747</v>
      </c>
    </row>
    <row r="2154" customFormat="false" ht="15" hidden="false" customHeight="false" outlineLevel="0" collapsed="false">
      <c r="A2154" s="5" t="s">
        <v>231</v>
      </c>
      <c r="B2154" s="5" t="s">
        <v>169</v>
      </c>
      <c r="C2154" s="5" t="n">
        <v>22</v>
      </c>
      <c r="D2154" s="5" t="s">
        <v>1632</v>
      </c>
      <c r="E2154" s="5" t="n">
        <v>4</v>
      </c>
      <c r="F2154" s="20" t="n">
        <v>8.7927656901781</v>
      </c>
      <c r="G2154" s="20" t="n">
        <f aca="false">9-F2154</f>
        <v>0.207234309821896</v>
      </c>
      <c r="H2154" s="20" t="n">
        <f aca="false">IF(G2154&gt;=1,G2154,0)</f>
        <v>0</v>
      </c>
      <c r="I2154" s="5" t="s">
        <v>952</v>
      </c>
      <c r="J2154" s="5" t="s">
        <v>2748</v>
      </c>
    </row>
    <row r="2155" customFormat="false" ht="15" hidden="false" customHeight="false" outlineLevel="0" collapsed="false">
      <c r="A2155" s="5" t="s">
        <v>231</v>
      </c>
      <c r="B2155" s="5" t="s">
        <v>169</v>
      </c>
      <c r="C2155" s="5" t="n">
        <v>23</v>
      </c>
      <c r="D2155" s="5" t="s">
        <v>954</v>
      </c>
      <c r="E2155" s="5" t="n">
        <v>4</v>
      </c>
      <c r="F2155" s="20" t="n">
        <v>8.66</v>
      </c>
      <c r="G2155" s="20" t="n">
        <f aca="false">9-F2155</f>
        <v>0.339999999999996</v>
      </c>
      <c r="H2155" s="20" t="n">
        <f aca="false">IF(G2155&gt;=1,G2155,0)</f>
        <v>0</v>
      </c>
      <c r="I2155" s="5" t="s">
        <v>77</v>
      </c>
      <c r="J2155" s="5" t="s">
        <v>2749</v>
      </c>
    </row>
    <row r="2156" customFormat="false" ht="15" hidden="false" customHeight="false" outlineLevel="0" collapsed="false">
      <c r="A2156" s="5" t="s">
        <v>231</v>
      </c>
      <c r="B2156" s="5" t="s">
        <v>169</v>
      </c>
      <c r="C2156" s="5" t="n">
        <v>24</v>
      </c>
      <c r="D2156" s="5" t="s">
        <v>954</v>
      </c>
      <c r="E2156" s="5" t="n">
        <v>4</v>
      </c>
      <c r="F2156" s="20" t="n">
        <v>8.66</v>
      </c>
      <c r="G2156" s="20" t="n">
        <f aca="false">9-F2156</f>
        <v>0.34</v>
      </c>
      <c r="H2156" s="20" t="n">
        <f aca="false">IF(G2156&gt;=1,G2156,0)</f>
        <v>0</v>
      </c>
      <c r="I2156" s="5" t="s">
        <v>77</v>
      </c>
      <c r="J2156" s="5" t="s">
        <v>2750</v>
      </c>
    </row>
    <row r="2157" customFormat="false" ht="15" hidden="false" customHeight="false" outlineLevel="0" collapsed="false">
      <c r="A2157" s="5" t="s">
        <v>231</v>
      </c>
      <c r="B2157" s="5" t="s">
        <v>169</v>
      </c>
      <c r="C2157" s="5" t="n">
        <v>25</v>
      </c>
      <c r="D2157" s="5" t="s">
        <v>2198</v>
      </c>
      <c r="E2157" s="5" t="n">
        <v>5</v>
      </c>
      <c r="F2157" s="20" t="n">
        <v>8.88530445277352</v>
      </c>
      <c r="G2157" s="20" t="n">
        <f aca="false">9-F2157</f>
        <v>0.114695547226479</v>
      </c>
      <c r="H2157" s="20" t="n">
        <f aca="false">IF(G2157&gt;=1,G2157,0)</f>
        <v>0</v>
      </c>
      <c r="I2157" s="5" t="s">
        <v>939</v>
      </c>
      <c r="J2157" s="5" t="s">
        <v>2751</v>
      </c>
    </row>
    <row r="2158" customFormat="false" ht="15" hidden="false" customHeight="false" outlineLevel="0" collapsed="false">
      <c r="A2158" s="5" t="s">
        <v>231</v>
      </c>
      <c r="B2158" s="5" t="s">
        <v>169</v>
      </c>
      <c r="C2158" s="5" t="n">
        <v>26</v>
      </c>
      <c r="D2158" s="5" t="s">
        <v>959</v>
      </c>
      <c r="E2158" s="5" t="n">
        <v>5</v>
      </c>
      <c r="F2158" s="20" t="n">
        <v>8.71807014295163</v>
      </c>
      <c r="G2158" s="20" t="n">
        <f aca="false">9-F2158</f>
        <v>0.281929857048368</v>
      </c>
      <c r="H2158" s="20" t="n">
        <f aca="false">IF(G2158&gt;=1,G2158,0)</f>
        <v>0</v>
      </c>
      <c r="I2158" s="5" t="s">
        <v>960</v>
      </c>
      <c r="J2158" s="5" t="s">
        <v>2752</v>
      </c>
    </row>
    <row r="2159" customFormat="false" ht="15" hidden="false" customHeight="false" outlineLevel="0" collapsed="false">
      <c r="A2159" s="5" t="s">
        <v>231</v>
      </c>
      <c r="B2159" s="5" t="s">
        <v>169</v>
      </c>
      <c r="C2159" s="5" t="n">
        <v>27</v>
      </c>
      <c r="D2159" s="5" t="s">
        <v>2201</v>
      </c>
      <c r="E2159" s="5" t="n">
        <v>5</v>
      </c>
      <c r="F2159" s="20" t="n">
        <v>8.89847945277352</v>
      </c>
      <c r="G2159" s="20" t="n">
        <f aca="false">9-F2159</f>
        <v>0.101520547226476</v>
      </c>
      <c r="H2159" s="20" t="n">
        <f aca="false">IF(G2159&gt;=1,G2159,0)</f>
        <v>0</v>
      </c>
      <c r="I2159" s="5" t="s">
        <v>960</v>
      </c>
      <c r="J2159" s="5" t="s">
        <v>2753</v>
      </c>
    </row>
    <row r="2160" customFormat="false" ht="15" hidden="false" customHeight="false" outlineLevel="0" collapsed="false">
      <c r="A2160" s="5" t="s">
        <v>231</v>
      </c>
      <c r="B2160" s="5" t="s">
        <v>169</v>
      </c>
      <c r="C2160" s="5" t="n">
        <v>28</v>
      </c>
      <c r="D2160" s="5" t="s">
        <v>964</v>
      </c>
      <c r="E2160" s="5" t="n">
        <v>5</v>
      </c>
      <c r="F2160" s="20" t="n">
        <v>8.77571376259542</v>
      </c>
      <c r="G2160" s="20" t="n">
        <f aca="false">9-F2160</f>
        <v>0.224286237404582</v>
      </c>
      <c r="H2160" s="20" t="n">
        <f aca="false">IF(G2160&gt;=1,G2160,0)</f>
        <v>0</v>
      </c>
      <c r="I2160" s="5" t="s">
        <v>960</v>
      </c>
      <c r="J2160" s="5" t="s">
        <v>2754</v>
      </c>
    </row>
    <row r="2161" customFormat="false" ht="15" hidden="false" customHeight="false" outlineLevel="0" collapsed="false">
      <c r="A2161" s="5" t="s">
        <v>231</v>
      </c>
      <c r="B2161" s="5" t="s">
        <v>169</v>
      </c>
      <c r="C2161" s="5" t="n">
        <v>29</v>
      </c>
      <c r="D2161" s="5" t="s">
        <v>964</v>
      </c>
      <c r="E2161" s="5" t="n">
        <v>5</v>
      </c>
      <c r="F2161" s="20" t="n">
        <v>8.77571376259542</v>
      </c>
      <c r="G2161" s="20" t="n">
        <f aca="false">9-F2161</f>
        <v>0.224286237404584</v>
      </c>
      <c r="H2161" s="20" t="n">
        <f aca="false">IF(G2161&gt;=1,G2161,0)</f>
        <v>0</v>
      </c>
      <c r="I2161" s="5" t="s">
        <v>960</v>
      </c>
      <c r="J2161" s="5" t="s">
        <v>2755</v>
      </c>
    </row>
    <row r="2162" customFormat="false" ht="15" hidden="false" customHeight="false" outlineLevel="0" collapsed="false">
      <c r="A2162" s="5" t="s">
        <v>231</v>
      </c>
      <c r="B2162" s="5" t="s">
        <v>169</v>
      </c>
      <c r="C2162" s="5" t="n">
        <v>30</v>
      </c>
      <c r="D2162" s="5" t="s">
        <v>964</v>
      </c>
      <c r="E2162" s="5" t="n">
        <v>5</v>
      </c>
      <c r="F2162" s="20" t="n">
        <v>8.77571376259541</v>
      </c>
      <c r="G2162" s="20" t="n">
        <f aca="false">9-F2162</f>
        <v>0.224286237404586</v>
      </c>
      <c r="H2162" s="20" t="n">
        <f aca="false">IF(G2162&gt;=1,G2162,0)</f>
        <v>0</v>
      </c>
      <c r="I2162" s="5" t="s">
        <v>960</v>
      </c>
      <c r="J2162" s="5" t="s">
        <v>2756</v>
      </c>
    </row>
    <row r="2163" customFormat="false" ht="15" hidden="false" customHeight="false" outlineLevel="0" collapsed="false">
      <c r="A2163" s="5" t="s">
        <v>231</v>
      </c>
      <c r="B2163" s="5" t="s">
        <v>169</v>
      </c>
      <c r="C2163" s="5" t="n">
        <v>31</v>
      </c>
      <c r="D2163" s="5" t="s">
        <v>964</v>
      </c>
      <c r="E2163" s="5" t="n">
        <v>5</v>
      </c>
      <c r="F2163" s="20" t="n">
        <v>8.77571376259541</v>
      </c>
      <c r="G2163" s="20" t="n">
        <f aca="false">9-F2163</f>
        <v>0.22428623740459</v>
      </c>
      <c r="H2163" s="20" t="n">
        <f aca="false">IF(G2163&gt;=1,G2163,0)</f>
        <v>0</v>
      </c>
      <c r="I2163" s="5" t="s">
        <v>960</v>
      </c>
      <c r="J2163" s="5" t="s">
        <v>2757</v>
      </c>
    </row>
    <row r="2164" customFormat="false" ht="15" hidden="false" customHeight="false" outlineLevel="0" collapsed="false">
      <c r="A2164" s="5" t="s">
        <v>231</v>
      </c>
      <c r="B2164" s="5" t="s">
        <v>169</v>
      </c>
      <c r="C2164" s="5" t="n">
        <v>32</v>
      </c>
      <c r="D2164" s="5" t="s">
        <v>964</v>
      </c>
      <c r="E2164" s="5" t="n">
        <v>5</v>
      </c>
      <c r="F2164" s="20" t="n">
        <v>8.77571376259541</v>
      </c>
      <c r="G2164" s="20" t="n">
        <f aca="false">9-F2164</f>
        <v>0.224286237404591</v>
      </c>
      <c r="H2164" s="20" t="n">
        <f aca="false">IF(G2164&gt;=1,G2164,0)</f>
        <v>0</v>
      </c>
      <c r="I2164" s="5" t="s">
        <v>960</v>
      </c>
      <c r="J2164" s="5" t="s">
        <v>2758</v>
      </c>
    </row>
    <row r="2165" customFormat="false" ht="15" hidden="false" customHeight="false" outlineLevel="0" collapsed="false">
      <c r="A2165" s="5" t="s">
        <v>231</v>
      </c>
      <c r="B2165" s="5" t="s">
        <v>169</v>
      </c>
      <c r="C2165" s="5" t="n">
        <v>33</v>
      </c>
      <c r="D2165" s="5" t="s">
        <v>2208</v>
      </c>
      <c r="E2165" s="5" t="n">
        <v>5</v>
      </c>
      <c r="F2165" s="20" t="n">
        <v>8.94740505038166</v>
      </c>
      <c r="G2165" s="20" t="n">
        <f aca="false">9-F2165</f>
        <v>0.0525949496183387</v>
      </c>
      <c r="H2165" s="20" t="n">
        <f aca="false">IF(G2165&gt;=1,G2165,0)</f>
        <v>0</v>
      </c>
      <c r="I2165" s="5" t="s">
        <v>2209</v>
      </c>
      <c r="J2165" s="5" t="s">
        <v>2759</v>
      </c>
    </row>
    <row r="2166" customFormat="false" ht="15" hidden="false" customHeight="false" outlineLevel="0" collapsed="false">
      <c r="A2166" s="5" t="s">
        <v>231</v>
      </c>
      <c r="B2166" s="5" t="s">
        <v>169</v>
      </c>
      <c r="C2166" s="5" t="n">
        <v>34</v>
      </c>
      <c r="D2166" s="5" t="s">
        <v>611</v>
      </c>
      <c r="E2166" s="5" t="n">
        <v>6</v>
      </c>
      <c r="F2166" s="20" t="n">
        <v>8.78922638854954</v>
      </c>
      <c r="G2166" s="20" t="n">
        <f aca="false">9-F2166</f>
        <v>0.21077361145046</v>
      </c>
      <c r="H2166" s="20" t="n">
        <f aca="false">IF(G2166&gt;=1,G2166,0)</f>
        <v>0</v>
      </c>
      <c r="I2166" s="5" t="s">
        <v>74</v>
      </c>
      <c r="J2166" s="5" t="s">
        <v>2760</v>
      </c>
    </row>
    <row r="2167" customFormat="false" ht="15" hidden="false" customHeight="false" outlineLevel="0" collapsed="false">
      <c r="A2167" s="5" t="s">
        <v>231</v>
      </c>
      <c r="B2167" s="5" t="s">
        <v>169</v>
      </c>
      <c r="C2167" s="5" t="n">
        <v>35</v>
      </c>
      <c r="D2167" s="5" t="s">
        <v>611</v>
      </c>
      <c r="E2167" s="5" t="n">
        <v>6</v>
      </c>
      <c r="F2167" s="20" t="n">
        <v>8.78922638854954</v>
      </c>
      <c r="G2167" s="20" t="n">
        <f aca="false">9-F2167</f>
        <v>0.21077361145046</v>
      </c>
      <c r="H2167" s="20" t="n">
        <f aca="false">IF(G2167&gt;=1,G2167,0)</f>
        <v>0</v>
      </c>
      <c r="I2167" s="5" t="s">
        <v>74</v>
      </c>
      <c r="J2167" s="5" t="s">
        <v>2761</v>
      </c>
    </row>
    <row r="2168" customFormat="false" ht="15" hidden="false" customHeight="false" outlineLevel="0" collapsed="false">
      <c r="A2168" s="5" t="s">
        <v>231</v>
      </c>
      <c r="B2168" s="5" t="s">
        <v>169</v>
      </c>
      <c r="C2168" s="5" t="n">
        <v>36</v>
      </c>
      <c r="D2168" s="5" t="s">
        <v>611</v>
      </c>
      <c r="E2168" s="5" t="n">
        <v>6</v>
      </c>
      <c r="F2168" s="20" t="n">
        <v>8.78922638854954</v>
      </c>
      <c r="G2168" s="20" t="n">
        <f aca="false">9-F2168</f>
        <v>0.21077361145046</v>
      </c>
      <c r="H2168" s="20" t="n">
        <f aca="false">IF(G2168&gt;=1,G2168,0)</f>
        <v>0</v>
      </c>
      <c r="I2168" s="5" t="s">
        <v>74</v>
      </c>
      <c r="J2168" s="5" t="s">
        <v>2762</v>
      </c>
    </row>
    <row r="2169" customFormat="false" ht="15" hidden="false" customHeight="false" outlineLevel="0" collapsed="false">
      <c r="A2169" s="5" t="s">
        <v>231</v>
      </c>
      <c r="B2169" s="5" t="s">
        <v>169</v>
      </c>
      <c r="C2169" s="5" t="n">
        <v>37</v>
      </c>
      <c r="D2169" s="5" t="s">
        <v>611</v>
      </c>
      <c r="E2169" s="5" t="n">
        <v>6</v>
      </c>
      <c r="F2169" s="20" t="n">
        <v>8.78922638854954</v>
      </c>
      <c r="G2169" s="20" t="n">
        <f aca="false">9-F2169</f>
        <v>0.21077361145046</v>
      </c>
      <c r="H2169" s="20" t="n">
        <f aca="false">IF(G2169&gt;=1,G2169,0)</f>
        <v>0</v>
      </c>
      <c r="I2169" s="5" t="s">
        <v>74</v>
      </c>
      <c r="J2169" s="5" t="s">
        <v>2763</v>
      </c>
    </row>
    <row r="2170" customFormat="false" ht="15" hidden="false" customHeight="false" outlineLevel="0" collapsed="false">
      <c r="A2170" s="5" t="s">
        <v>231</v>
      </c>
      <c r="B2170" s="5" t="s">
        <v>169</v>
      </c>
      <c r="C2170" s="5" t="n">
        <v>38</v>
      </c>
      <c r="D2170" s="5" t="s">
        <v>611</v>
      </c>
      <c r="E2170" s="5" t="n">
        <v>6</v>
      </c>
      <c r="F2170" s="20" t="n">
        <v>8.78922638854953</v>
      </c>
      <c r="G2170" s="20" t="n">
        <f aca="false">9-F2170</f>
        <v>0.210773611450469</v>
      </c>
      <c r="H2170" s="20" t="n">
        <f aca="false">IF(G2170&gt;=1,G2170,0)</f>
        <v>0</v>
      </c>
      <c r="I2170" s="5" t="s">
        <v>74</v>
      </c>
      <c r="J2170" s="5" t="s">
        <v>2764</v>
      </c>
    </row>
    <row r="2171" customFormat="false" ht="15" hidden="false" customHeight="false" outlineLevel="0" collapsed="false">
      <c r="A2171" s="5" t="s">
        <v>231</v>
      </c>
      <c r="B2171" s="5" t="s">
        <v>169</v>
      </c>
      <c r="C2171" s="5" t="n">
        <v>39</v>
      </c>
      <c r="D2171" s="5" t="s">
        <v>611</v>
      </c>
      <c r="E2171" s="5" t="n">
        <v>6</v>
      </c>
      <c r="F2171" s="20" t="n">
        <v>8.78922638854953</v>
      </c>
      <c r="G2171" s="20" t="n">
        <f aca="false">9-F2171</f>
        <v>0.210773611450474</v>
      </c>
      <c r="H2171" s="20" t="n">
        <f aca="false">IF(G2171&gt;=1,G2171,0)</f>
        <v>0</v>
      </c>
      <c r="I2171" s="5" t="s">
        <v>74</v>
      </c>
      <c r="J2171" s="5" t="s">
        <v>2765</v>
      </c>
    </row>
    <row r="2172" customFormat="false" ht="15" hidden="false" customHeight="false" outlineLevel="0" collapsed="false">
      <c r="A2172" s="5" t="s">
        <v>231</v>
      </c>
      <c r="B2172" s="5" t="s">
        <v>169</v>
      </c>
      <c r="C2172" s="5" t="n">
        <v>40</v>
      </c>
      <c r="D2172" s="5" t="s">
        <v>611</v>
      </c>
      <c r="E2172" s="5" t="n">
        <v>6</v>
      </c>
      <c r="F2172" s="20" t="n">
        <v>8.78922638854953</v>
      </c>
      <c r="G2172" s="20" t="n">
        <f aca="false">9-F2172</f>
        <v>0.210773611450474</v>
      </c>
      <c r="H2172" s="20" t="n">
        <f aca="false">IF(G2172&gt;=1,G2172,0)</f>
        <v>0</v>
      </c>
      <c r="I2172" s="5" t="s">
        <v>74</v>
      </c>
      <c r="J2172" s="5" t="s">
        <v>2766</v>
      </c>
    </row>
    <row r="2173" customFormat="false" ht="15" hidden="false" customHeight="false" outlineLevel="0" collapsed="false">
      <c r="A2173" s="5" t="s">
        <v>231</v>
      </c>
      <c r="B2173" s="5" t="s">
        <v>169</v>
      </c>
      <c r="C2173" s="5" t="n">
        <v>41</v>
      </c>
      <c r="D2173" s="5" t="s">
        <v>611</v>
      </c>
      <c r="E2173" s="5" t="n">
        <v>6</v>
      </c>
      <c r="F2173" s="20" t="n">
        <v>8.78922638854953</v>
      </c>
      <c r="G2173" s="20" t="n">
        <f aca="false">9-F2173</f>
        <v>0.210773611450474</v>
      </c>
      <c r="H2173" s="20" t="n">
        <f aca="false">IF(G2173&gt;=1,G2173,0)</f>
        <v>0</v>
      </c>
      <c r="I2173" s="5" t="s">
        <v>74</v>
      </c>
      <c r="J2173" s="5" t="s">
        <v>2767</v>
      </c>
    </row>
    <row r="2174" customFormat="false" ht="15" hidden="false" customHeight="false" outlineLevel="0" collapsed="false">
      <c r="A2174" s="5" t="s">
        <v>231</v>
      </c>
      <c r="B2174" s="5" t="s">
        <v>169</v>
      </c>
      <c r="C2174" s="5" t="n">
        <v>42</v>
      </c>
      <c r="D2174" s="5" t="s">
        <v>611</v>
      </c>
      <c r="E2174" s="5" t="n">
        <v>6</v>
      </c>
      <c r="F2174" s="20" t="n">
        <v>8.78922638854953</v>
      </c>
      <c r="G2174" s="20" t="n">
        <f aca="false">9-F2174</f>
        <v>0.210773611450474</v>
      </c>
      <c r="H2174" s="20" t="n">
        <f aca="false">IF(G2174&gt;=1,G2174,0)</f>
        <v>0</v>
      </c>
      <c r="I2174" s="5" t="s">
        <v>74</v>
      </c>
      <c r="J2174" s="5" t="s">
        <v>2768</v>
      </c>
    </row>
    <row r="2175" customFormat="false" ht="15" hidden="false" customHeight="false" outlineLevel="0" collapsed="false">
      <c r="A2175" s="5" t="s">
        <v>231</v>
      </c>
      <c r="B2175" s="5" t="s">
        <v>169</v>
      </c>
      <c r="C2175" s="5" t="n">
        <v>43</v>
      </c>
      <c r="D2175" s="5" t="s">
        <v>611</v>
      </c>
      <c r="E2175" s="5" t="n">
        <v>6</v>
      </c>
      <c r="F2175" s="20" t="n">
        <v>8.78922638854953</v>
      </c>
      <c r="G2175" s="20" t="n">
        <f aca="false">9-F2175</f>
        <v>0.210773611450474</v>
      </c>
      <c r="H2175" s="20" t="n">
        <f aca="false">IF(G2175&gt;=1,G2175,0)</f>
        <v>0</v>
      </c>
      <c r="I2175" s="5" t="s">
        <v>74</v>
      </c>
      <c r="J2175" s="5" t="s">
        <v>2769</v>
      </c>
    </row>
    <row r="2176" customFormat="false" ht="15" hidden="false" customHeight="false" outlineLevel="0" collapsed="false">
      <c r="A2176" s="5" t="s">
        <v>231</v>
      </c>
      <c r="B2176" s="5" t="s">
        <v>169</v>
      </c>
      <c r="C2176" s="5" t="n">
        <v>44</v>
      </c>
      <c r="D2176" s="5" t="s">
        <v>611</v>
      </c>
      <c r="E2176" s="5" t="n">
        <v>6</v>
      </c>
      <c r="F2176" s="20" t="n">
        <v>8.78922638854953</v>
      </c>
      <c r="G2176" s="20" t="n">
        <f aca="false">9-F2176</f>
        <v>0.210773611450474</v>
      </c>
      <c r="H2176" s="20" t="n">
        <f aca="false">IF(G2176&gt;=1,G2176,0)</f>
        <v>0</v>
      </c>
      <c r="I2176" s="5" t="s">
        <v>74</v>
      </c>
      <c r="J2176" s="5" t="s">
        <v>2770</v>
      </c>
    </row>
    <row r="2177" customFormat="false" ht="15" hidden="false" customHeight="false" outlineLevel="0" collapsed="false">
      <c r="A2177" s="5" t="s">
        <v>231</v>
      </c>
      <c r="B2177" s="5" t="s">
        <v>169</v>
      </c>
      <c r="C2177" s="5" t="n">
        <v>45</v>
      </c>
      <c r="D2177" s="5" t="s">
        <v>611</v>
      </c>
      <c r="E2177" s="5" t="n">
        <v>6</v>
      </c>
      <c r="F2177" s="20" t="n">
        <v>8.78922638854953</v>
      </c>
      <c r="G2177" s="20" t="n">
        <f aca="false">9-F2177</f>
        <v>0.210773611450474</v>
      </c>
      <c r="H2177" s="20" t="n">
        <f aca="false">IF(G2177&gt;=1,G2177,0)</f>
        <v>0</v>
      </c>
      <c r="I2177" s="5" t="s">
        <v>74</v>
      </c>
      <c r="J2177" s="5" t="s">
        <v>2771</v>
      </c>
    </row>
    <row r="2178" customFormat="false" ht="15" hidden="false" customHeight="false" outlineLevel="0" collapsed="false">
      <c r="A2178" s="5" t="s">
        <v>231</v>
      </c>
      <c r="B2178" s="5" t="s">
        <v>169</v>
      </c>
      <c r="C2178" s="5" t="n">
        <v>46</v>
      </c>
      <c r="D2178" s="5" t="s">
        <v>611</v>
      </c>
      <c r="E2178" s="5" t="n">
        <v>6</v>
      </c>
      <c r="F2178" s="20" t="n">
        <v>8.78922638854953</v>
      </c>
      <c r="G2178" s="20" t="n">
        <f aca="false">9-F2178</f>
        <v>0.210773611450474</v>
      </c>
      <c r="H2178" s="20" t="n">
        <f aca="false">IF(G2178&gt;=1,G2178,0)</f>
        <v>0</v>
      </c>
      <c r="I2178" s="5" t="s">
        <v>74</v>
      </c>
      <c r="J2178" s="5" t="s">
        <v>2772</v>
      </c>
    </row>
    <row r="2179" customFormat="false" ht="15" hidden="false" customHeight="false" outlineLevel="0" collapsed="false">
      <c r="A2179" s="5" t="s">
        <v>231</v>
      </c>
      <c r="B2179" s="5" t="s">
        <v>169</v>
      </c>
      <c r="C2179" s="5" t="n">
        <v>47</v>
      </c>
      <c r="D2179" s="5" t="s">
        <v>611</v>
      </c>
      <c r="E2179" s="5" t="n">
        <v>6</v>
      </c>
      <c r="F2179" s="20" t="n">
        <v>8.78922638854952</v>
      </c>
      <c r="G2179" s="20" t="n">
        <f aca="false">9-F2179</f>
        <v>0.210773611450477</v>
      </c>
      <c r="H2179" s="20" t="n">
        <f aca="false">IF(G2179&gt;=1,G2179,0)</f>
        <v>0</v>
      </c>
      <c r="I2179" s="5" t="s">
        <v>74</v>
      </c>
      <c r="J2179" s="5" t="s">
        <v>2773</v>
      </c>
    </row>
    <row r="2180" customFormat="false" ht="15" hidden="false" customHeight="false" outlineLevel="0" collapsed="false">
      <c r="A2180" s="5" t="s">
        <v>231</v>
      </c>
      <c r="B2180" s="5" t="s">
        <v>169</v>
      </c>
      <c r="C2180" s="5" t="n">
        <v>48</v>
      </c>
      <c r="D2180" s="5" t="s">
        <v>611</v>
      </c>
      <c r="E2180" s="5" t="n">
        <v>6</v>
      </c>
      <c r="F2180" s="20" t="n">
        <v>8.78922638854952</v>
      </c>
      <c r="G2180" s="20" t="n">
        <f aca="false">9-F2180</f>
        <v>0.210773611450483</v>
      </c>
      <c r="H2180" s="20" t="n">
        <f aca="false">IF(G2180&gt;=1,G2180,0)</f>
        <v>0</v>
      </c>
      <c r="I2180" s="5" t="s">
        <v>74</v>
      </c>
      <c r="J2180" s="5" t="s">
        <v>2774</v>
      </c>
    </row>
    <row r="2181" customFormat="false" ht="15" hidden="false" customHeight="false" outlineLevel="0" collapsed="false">
      <c r="A2181" s="5" t="s">
        <v>231</v>
      </c>
      <c r="B2181" s="5" t="s">
        <v>169</v>
      </c>
      <c r="C2181" s="5" t="n">
        <v>49</v>
      </c>
      <c r="D2181" s="5" t="s">
        <v>611</v>
      </c>
      <c r="E2181" s="5" t="n">
        <v>6</v>
      </c>
      <c r="F2181" s="20" t="n">
        <v>8.78922638854952</v>
      </c>
      <c r="G2181" s="20" t="n">
        <f aca="false">9-F2181</f>
        <v>0.210773611450483</v>
      </c>
      <c r="H2181" s="20" t="n">
        <f aca="false">IF(G2181&gt;=1,G2181,0)</f>
        <v>0</v>
      </c>
      <c r="I2181" s="5" t="s">
        <v>74</v>
      </c>
      <c r="J2181" s="5" t="s">
        <v>2775</v>
      </c>
    </row>
    <row r="2182" customFormat="false" ht="15" hidden="false" customHeight="false" outlineLevel="0" collapsed="false">
      <c r="A2182" s="5" t="s">
        <v>231</v>
      </c>
      <c r="B2182" s="5" t="s">
        <v>169</v>
      </c>
      <c r="C2182" s="5" t="n">
        <v>50</v>
      </c>
      <c r="D2182" s="5" t="s">
        <v>611</v>
      </c>
      <c r="E2182" s="5" t="n">
        <v>6</v>
      </c>
      <c r="F2182" s="20" t="n">
        <v>8.78922638854952</v>
      </c>
      <c r="G2182" s="20" t="n">
        <f aca="false">9-F2182</f>
        <v>0.210773611450483</v>
      </c>
      <c r="H2182" s="20" t="n">
        <f aca="false">IF(G2182&gt;=1,G2182,0)</f>
        <v>0</v>
      </c>
      <c r="I2182" s="5" t="s">
        <v>74</v>
      </c>
      <c r="J2182" s="5" t="s">
        <v>2776</v>
      </c>
    </row>
    <row r="2183" customFormat="false" ht="15" hidden="false" customHeight="false" outlineLevel="0" collapsed="false">
      <c r="A2183" s="5" t="s">
        <v>231</v>
      </c>
      <c r="B2183" s="5" t="s">
        <v>169</v>
      </c>
      <c r="C2183" s="5" t="n">
        <v>51</v>
      </c>
      <c r="D2183" s="5" t="s">
        <v>611</v>
      </c>
      <c r="E2183" s="5" t="n">
        <v>6</v>
      </c>
      <c r="F2183" s="20" t="n">
        <v>8.78922638854952</v>
      </c>
      <c r="G2183" s="20" t="n">
        <f aca="false">9-F2183</f>
        <v>0.210773611450483</v>
      </c>
      <c r="H2183" s="20" t="n">
        <f aca="false">IF(G2183&gt;=1,G2183,0)</f>
        <v>0</v>
      </c>
      <c r="I2183" s="5" t="s">
        <v>74</v>
      </c>
      <c r="J2183" s="5" t="s">
        <v>2777</v>
      </c>
    </row>
    <row r="2184" customFormat="false" ht="15" hidden="false" customHeight="false" outlineLevel="0" collapsed="false">
      <c r="A2184" s="5" t="s">
        <v>231</v>
      </c>
      <c r="B2184" s="5" t="s">
        <v>169</v>
      </c>
      <c r="C2184" s="5" t="n">
        <v>52</v>
      </c>
      <c r="D2184" s="5" t="s">
        <v>611</v>
      </c>
      <c r="E2184" s="5" t="n">
        <v>6</v>
      </c>
      <c r="F2184" s="20" t="n">
        <v>8.78922638854952</v>
      </c>
      <c r="G2184" s="20" t="n">
        <f aca="false">9-F2184</f>
        <v>0.210773611450483</v>
      </c>
      <c r="H2184" s="20" t="n">
        <f aca="false">IF(G2184&gt;=1,G2184,0)</f>
        <v>0</v>
      </c>
      <c r="I2184" s="5" t="s">
        <v>74</v>
      </c>
      <c r="J2184" s="5" t="s">
        <v>2778</v>
      </c>
    </row>
    <row r="2185" customFormat="false" ht="15" hidden="false" customHeight="false" outlineLevel="0" collapsed="false">
      <c r="A2185" s="5" t="s">
        <v>231</v>
      </c>
      <c r="B2185" s="5" t="s">
        <v>169</v>
      </c>
      <c r="C2185" s="5" t="n">
        <v>53</v>
      </c>
      <c r="D2185" s="5" t="s">
        <v>611</v>
      </c>
      <c r="E2185" s="5" t="n">
        <v>6</v>
      </c>
      <c r="F2185" s="20" t="n">
        <v>8.78922638854952</v>
      </c>
      <c r="G2185" s="20" t="n">
        <f aca="false">9-F2185</f>
        <v>0.210773611450483</v>
      </c>
      <c r="H2185" s="20" t="n">
        <f aca="false">IF(G2185&gt;=1,G2185,0)</f>
        <v>0</v>
      </c>
      <c r="I2185" s="5" t="s">
        <v>74</v>
      </c>
      <c r="J2185" s="5" t="s">
        <v>2779</v>
      </c>
    </row>
    <row r="2186" customFormat="false" ht="15" hidden="false" customHeight="false" outlineLevel="0" collapsed="false">
      <c r="A2186" s="5" t="s">
        <v>231</v>
      </c>
      <c r="B2186" s="5" t="s">
        <v>169</v>
      </c>
      <c r="C2186" s="5" t="n">
        <v>54</v>
      </c>
      <c r="D2186" s="5" t="s">
        <v>611</v>
      </c>
      <c r="E2186" s="5" t="n">
        <v>6</v>
      </c>
      <c r="F2186" s="20" t="n">
        <v>8.78922638854952</v>
      </c>
      <c r="G2186" s="20" t="n">
        <f aca="false">9-F2186</f>
        <v>0.210773611450483</v>
      </c>
      <c r="H2186" s="20" t="n">
        <f aca="false">IF(G2186&gt;=1,G2186,0)</f>
        <v>0</v>
      </c>
      <c r="I2186" s="5" t="s">
        <v>74</v>
      </c>
      <c r="J2186" s="5" t="s">
        <v>2780</v>
      </c>
    </row>
    <row r="2187" customFormat="false" ht="15" hidden="false" customHeight="false" outlineLevel="0" collapsed="false">
      <c r="A2187" s="5" t="s">
        <v>231</v>
      </c>
      <c r="B2187" s="5" t="s">
        <v>169</v>
      </c>
      <c r="C2187" s="5" t="n">
        <v>55</v>
      </c>
      <c r="D2187" s="5" t="s">
        <v>611</v>
      </c>
      <c r="E2187" s="5" t="n">
        <v>6</v>
      </c>
      <c r="F2187" s="20" t="n">
        <v>8.78922638854952</v>
      </c>
      <c r="G2187" s="20" t="n">
        <f aca="false">9-F2187</f>
        <v>0.210773611450483</v>
      </c>
      <c r="H2187" s="20" t="n">
        <f aca="false">IF(G2187&gt;=1,G2187,0)</f>
        <v>0</v>
      </c>
      <c r="I2187" s="5" t="s">
        <v>74</v>
      </c>
      <c r="J2187" s="5" t="s">
        <v>2781</v>
      </c>
    </row>
    <row r="2188" customFormat="false" ht="15" hidden="false" customHeight="false" outlineLevel="0" collapsed="false">
      <c r="A2188" s="5" t="s">
        <v>231</v>
      </c>
      <c r="B2188" s="5" t="s">
        <v>169</v>
      </c>
      <c r="C2188" s="5" t="n">
        <v>56</v>
      </c>
      <c r="D2188" s="5" t="s">
        <v>611</v>
      </c>
      <c r="E2188" s="5" t="n">
        <v>6</v>
      </c>
      <c r="F2188" s="20" t="n">
        <v>8.78922638854952</v>
      </c>
      <c r="G2188" s="20" t="n">
        <f aca="false">9-F2188</f>
        <v>0.210773611450483</v>
      </c>
      <c r="H2188" s="20" t="n">
        <f aca="false">IF(G2188&gt;=1,G2188,0)</f>
        <v>0</v>
      </c>
      <c r="I2188" s="5" t="s">
        <v>74</v>
      </c>
      <c r="J2188" s="5" t="s">
        <v>2782</v>
      </c>
    </row>
    <row r="2189" customFormat="false" ht="15" hidden="false" customHeight="false" outlineLevel="0" collapsed="false">
      <c r="A2189" s="5" t="s">
        <v>231</v>
      </c>
      <c r="B2189" s="5" t="s">
        <v>169</v>
      </c>
      <c r="C2189" s="5" t="n">
        <v>57</v>
      </c>
      <c r="D2189" s="5" t="s">
        <v>611</v>
      </c>
      <c r="E2189" s="5" t="n">
        <v>6</v>
      </c>
      <c r="F2189" s="20" t="n">
        <v>8.78922638854951</v>
      </c>
      <c r="G2189" s="20" t="n">
        <f aca="false">9-F2189</f>
        <v>0.210773611450486</v>
      </c>
      <c r="H2189" s="20" t="n">
        <f aca="false">IF(G2189&gt;=1,G2189,0)</f>
        <v>0</v>
      </c>
      <c r="I2189" s="5" t="s">
        <v>74</v>
      </c>
      <c r="J2189" s="5" t="s">
        <v>2783</v>
      </c>
    </row>
    <row r="2190" customFormat="false" ht="15" hidden="false" customHeight="false" outlineLevel="0" collapsed="false">
      <c r="A2190" s="5" t="s">
        <v>231</v>
      </c>
      <c r="B2190" s="5" t="s">
        <v>169</v>
      </c>
      <c r="C2190" s="5" t="n">
        <v>58</v>
      </c>
      <c r="D2190" s="5" t="s">
        <v>611</v>
      </c>
      <c r="E2190" s="5" t="n">
        <v>6</v>
      </c>
      <c r="F2190" s="20" t="n">
        <v>8.78922638854951</v>
      </c>
      <c r="G2190" s="20" t="n">
        <f aca="false">9-F2190</f>
        <v>0.210773611450486</v>
      </c>
      <c r="H2190" s="20" t="n">
        <f aca="false">IF(G2190&gt;=1,G2190,0)</f>
        <v>0</v>
      </c>
      <c r="I2190" s="5" t="s">
        <v>74</v>
      </c>
      <c r="J2190" s="5" t="s">
        <v>2784</v>
      </c>
    </row>
    <row r="2191" customFormat="false" ht="15" hidden="false" customHeight="false" outlineLevel="0" collapsed="false">
      <c r="A2191" s="5" t="s">
        <v>231</v>
      </c>
      <c r="B2191" s="5" t="s">
        <v>169</v>
      </c>
      <c r="C2191" s="5" t="n">
        <v>59</v>
      </c>
      <c r="D2191" s="5" t="s">
        <v>611</v>
      </c>
      <c r="E2191" s="5" t="n">
        <v>6</v>
      </c>
      <c r="F2191" s="20" t="n">
        <v>8.78922638854951</v>
      </c>
      <c r="G2191" s="20" t="n">
        <f aca="false">9-F2191</f>
        <v>0.210773611450486</v>
      </c>
      <c r="H2191" s="20" t="n">
        <f aca="false">IF(G2191&gt;=1,G2191,0)</f>
        <v>0</v>
      </c>
      <c r="I2191" s="5" t="s">
        <v>74</v>
      </c>
      <c r="J2191" s="5" t="s">
        <v>2785</v>
      </c>
    </row>
    <row r="2192" customFormat="false" ht="15" hidden="false" customHeight="false" outlineLevel="0" collapsed="false">
      <c r="A2192" s="5" t="s">
        <v>231</v>
      </c>
      <c r="B2192" s="5" t="s">
        <v>169</v>
      </c>
      <c r="C2192" s="5" t="n">
        <v>60</v>
      </c>
      <c r="D2192" s="5" t="s">
        <v>611</v>
      </c>
      <c r="E2192" s="5" t="n">
        <v>6</v>
      </c>
      <c r="F2192" s="20" t="n">
        <v>8.78922638854951</v>
      </c>
      <c r="G2192" s="20" t="n">
        <f aca="false">9-F2192</f>
        <v>0.210773611450486</v>
      </c>
      <c r="H2192" s="20" t="n">
        <f aca="false">IF(G2192&gt;=1,G2192,0)</f>
        <v>0</v>
      </c>
      <c r="I2192" s="5" t="s">
        <v>74</v>
      </c>
      <c r="J2192" s="5" t="s">
        <v>2786</v>
      </c>
    </row>
    <row r="2193" customFormat="false" ht="15" hidden="false" customHeight="false" outlineLevel="0" collapsed="false">
      <c r="A2193" s="5" t="s">
        <v>231</v>
      </c>
      <c r="B2193" s="5" t="s">
        <v>169</v>
      </c>
      <c r="C2193" s="5" t="n">
        <v>61</v>
      </c>
      <c r="D2193" s="5" t="s">
        <v>611</v>
      </c>
      <c r="E2193" s="5" t="n">
        <v>6</v>
      </c>
      <c r="F2193" s="20" t="n">
        <v>8.78922638854951</v>
      </c>
      <c r="G2193" s="20" t="n">
        <f aca="false">9-F2193</f>
        <v>0.210773611450492</v>
      </c>
      <c r="H2193" s="20" t="n">
        <f aca="false">IF(G2193&gt;=1,G2193,0)</f>
        <v>0</v>
      </c>
      <c r="I2193" s="5" t="s">
        <v>74</v>
      </c>
      <c r="J2193" s="5" t="s">
        <v>2787</v>
      </c>
    </row>
    <row r="2194" customFormat="false" ht="15" hidden="false" customHeight="false" outlineLevel="0" collapsed="false">
      <c r="A2194" s="5" t="s">
        <v>231</v>
      </c>
      <c r="B2194" s="5" t="s">
        <v>169</v>
      </c>
      <c r="C2194" s="5" t="n">
        <v>62</v>
      </c>
      <c r="D2194" s="5" t="s">
        <v>611</v>
      </c>
      <c r="E2194" s="5" t="n">
        <v>6</v>
      </c>
      <c r="F2194" s="20" t="n">
        <v>8.78922638854951</v>
      </c>
      <c r="G2194" s="20" t="n">
        <f aca="false">9-F2194</f>
        <v>0.210773611450495</v>
      </c>
      <c r="H2194" s="20" t="n">
        <f aca="false">IF(G2194&gt;=1,G2194,0)</f>
        <v>0</v>
      </c>
      <c r="I2194" s="5" t="s">
        <v>74</v>
      </c>
      <c r="J2194" s="5" t="s">
        <v>2788</v>
      </c>
    </row>
    <row r="2195" customFormat="false" ht="15" hidden="false" customHeight="false" outlineLevel="0" collapsed="false">
      <c r="A2195" s="5" t="s">
        <v>231</v>
      </c>
      <c r="B2195" s="5" t="s">
        <v>169</v>
      </c>
      <c r="C2195" s="5" t="n">
        <v>63</v>
      </c>
      <c r="D2195" s="5" t="s">
        <v>611</v>
      </c>
      <c r="E2195" s="5" t="n">
        <v>6</v>
      </c>
      <c r="F2195" s="20" t="n">
        <v>8.78922638854951</v>
      </c>
      <c r="G2195" s="20" t="n">
        <f aca="false">9-F2195</f>
        <v>0.210773611450495</v>
      </c>
      <c r="H2195" s="20" t="n">
        <f aca="false">IF(G2195&gt;=1,G2195,0)</f>
        <v>0</v>
      </c>
      <c r="I2195" s="5" t="s">
        <v>74</v>
      </c>
      <c r="J2195" s="5" t="s">
        <v>2789</v>
      </c>
    </row>
    <row r="2196" customFormat="false" ht="15" hidden="false" customHeight="false" outlineLevel="0" collapsed="false">
      <c r="A2196" s="5" t="s">
        <v>231</v>
      </c>
      <c r="B2196" s="5" t="s">
        <v>169</v>
      </c>
      <c r="C2196" s="5" t="n">
        <v>64</v>
      </c>
      <c r="D2196" s="5" t="s">
        <v>611</v>
      </c>
      <c r="E2196" s="5" t="n">
        <v>6</v>
      </c>
      <c r="F2196" s="20" t="n">
        <v>8.78922638854951</v>
      </c>
      <c r="G2196" s="20" t="n">
        <f aca="false">9-F2196</f>
        <v>0.210773611450495</v>
      </c>
      <c r="H2196" s="20" t="n">
        <f aca="false">IF(G2196&gt;=1,G2196,0)</f>
        <v>0</v>
      </c>
      <c r="I2196" s="5" t="s">
        <v>74</v>
      </c>
      <c r="J2196" s="5" t="s">
        <v>2790</v>
      </c>
    </row>
    <row r="2197" customFormat="false" ht="15" hidden="false" customHeight="false" outlineLevel="0" collapsed="false">
      <c r="A2197" s="5" t="s">
        <v>231</v>
      </c>
      <c r="B2197" s="5" t="s">
        <v>169</v>
      </c>
      <c r="C2197" s="5" t="n">
        <v>65</v>
      </c>
      <c r="D2197" s="5" t="s">
        <v>611</v>
      </c>
      <c r="E2197" s="5" t="n">
        <v>6</v>
      </c>
      <c r="F2197" s="20" t="n">
        <v>8.78922638854951</v>
      </c>
      <c r="G2197" s="20" t="n">
        <f aca="false">9-F2197</f>
        <v>0.210773611450495</v>
      </c>
      <c r="H2197" s="20" t="n">
        <f aca="false">IF(G2197&gt;=1,G2197,0)</f>
        <v>0</v>
      </c>
      <c r="I2197" s="5" t="s">
        <v>74</v>
      </c>
      <c r="J2197" s="5" t="s">
        <v>2791</v>
      </c>
    </row>
    <row r="2198" customFormat="false" ht="15" hidden="false" customHeight="false" outlineLevel="0" collapsed="false">
      <c r="A2198" s="5" t="s">
        <v>231</v>
      </c>
      <c r="B2198" s="5" t="s">
        <v>169</v>
      </c>
      <c r="C2198" s="5" t="n">
        <v>66</v>
      </c>
      <c r="D2198" s="5" t="s">
        <v>611</v>
      </c>
      <c r="E2198" s="5" t="n">
        <v>6</v>
      </c>
      <c r="F2198" s="20" t="n">
        <v>8.78922638854951</v>
      </c>
      <c r="G2198" s="20" t="n">
        <f aca="false">9-F2198</f>
        <v>0.210773611450495</v>
      </c>
      <c r="H2198" s="20" t="n">
        <f aca="false">IF(G2198&gt;=1,G2198,0)</f>
        <v>0</v>
      </c>
      <c r="I2198" s="5" t="s">
        <v>74</v>
      </c>
      <c r="J2198" s="5" t="s">
        <v>2792</v>
      </c>
    </row>
    <row r="2199" customFormat="false" ht="15" hidden="false" customHeight="false" outlineLevel="0" collapsed="false">
      <c r="A2199" s="5" t="s">
        <v>231</v>
      </c>
      <c r="B2199" s="5" t="s">
        <v>169</v>
      </c>
      <c r="C2199" s="5" t="n">
        <v>67</v>
      </c>
      <c r="D2199" s="5" t="s">
        <v>611</v>
      </c>
      <c r="E2199" s="5" t="n">
        <v>6</v>
      </c>
      <c r="F2199" s="20" t="n">
        <v>8.78922638854951</v>
      </c>
      <c r="G2199" s="20" t="n">
        <f aca="false">9-F2199</f>
        <v>0.210773611450495</v>
      </c>
      <c r="H2199" s="20" t="n">
        <f aca="false">IF(G2199&gt;=1,G2199,0)</f>
        <v>0</v>
      </c>
      <c r="I2199" s="5" t="s">
        <v>74</v>
      </c>
      <c r="J2199" s="5" t="s">
        <v>2793</v>
      </c>
    </row>
    <row r="2200" customFormat="false" ht="15" hidden="false" customHeight="false" outlineLevel="0" collapsed="false">
      <c r="A2200" s="5" t="s">
        <v>231</v>
      </c>
      <c r="B2200" s="5" t="s">
        <v>169</v>
      </c>
      <c r="C2200" s="5" t="n">
        <v>68</v>
      </c>
      <c r="D2200" s="5" t="s">
        <v>611</v>
      </c>
      <c r="E2200" s="5" t="n">
        <v>6</v>
      </c>
      <c r="F2200" s="20" t="n">
        <v>8.7892263885495</v>
      </c>
      <c r="G2200" s="20" t="n">
        <f aca="false">9-F2200</f>
        <v>0.210773611450497</v>
      </c>
      <c r="H2200" s="20" t="n">
        <f aca="false">IF(G2200&gt;=1,G2200,0)</f>
        <v>0</v>
      </c>
      <c r="I2200" s="5" t="s">
        <v>74</v>
      </c>
      <c r="J2200" s="5" t="s">
        <v>2794</v>
      </c>
    </row>
    <row r="2201" customFormat="false" ht="15" hidden="false" customHeight="false" outlineLevel="0" collapsed="false">
      <c r="A2201" s="5" t="s">
        <v>231</v>
      </c>
      <c r="B2201" s="5" t="s">
        <v>169</v>
      </c>
      <c r="C2201" s="5" t="n">
        <v>69</v>
      </c>
      <c r="D2201" s="5" t="s">
        <v>611</v>
      </c>
      <c r="E2201" s="5" t="n">
        <v>6</v>
      </c>
      <c r="F2201" s="20" t="n">
        <v>8.7892263885495</v>
      </c>
      <c r="G2201" s="20" t="n">
        <f aca="false">9-F2201</f>
        <v>0.210773611450499</v>
      </c>
      <c r="H2201" s="20" t="n">
        <f aca="false">IF(G2201&gt;=1,G2201,0)</f>
        <v>0</v>
      </c>
      <c r="I2201" s="5" t="s">
        <v>74</v>
      </c>
      <c r="J2201" s="5" t="s">
        <v>2795</v>
      </c>
    </row>
    <row r="2202" customFormat="false" ht="15" hidden="false" customHeight="false" outlineLevel="0" collapsed="false">
      <c r="A2202" s="5" t="s">
        <v>231</v>
      </c>
      <c r="B2202" s="5" t="s">
        <v>169</v>
      </c>
      <c r="C2202" s="5" t="n">
        <v>70</v>
      </c>
      <c r="D2202" s="5" t="s">
        <v>611</v>
      </c>
      <c r="E2202" s="5" t="n">
        <v>6</v>
      </c>
      <c r="F2202" s="20" t="n">
        <v>8.7892263885495</v>
      </c>
      <c r="G2202" s="20" t="n">
        <f aca="false">9-F2202</f>
        <v>0.210773611450501</v>
      </c>
      <c r="H2202" s="20" t="n">
        <f aca="false">IF(G2202&gt;=1,G2202,0)</f>
        <v>0</v>
      </c>
      <c r="I2202" s="5" t="s">
        <v>74</v>
      </c>
      <c r="J2202" s="5" t="s">
        <v>2796</v>
      </c>
    </row>
    <row r="2203" customFormat="false" ht="15" hidden="false" customHeight="false" outlineLevel="0" collapsed="false">
      <c r="A2203" s="5" t="s">
        <v>231</v>
      </c>
      <c r="B2203" s="5" t="s">
        <v>169</v>
      </c>
      <c r="C2203" s="5" t="n">
        <v>71</v>
      </c>
      <c r="D2203" s="5" t="s">
        <v>611</v>
      </c>
      <c r="E2203" s="5" t="n">
        <v>6</v>
      </c>
      <c r="F2203" s="20" t="n">
        <v>8.7892263885495</v>
      </c>
      <c r="G2203" s="20" t="n">
        <f aca="false">9-F2203</f>
        <v>0.210773611450504</v>
      </c>
      <c r="H2203" s="20" t="n">
        <f aca="false">IF(G2203&gt;=1,G2203,0)</f>
        <v>0</v>
      </c>
      <c r="I2203" s="5" t="s">
        <v>74</v>
      </c>
      <c r="J2203" s="5" t="s">
        <v>2797</v>
      </c>
    </row>
    <row r="2204" customFormat="false" ht="15" hidden="false" customHeight="false" outlineLevel="0" collapsed="false">
      <c r="A2204" s="5" t="s">
        <v>231</v>
      </c>
      <c r="B2204" s="5" t="s">
        <v>169</v>
      </c>
      <c r="C2204" s="5" t="n">
        <v>72</v>
      </c>
      <c r="D2204" s="5" t="s">
        <v>611</v>
      </c>
      <c r="E2204" s="5" t="n">
        <v>6</v>
      </c>
      <c r="F2204" s="20" t="n">
        <v>8.7892263885495</v>
      </c>
      <c r="G2204" s="20" t="n">
        <f aca="false">9-F2204</f>
        <v>0.210773611450504</v>
      </c>
      <c r="H2204" s="20" t="n">
        <f aca="false">IF(G2204&gt;=1,G2204,0)</f>
        <v>0</v>
      </c>
      <c r="I2204" s="5" t="s">
        <v>74</v>
      </c>
      <c r="J2204" s="5" t="s">
        <v>2798</v>
      </c>
    </row>
    <row r="2205" customFormat="false" ht="15" hidden="false" customHeight="false" outlineLevel="0" collapsed="false">
      <c r="A2205" s="5" t="s">
        <v>231</v>
      </c>
      <c r="B2205" s="5" t="s">
        <v>169</v>
      </c>
      <c r="C2205" s="5" t="n">
        <v>73</v>
      </c>
      <c r="D2205" s="5" t="s">
        <v>611</v>
      </c>
      <c r="E2205" s="5" t="n">
        <v>6</v>
      </c>
      <c r="F2205" s="20" t="n">
        <v>8.7892263885495</v>
      </c>
      <c r="G2205" s="20" t="n">
        <f aca="false">9-F2205</f>
        <v>0.210773611450504</v>
      </c>
      <c r="H2205" s="20" t="n">
        <f aca="false">IF(G2205&gt;=1,G2205,0)</f>
        <v>0</v>
      </c>
      <c r="I2205" s="5" t="s">
        <v>74</v>
      </c>
      <c r="J2205" s="5" t="s">
        <v>2799</v>
      </c>
    </row>
    <row r="2206" customFormat="false" ht="15" hidden="false" customHeight="false" outlineLevel="0" collapsed="false">
      <c r="A2206" s="5" t="s">
        <v>231</v>
      </c>
      <c r="B2206" s="5" t="s">
        <v>169</v>
      </c>
      <c r="C2206" s="5" t="n">
        <v>74</v>
      </c>
      <c r="D2206" s="5" t="s">
        <v>611</v>
      </c>
      <c r="E2206" s="5" t="n">
        <v>6</v>
      </c>
      <c r="F2206" s="20" t="n">
        <v>8.7892263885495</v>
      </c>
      <c r="G2206" s="20" t="n">
        <f aca="false">9-F2206</f>
        <v>0.210773611450504</v>
      </c>
      <c r="H2206" s="20" t="n">
        <f aca="false">IF(G2206&gt;=1,G2206,0)</f>
        <v>0</v>
      </c>
      <c r="I2206" s="5" t="s">
        <v>74</v>
      </c>
      <c r="J2206" s="5" t="s">
        <v>2800</v>
      </c>
    </row>
    <row r="2207" customFormat="false" ht="15" hidden="false" customHeight="false" outlineLevel="0" collapsed="false">
      <c r="A2207" s="5" t="s">
        <v>231</v>
      </c>
      <c r="B2207" s="5" t="s">
        <v>169</v>
      </c>
      <c r="C2207" s="5" t="n">
        <v>75</v>
      </c>
      <c r="D2207" s="5" t="s">
        <v>611</v>
      </c>
      <c r="E2207" s="5" t="n">
        <v>6</v>
      </c>
      <c r="F2207" s="20" t="n">
        <v>8.7892263885495</v>
      </c>
      <c r="G2207" s="20" t="n">
        <f aca="false">9-F2207</f>
        <v>0.210773611450504</v>
      </c>
      <c r="H2207" s="20" t="n">
        <f aca="false">IF(G2207&gt;=1,G2207,0)</f>
        <v>0</v>
      </c>
      <c r="I2207" s="5" t="s">
        <v>74</v>
      </c>
      <c r="J2207" s="5" t="s">
        <v>2801</v>
      </c>
    </row>
    <row r="2208" customFormat="false" ht="15" hidden="false" customHeight="false" outlineLevel="0" collapsed="false">
      <c r="A2208" s="5" t="s">
        <v>231</v>
      </c>
      <c r="B2208" s="5" t="s">
        <v>169</v>
      </c>
      <c r="C2208" s="5" t="n">
        <v>76</v>
      </c>
      <c r="D2208" s="5" t="s">
        <v>611</v>
      </c>
      <c r="E2208" s="5" t="n">
        <v>6</v>
      </c>
      <c r="F2208" s="20" t="n">
        <v>8.7892263885495</v>
      </c>
      <c r="G2208" s="20" t="n">
        <f aca="false">9-F2208</f>
        <v>0.210773611450504</v>
      </c>
      <c r="H2208" s="20" t="n">
        <f aca="false">IF(G2208&gt;=1,G2208,0)</f>
        <v>0</v>
      </c>
      <c r="I2208" s="5" t="s">
        <v>74</v>
      </c>
      <c r="J2208" s="5" t="s">
        <v>2802</v>
      </c>
    </row>
    <row r="2209" customFormat="false" ht="15" hidden="false" customHeight="false" outlineLevel="0" collapsed="false">
      <c r="A2209" s="5" t="s">
        <v>231</v>
      </c>
      <c r="B2209" s="5" t="s">
        <v>169</v>
      </c>
      <c r="C2209" s="5" t="n">
        <v>77</v>
      </c>
      <c r="D2209" s="5" t="s">
        <v>611</v>
      </c>
      <c r="E2209" s="5" t="n">
        <v>6</v>
      </c>
      <c r="F2209" s="20" t="n">
        <v>8.7892263885495</v>
      </c>
      <c r="G2209" s="20" t="n">
        <f aca="false">9-F2209</f>
        <v>0.210773611450504</v>
      </c>
      <c r="H2209" s="20" t="n">
        <f aca="false">IF(G2209&gt;=1,G2209,0)</f>
        <v>0</v>
      </c>
      <c r="I2209" s="5" t="s">
        <v>74</v>
      </c>
      <c r="J2209" s="5" t="s">
        <v>2803</v>
      </c>
    </row>
    <row r="2210" customFormat="false" ht="15" hidden="false" customHeight="false" outlineLevel="0" collapsed="false">
      <c r="A2210" s="5" t="s">
        <v>231</v>
      </c>
      <c r="B2210" s="5" t="s">
        <v>169</v>
      </c>
      <c r="C2210" s="5" t="n">
        <v>78</v>
      </c>
      <c r="D2210" s="5" t="s">
        <v>611</v>
      </c>
      <c r="E2210" s="5" t="n">
        <v>6</v>
      </c>
      <c r="F2210" s="20" t="n">
        <v>8.7892263885495</v>
      </c>
      <c r="G2210" s="20" t="n">
        <f aca="false">9-F2210</f>
        <v>0.210773611450504</v>
      </c>
      <c r="H2210" s="20" t="n">
        <f aca="false">IF(G2210&gt;=1,G2210,0)</f>
        <v>0</v>
      </c>
      <c r="I2210" s="5" t="s">
        <v>74</v>
      </c>
      <c r="J2210" s="5" t="s">
        <v>2804</v>
      </c>
    </row>
    <row r="2211" customFormat="false" ht="15" hidden="false" customHeight="false" outlineLevel="0" collapsed="false">
      <c r="A2211" s="5" t="s">
        <v>231</v>
      </c>
      <c r="B2211" s="5" t="s">
        <v>169</v>
      </c>
      <c r="C2211" s="5" t="n">
        <v>79</v>
      </c>
      <c r="D2211" s="5" t="s">
        <v>611</v>
      </c>
      <c r="E2211" s="5" t="n">
        <v>6</v>
      </c>
      <c r="F2211" s="20" t="n">
        <v>8.78922638854949</v>
      </c>
      <c r="G2211" s="20" t="n">
        <f aca="false">9-F2211</f>
        <v>0.210773611450506</v>
      </c>
      <c r="H2211" s="20" t="n">
        <f aca="false">IF(G2211&gt;=1,G2211,0)</f>
        <v>0</v>
      </c>
      <c r="I2211" s="5" t="s">
        <v>74</v>
      </c>
      <c r="J2211" s="5" t="s">
        <v>2805</v>
      </c>
    </row>
    <row r="2212" customFormat="false" ht="15" hidden="false" customHeight="false" outlineLevel="0" collapsed="false">
      <c r="A2212" s="5" t="s">
        <v>231</v>
      </c>
      <c r="B2212" s="5" t="s">
        <v>169</v>
      </c>
      <c r="C2212" s="5" t="n">
        <v>80</v>
      </c>
      <c r="D2212" s="5" t="s">
        <v>611</v>
      </c>
      <c r="E2212" s="5" t="n">
        <v>6</v>
      </c>
      <c r="F2212" s="20" t="n">
        <v>8.78922638854949</v>
      </c>
      <c r="G2212" s="20" t="n">
        <f aca="false">9-F2212</f>
        <v>0.210773611450509</v>
      </c>
      <c r="H2212" s="20" t="n">
        <f aca="false">IF(G2212&gt;=1,G2212,0)</f>
        <v>0</v>
      </c>
      <c r="I2212" s="5" t="s">
        <v>74</v>
      </c>
      <c r="J2212" s="5" t="s">
        <v>2806</v>
      </c>
    </row>
    <row r="2213" customFormat="false" ht="15" hidden="false" customHeight="false" outlineLevel="0" collapsed="false">
      <c r="A2213" s="5" t="s">
        <v>231</v>
      </c>
      <c r="B2213" s="5" t="s">
        <v>169</v>
      </c>
      <c r="C2213" s="5" t="n">
        <v>81</v>
      </c>
      <c r="D2213" s="5" t="s">
        <v>611</v>
      </c>
      <c r="E2213" s="5" t="n">
        <v>6</v>
      </c>
      <c r="F2213" s="20" t="n">
        <v>8.78922638854949</v>
      </c>
      <c r="G2213" s="20" t="n">
        <f aca="false">9-F2213</f>
        <v>0.210773611450509</v>
      </c>
      <c r="H2213" s="20" t="n">
        <f aca="false">IF(G2213&gt;=1,G2213,0)</f>
        <v>0</v>
      </c>
      <c r="I2213" s="5" t="s">
        <v>74</v>
      </c>
      <c r="J2213" s="5" t="s">
        <v>2807</v>
      </c>
    </row>
    <row r="2214" customFormat="false" ht="15" hidden="false" customHeight="false" outlineLevel="0" collapsed="false">
      <c r="A2214" s="5" t="s">
        <v>231</v>
      </c>
      <c r="B2214" s="5" t="s">
        <v>169</v>
      </c>
      <c r="C2214" s="5" t="n">
        <v>82</v>
      </c>
      <c r="D2214" s="5" t="s">
        <v>611</v>
      </c>
      <c r="E2214" s="5" t="n">
        <v>6</v>
      </c>
      <c r="F2214" s="20" t="n">
        <v>8.78922638854949</v>
      </c>
      <c r="G2214" s="20" t="n">
        <f aca="false">9-F2214</f>
        <v>0.210773611450509</v>
      </c>
      <c r="H2214" s="20" t="n">
        <f aca="false">IF(G2214&gt;=1,G2214,0)</f>
        <v>0</v>
      </c>
      <c r="I2214" s="5" t="s">
        <v>74</v>
      </c>
      <c r="J2214" s="5" t="s">
        <v>2808</v>
      </c>
    </row>
    <row r="2215" customFormat="false" ht="15" hidden="false" customHeight="false" outlineLevel="0" collapsed="false">
      <c r="A2215" s="5" t="s">
        <v>231</v>
      </c>
      <c r="B2215" s="5" t="s">
        <v>169</v>
      </c>
      <c r="C2215" s="5" t="n">
        <v>83</v>
      </c>
      <c r="D2215" s="5" t="s">
        <v>611</v>
      </c>
      <c r="E2215" s="5" t="n">
        <v>6</v>
      </c>
      <c r="F2215" s="20" t="n">
        <v>8.78922638854949</v>
      </c>
      <c r="G2215" s="20" t="n">
        <f aca="false">9-F2215</f>
        <v>0.210773611450509</v>
      </c>
      <c r="H2215" s="20" t="n">
        <f aca="false">IF(G2215&gt;=1,G2215,0)</f>
        <v>0</v>
      </c>
      <c r="I2215" s="5" t="s">
        <v>74</v>
      </c>
      <c r="J2215" s="5" t="s">
        <v>2809</v>
      </c>
    </row>
    <row r="2216" customFormat="false" ht="15" hidden="false" customHeight="false" outlineLevel="0" collapsed="false">
      <c r="A2216" s="5" t="s">
        <v>231</v>
      </c>
      <c r="B2216" s="5" t="s">
        <v>169</v>
      </c>
      <c r="C2216" s="5" t="n">
        <v>84</v>
      </c>
      <c r="D2216" s="5" t="s">
        <v>611</v>
      </c>
      <c r="E2216" s="5" t="n">
        <v>6</v>
      </c>
      <c r="F2216" s="20" t="n">
        <v>8.78922638854949</v>
      </c>
      <c r="G2216" s="20" t="n">
        <f aca="false">9-F2216</f>
        <v>0.210773611450509</v>
      </c>
      <c r="H2216" s="20" t="n">
        <f aca="false">IF(G2216&gt;=1,G2216,0)</f>
        <v>0</v>
      </c>
      <c r="I2216" s="5" t="s">
        <v>74</v>
      </c>
      <c r="J2216" s="5" t="s">
        <v>2810</v>
      </c>
    </row>
    <row r="2217" customFormat="false" ht="15" hidden="false" customHeight="false" outlineLevel="0" collapsed="false">
      <c r="A2217" s="5" t="s">
        <v>231</v>
      </c>
      <c r="B2217" s="5" t="s">
        <v>169</v>
      </c>
      <c r="C2217" s="5" t="n">
        <v>85</v>
      </c>
      <c r="D2217" s="5" t="s">
        <v>611</v>
      </c>
      <c r="E2217" s="5" t="n">
        <v>6</v>
      </c>
      <c r="F2217" s="20" t="n">
        <v>8.78922638854949</v>
      </c>
      <c r="G2217" s="20" t="n">
        <f aca="false">9-F2217</f>
        <v>0.210773611450509</v>
      </c>
      <c r="H2217" s="20" t="n">
        <f aca="false">IF(G2217&gt;=1,G2217,0)</f>
        <v>0</v>
      </c>
      <c r="I2217" s="5" t="s">
        <v>74</v>
      </c>
      <c r="J2217" s="5" t="s">
        <v>2811</v>
      </c>
    </row>
    <row r="2218" customFormat="false" ht="15" hidden="false" customHeight="false" outlineLevel="0" collapsed="false">
      <c r="A2218" s="5" t="s">
        <v>231</v>
      </c>
      <c r="B2218" s="5" t="s">
        <v>169</v>
      </c>
      <c r="C2218" s="5" t="n">
        <v>86</v>
      </c>
      <c r="D2218" s="5" t="s">
        <v>611</v>
      </c>
      <c r="E2218" s="5" t="n">
        <v>6</v>
      </c>
      <c r="F2218" s="20" t="n">
        <v>8.78922638854949</v>
      </c>
      <c r="G2218" s="20" t="n">
        <f aca="false">9-F2218</f>
        <v>0.210773611450509</v>
      </c>
      <c r="H2218" s="20" t="n">
        <f aca="false">IF(G2218&gt;=1,G2218,0)</f>
        <v>0</v>
      </c>
      <c r="I2218" s="5" t="s">
        <v>74</v>
      </c>
      <c r="J2218" s="5" t="s">
        <v>2812</v>
      </c>
    </row>
    <row r="2219" customFormat="false" ht="15" hidden="false" customHeight="false" outlineLevel="0" collapsed="false">
      <c r="A2219" s="5" t="s">
        <v>231</v>
      </c>
      <c r="B2219" s="5" t="s">
        <v>169</v>
      </c>
      <c r="C2219" s="5" t="n">
        <v>87</v>
      </c>
      <c r="D2219" s="5" t="s">
        <v>611</v>
      </c>
      <c r="E2219" s="5" t="n">
        <v>6</v>
      </c>
      <c r="F2219" s="20" t="n">
        <v>8.78922638854949</v>
      </c>
      <c r="G2219" s="20" t="n">
        <f aca="false">9-F2219</f>
        <v>0.210773611450509</v>
      </c>
      <c r="H2219" s="20" t="n">
        <f aca="false">IF(G2219&gt;=1,G2219,0)</f>
        <v>0</v>
      </c>
      <c r="I2219" s="5" t="s">
        <v>74</v>
      </c>
      <c r="J2219" s="5" t="s">
        <v>2813</v>
      </c>
    </row>
    <row r="2220" customFormat="false" ht="15" hidden="false" customHeight="false" outlineLevel="0" collapsed="false">
      <c r="A2220" s="5" t="s">
        <v>231</v>
      </c>
      <c r="B2220" s="5" t="s">
        <v>169</v>
      </c>
      <c r="C2220" s="5" t="n">
        <v>88</v>
      </c>
      <c r="D2220" s="5" t="s">
        <v>611</v>
      </c>
      <c r="E2220" s="5" t="n">
        <v>6</v>
      </c>
      <c r="F2220" s="20" t="n">
        <v>8.78922638854949</v>
      </c>
      <c r="G2220" s="20" t="n">
        <f aca="false">9-F2220</f>
        <v>0.210773611450509</v>
      </c>
      <c r="H2220" s="20" t="n">
        <f aca="false">IF(G2220&gt;=1,G2220,0)</f>
        <v>0</v>
      </c>
      <c r="I2220" s="5" t="s">
        <v>74</v>
      </c>
      <c r="J2220" s="5" t="s">
        <v>2814</v>
      </c>
    </row>
    <row r="2221" customFormat="false" ht="15" hidden="false" customHeight="false" outlineLevel="0" collapsed="false">
      <c r="A2221" s="5" t="s">
        <v>231</v>
      </c>
      <c r="B2221" s="5" t="s">
        <v>169</v>
      </c>
      <c r="C2221" s="5" t="n">
        <v>89</v>
      </c>
      <c r="D2221" s="5" t="s">
        <v>611</v>
      </c>
      <c r="E2221" s="5" t="n">
        <v>6</v>
      </c>
      <c r="F2221" s="20" t="n">
        <v>8.78922638854949</v>
      </c>
      <c r="G2221" s="20" t="n">
        <f aca="false">9-F2221</f>
        <v>0.210773611450513</v>
      </c>
      <c r="H2221" s="20" t="n">
        <f aca="false">IF(G2221&gt;=1,G2221,0)</f>
        <v>0</v>
      </c>
      <c r="I2221" s="5" t="s">
        <v>74</v>
      </c>
      <c r="J2221" s="5" t="s">
        <v>2815</v>
      </c>
    </row>
    <row r="2222" customFormat="false" ht="15" hidden="false" customHeight="false" outlineLevel="0" collapsed="false">
      <c r="A2222" s="5" t="s">
        <v>231</v>
      </c>
      <c r="B2222" s="5" t="s">
        <v>169</v>
      </c>
      <c r="C2222" s="5" t="n">
        <v>90</v>
      </c>
      <c r="D2222" s="5" t="s">
        <v>611</v>
      </c>
      <c r="E2222" s="5" t="n">
        <v>6</v>
      </c>
      <c r="F2222" s="20" t="n">
        <v>8.78922638854949</v>
      </c>
      <c r="G2222" s="20" t="n">
        <f aca="false">9-F2222</f>
        <v>0.210773611450513</v>
      </c>
      <c r="H2222" s="20" t="n">
        <f aca="false">IF(G2222&gt;=1,G2222,0)</f>
        <v>0</v>
      </c>
      <c r="I2222" s="5" t="s">
        <v>74</v>
      </c>
      <c r="J2222" s="5" t="s">
        <v>2816</v>
      </c>
    </row>
    <row r="2223" customFormat="false" ht="15" hidden="false" customHeight="false" outlineLevel="0" collapsed="false">
      <c r="A2223" s="5" t="s">
        <v>231</v>
      </c>
      <c r="B2223" s="5" t="s">
        <v>169</v>
      </c>
      <c r="C2223" s="5" t="n">
        <v>91</v>
      </c>
      <c r="D2223" s="5" t="s">
        <v>611</v>
      </c>
      <c r="E2223" s="5" t="n">
        <v>6</v>
      </c>
      <c r="F2223" s="20" t="n">
        <v>8.78922638854949</v>
      </c>
      <c r="G2223" s="20" t="n">
        <f aca="false">9-F2223</f>
        <v>0.210773611450513</v>
      </c>
      <c r="H2223" s="20" t="n">
        <f aca="false">IF(G2223&gt;=1,G2223,0)</f>
        <v>0</v>
      </c>
      <c r="I2223" s="5" t="s">
        <v>74</v>
      </c>
      <c r="J2223" s="5" t="s">
        <v>2817</v>
      </c>
    </row>
    <row r="2224" customFormat="false" ht="15" hidden="false" customHeight="false" outlineLevel="0" collapsed="false">
      <c r="A2224" s="5" t="s">
        <v>231</v>
      </c>
      <c r="B2224" s="5" t="s">
        <v>169</v>
      </c>
      <c r="C2224" s="5" t="n">
        <v>92</v>
      </c>
      <c r="D2224" s="5" t="s">
        <v>611</v>
      </c>
      <c r="E2224" s="5" t="n">
        <v>6</v>
      </c>
      <c r="F2224" s="20" t="n">
        <v>8.78922638854949</v>
      </c>
      <c r="G2224" s="20" t="n">
        <f aca="false">9-F2224</f>
        <v>0.210773611450513</v>
      </c>
      <c r="H2224" s="20" t="n">
        <f aca="false">IF(G2224&gt;=1,G2224,0)</f>
        <v>0</v>
      </c>
      <c r="I2224" s="5" t="s">
        <v>74</v>
      </c>
      <c r="J2224" s="5" t="s">
        <v>2818</v>
      </c>
    </row>
    <row r="2225" customFormat="false" ht="15" hidden="false" customHeight="false" outlineLevel="0" collapsed="false">
      <c r="A2225" s="5" t="s">
        <v>231</v>
      </c>
      <c r="B2225" s="5" t="s">
        <v>169</v>
      </c>
      <c r="C2225" s="5" t="n">
        <v>93</v>
      </c>
      <c r="D2225" s="5" t="s">
        <v>611</v>
      </c>
      <c r="E2225" s="5" t="n">
        <v>6</v>
      </c>
      <c r="F2225" s="20" t="n">
        <v>8.78922638854949</v>
      </c>
      <c r="G2225" s="20" t="n">
        <f aca="false">9-F2225</f>
        <v>0.210773611450513</v>
      </c>
      <c r="H2225" s="20" t="n">
        <f aca="false">IF(G2225&gt;=1,G2225,0)</f>
        <v>0</v>
      </c>
      <c r="I2225" s="5" t="s">
        <v>74</v>
      </c>
      <c r="J2225" s="5" t="s">
        <v>2819</v>
      </c>
    </row>
    <row r="2226" customFormat="false" ht="15" hidden="false" customHeight="false" outlineLevel="0" collapsed="false">
      <c r="A2226" s="5" t="s">
        <v>231</v>
      </c>
      <c r="B2226" s="5" t="s">
        <v>169</v>
      </c>
      <c r="C2226" s="5" t="n">
        <v>94</v>
      </c>
      <c r="D2226" s="5" t="s">
        <v>611</v>
      </c>
      <c r="E2226" s="5" t="n">
        <v>6</v>
      </c>
      <c r="F2226" s="20" t="n">
        <v>8.78922638854949</v>
      </c>
      <c r="G2226" s="20" t="n">
        <f aca="false">9-F2226</f>
        <v>0.210773611450513</v>
      </c>
      <c r="H2226" s="20" t="n">
        <f aca="false">IF(G2226&gt;=1,G2226,0)</f>
        <v>0</v>
      </c>
      <c r="I2226" s="5" t="s">
        <v>74</v>
      </c>
      <c r="J2226" s="5" t="s">
        <v>2820</v>
      </c>
    </row>
    <row r="2227" customFormat="false" ht="15" hidden="false" customHeight="false" outlineLevel="0" collapsed="false">
      <c r="A2227" s="5" t="s">
        <v>231</v>
      </c>
      <c r="B2227" s="5" t="s">
        <v>169</v>
      </c>
      <c r="C2227" s="5" t="n">
        <v>95</v>
      </c>
      <c r="D2227" s="5" t="s">
        <v>611</v>
      </c>
      <c r="E2227" s="5" t="n">
        <v>6</v>
      </c>
      <c r="F2227" s="20" t="n">
        <v>8.78922638854949</v>
      </c>
      <c r="G2227" s="20" t="n">
        <f aca="false">9-F2227</f>
        <v>0.210773611450513</v>
      </c>
      <c r="H2227" s="20" t="n">
        <f aca="false">IF(G2227&gt;=1,G2227,0)</f>
        <v>0</v>
      </c>
      <c r="I2227" s="5" t="s">
        <v>74</v>
      </c>
      <c r="J2227" s="5" t="s">
        <v>2821</v>
      </c>
    </row>
    <row r="2228" customFormat="false" ht="15" hidden="false" customHeight="false" outlineLevel="0" collapsed="false">
      <c r="A2228" s="5" t="s">
        <v>231</v>
      </c>
      <c r="B2228" s="5" t="s">
        <v>169</v>
      </c>
      <c r="C2228" s="5" t="n">
        <v>96</v>
      </c>
      <c r="D2228" s="5" t="s">
        <v>611</v>
      </c>
      <c r="E2228" s="5" t="n">
        <v>6</v>
      </c>
      <c r="F2228" s="20" t="n">
        <v>8.78922638854949</v>
      </c>
      <c r="G2228" s="20" t="n">
        <f aca="false">9-F2228</f>
        <v>0.210773611450513</v>
      </c>
      <c r="H2228" s="20" t="n">
        <f aca="false">IF(G2228&gt;=1,G2228,0)</f>
        <v>0</v>
      </c>
      <c r="I2228" s="5" t="s">
        <v>74</v>
      </c>
      <c r="J2228" s="5" t="s">
        <v>2822</v>
      </c>
    </row>
    <row r="2229" customFormat="false" ht="15" hidden="false" customHeight="false" outlineLevel="0" collapsed="false">
      <c r="A2229" s="5" t="s">
        <v>231</v>
      </c>
      <c r="B2229" s="5" t="s">
        <v>169</v>
      </c>
      <c r="C2229" s="5" t="n">
        <v>97</v>
      </c>
      <c r="D2229" s="5" t="s">
        <v>611</v>
      </c>
      <c r="E2229" s="5" t="n">
        <v>6</v>
      </c>
      <c r="F2229" s="20" t="n">
        <v>8.78922638854949</v>
      </c>
      <c r="G2229" s="20" t="n">
        <f aca="false">9-F2229</f>
        <v>0.210773611450513</v>
      </c>
      <c r="H2229" s="20" t="n">
        <f aca="false">IF(G2229&gt;=1,G2229,0)</f>
        <v>0</v>
      </c>
      <c r="I2229" s="5" t="s">
        <v>74</v>
      </c>
      <c r="J2229" s="5" t="s">
        <v>2823</v>
      </c>
    </row>
    <row r="2230" customFormat="false" ht="15" hidden="false" customHeight="false" outlineLevel="0" collapsed="false">
      <c r="A2230" s="5" t="s">
        <v>231</v>
      </c>
      <c r="B2230" s="5" t="s">
        <v>169</v>
      </c>
      <c r="C2230" s="5" t="n">
        <v>98</v>
      </c>
      <c r="D2230" s="5" t="s">
        <v>611</v>
      </c>
      <c r="E2230" s="5" t="n">
        <v>6</v>
      </c>
      <c r="F2230" s="20" t="n">
        <v>8.78922638854948</v>
      </c>
      <c r="G2230" s="20" t="n">
        <f aca="false">9-F2230</f>
        <v>0.210773611450522</v>
      </c>
      <c r="H2230" s="20" t="n">
        <f aca="false">IF(G2230&gt;=1,G2230,0)</f>
        <v>0</v>
      </c>
      <c r="I2230" s="5" t="s">
        <v>74</v>
      </c>
      <c r="J2230" s="5" t="s">
        <v>2824</v>
      </c>
    </row>
    <row r="2231" customFormat="false" ht="15" hidden="false" customHeight="false" outlineLevel="0" collapsed="false">
      <c r="A2231" s="5" t="s">
        <v>231</v>
      </c>
      <c r="B2231" s="5" t="s">
        <v>169</v>
      </c>
      <c r="C2231" s="5" t="n">
        <v>99</v>
      </c>
      <c r="D2231" s="5" t="s">
        <v>611</v>
      </c>
      <c r="E2231" s="5" t="n">
        <v>6</v>
      </c>
      <c r="F2231" s="20" t="n">
        <v>8.78922638854948</v>
      </c>
      <c r="G2231" s="20" t="n">
        <f aca="false">9-F2231</f>
        <v>0.210773611450525</v>
      </c>
      <c r="H2231" s="20" t="n">
        <f aca="false">IF(G2231&gt;=1,G2231,0)</f>
        <v>0</v>
      </c>
      <c r="I2231" s="5" t="s">
        <v>74</v>
      </c>
      <c r="J2231" s="5" t="s">
        <v>2825</v>
      </c>
    </row>
    <row r="2232" customFormat="false" ht="15" hidden="false" customHeight="false" outlineLevel="0" collapsed="false">
      <c r="A2232" s="5" t="s">
        <v>231</v>
      </c>
      <c r="B2232" s="5" t="s">
        <v>169</v>
      </c>
      <c r="C2232" s="5" t="n">
        <v>100</v>
      </c>
      <c r="D2232" s="5" t="s">
        <v>611</v>
      </c>
      <c r="E2232" s="5" t="n">
        <v>6</v>
      </c>
      <c r="F2232" s="20" t="n">
        <v>8.78922638854948</v>
      </c>
      <c r="G2232" s="20" t="n">
        <f aca="false">9-F2232</f>
        <v>0.210773611450525</v>
      </c>
      <c r="H2232" s="20" t="n">
        <f aca="false">IF(G2232&gt;=1,G2232,0)</f>
        <v>0</v>
      </c>
      <c r="I2232" s="5" t="s">
        <v>74</v>
      </c>
      <c r="J2232" s="5" t="s">
        <v>2826</v>
      </c>
    </row>
    <row r="2233" customFormat="false" ht="15" hidden="false" customHeight="false" outlineLevel="0" collapsed="false">
      <c r="A2233" s="5" t="s">
        <v>231</v>
      </c>
      <c r="B2233" s="5" t="s">
        <v>169</v>
      </c>
      <c r="C2233" s="5" t="n">
        <v>101</v>
      </c>
      <c r="D2233" s="5" t="s">
        <v>611</v>
      </c>
      <c r="E2233" s="5" t="n">
        <v>6</v>
      </c>
      <c r="F2233" s="20" t="n">
        <v>8.78922638854947</v>
      </c>
      <c r="G2233" s="20" t="n">
        <f aca="false">9-F2233</f>
        <v>0.210773611450527</v>
      </c>
      <c r="H2233" s="20" t="n">
        <f aca="false">IF(G2233&gt;=1,G2233,0)</f>
        <v>0</v>
      </c>
      <c r="I2233" s="5" t="s">
        <v>74</v>
      </c>
      <c r="J2233" s="5" t="s">
        <v>2827</v>
      </c>
    </row>
    <row r="2234" customFormat="false" ht="15" hidden="false" customHeight="false" outlineLevel="0" collapsed="false">
      <c r="A2234" s="5" t="s">
        <v>231</v>
      </c>
      <c r="B2234" s="5" t="s">
        <v>169</v>
      </c>
      <c r="C2234" s="5" t="n">
        <v>102</v>
      </c>
      <c r="D2234" s="5" t="s">
        <v>611</v>
      </c>
      <c r="E2234" s="5" t="n">
        <v>6</v>
      </c>
      <c r="F2234" s="20" t="n">
        <v>8.78922638854947</v>
      </c>
      <c r="G2234" s="20" t="n">
        <f aca="false">9-F2234</f>
        <v>0.210773611450527</v>
      </c>
      <c r="H2234" s="20" t="n">
        <f aca="false">IF(G2234&gt;=1,G2234,0)</f>
        <v>0</v>
      </c>
      <c r="I2234" s="5" t="s">
        <v>74</v>
      </c>
      <c r="J2234" s="5" t="s">
        <v>2828</v>
      </c>
    </row>
    <row r="2235" customFormat="false" ht="15" hidden="false" customHeight="false" outlineLevel="0" collapsed="false">
      <c r="A2235" s="5" t="s">
        <v>231</v>
      </c>
      <c r="B2235" s="5" t="s">
        <v>169</v>
      </c>
      <c r="C2235" s="5" t="n">
        <v>103</v>
      </c>
      <c r="D2235" s="5" t="s">
        <v>611</v>
      </c>
      <c r="E2235" s="5" t="n">
        <v>6</v>
      </c>
      <c r="F2235" s="20" t="n">
        <v>8.78922638854947</v>
      </c>
      <c r="G2235" s="20" t="n">
        <f aca="false">9-F2235</f>
        <v>0.210773611450527</v>
      </c>
      <c r="H2235" s="20" t="n">
        <f aca="false">IF(G2235&gt;=1,G2235,0)</f>
        <v>0</v>
      </c>
      <c r="I2235" s="5" t="s">
        <v>74</v>
      </c>
      <c r="J2235" s="5" t="s">
        <v>2829</v>
      </c>
    </row>
    <row r="2236" customFormat="false" ht="15" hidden="false" customHeight="false" outlineLevel="0" collapsed="false">
      <c r="A2236" s="5" t="s">
        <v>231</v>
      </c>
      <c r="B2236" s="5" t="s">
        <v>169</v>
      </c>
      <c r="C2236" s="5" t="n">
        <v>104</v>
      </c>
      <c r="D2236" s="5" t="s">
        <v>611</v>
      </c>
      <c r="E2236" s="5" t="n">
        <v>6</v>
      </c>
      <c r="F2236" s="20" t="n">
        <v>8.78922638854947</v>
      </c>
      <c r="G2236" s="20" t="n">
        <f aca="false">9-F2236</f>
        <v>0.210773611450527</v>
      </c>
      <c r="H2236" s="20" t="n">
        <f aca="false">IF(G2236&gt;=1,G2236,0)</f>
        <v>0</v>
      </c>
      <c r="I2236" s="5" t="s">
        <v>74</v>
      </c>
      <c r="J2236" s="5" t="s">
        <v>2830</v>
      </c>
    </row>
    <row r="2237" customFormat="false" ht="15" hidden="false" customHeight="false" outlineLevel="0" collapsed="false">
      <c r="A2237" s="5" t="s">
        <v>231</v>
      </c>
      <c r="B2237" s="5" t="s">
        <v>169</v>
      </c>
      <c r="C2237" s="5" t="n">
        <v>105</v>
      </c>
      <c r="D2237" s="5" t="s">
        <v>611</v>
      </c>
      <c r="E2237" s="5" t="n">
        <v>6</v>
      </c>
      <c r="F2237" s="20" t="n">
        <v>8.78922638854947</v>
      </c>
      <c r="G2237" s="20" t="n">
        <f aca="false">9-F2237</f>
        <v>0.210773611450527</v>
      </c>
      <c r="H2237" s="20" t="n">
        <f aca="false">IF(G2237&gt;=1,G2237,0)</f>
        <v>0</v>
      </c>
      <c r="I2237" s="5" t="s">
        <v>74</v>
      </c>
      <c r="J2237" s="5" t="s">
        <v>2831</v>
      </c>
    </row>
    <row r="2238" customFormat="false" ht="15" hidden="false" customHeight="false" outlineLevel="0" collapsed="false">
      <c r="A2238" s="5" t="s">
        <v>231</v>
      </c>
      <c r="B2238" s="5" t="s">
        <v>169</v>
      </c>
      <c r="C2238" s="5" t="n">
        <v>106</v>
      </c>
      <c r="D2238" s="5" t="s">
        <v>611</v>
      </c>
      <c r="E2238" s="5" t="n">
        <v>6</v>
      </c>
      <c r="F2238" s="20" t="n">
        <v>8.78922638854947</v>
      </c>
      <c r="G2238" s="20" t="n">
        <f aca="false">9-F2238</f>
        <v>0.210773611450527</v>
      </c>
      <c r="H2238" s="20" t="n">
        <f aca="false">IF(G2238&gt;=1,G2238,0)</f>
        <v>0</v>
      </c>
      <c r="I2238" s="5" t="s">
        <v>74</v>
      </c>
      <c r="J2238" s="5" t="s">
        <v>2832</v>
      </c>
    </row>
    <row r="2239" customFormat="false" ht="15" hidden="false" customHeight="false" outlineLevel="0" collapsed="false">
      <c r="A2239" s="5" t="s">
        <v>231</v>
      </c>
      <c r="B2239" s="5" t="s">
        <v>169</v>
      </c>
      <c r="C2239" s="5" t="n">
        <v>107</v>
      </c>
      <c r="D2239" s="5" t="s">
        <v>611</v>
      </c>
      <c r="E2239" s="5" t="n">
        <v>6</v>
      </c>
      <c r="F2239" s="20" t="n">
        <v>8.78922638854947</v>
      </c>
      <c r="G2239" s="20" t="n">
        <f aca="false">9-F2239</f>
        <v>0.210773611450533</v>
      </c>
      <c r="H2239" s="20" t="n">
        <f aca="false">IF(G2239&gt;=1,G2239,0)</f>
        <v>0</v>
      </c>
      <c r="I2239" s="5" t="s">
        <v>74</v>
      </c>
      <c r="J2239" s="5" t="s">
        <v>2833</v>
      </c>
    </row>
    <row r="2240" customFormat="false" ht="15" hidden="false" customHeight="false" outlineLevel="0" collapsed="false">
      <c r="A2240" s="5" t="s">
        <v>231</v>
      </c>
      <c r="B2240" s="5" t="s">
        <v>169</v>
      </c>
      <c r="C2240" s="5" t="n">
        <v>108</v>
      </c>
      <c r="D2240" s="5" t="s">
        <v>611</v>
      </c>
      <c r="E2240" s="5" t="n">
        <v>6</v>
      </c>
      <c r="F2240" s="20" t="n">
        <v>8.78922638854946</v>
      </c>
      <c r="G2240" s="20" t="n">
        <f aca="false">9-F2240</f>
        <v>0.210773611450536</v>
      </c>
      <c r="H2240" s="20" t="n">
        <f aca="false">IF(G2240&gt;=1,G2240,0)</f>
        <v>0</v>
      </c>
      <c r="I2240" s="5" t="s">
        <v>74</v>
      </c>
      <c r="J2240" s="5" t="s">
        <v>2834</v>
      </c>
    </row>
    <row r="2241" customFormat="false" ht="15" hidden="false" customHeight="false" outlineLevel="0" collapsed="false">
      <c r="A2241" s="5" t="s">
        <v>231</v>
      </c>
      <c r="B2241" s="5" t="s">
        <v>169</v>
      </c>
      <c r="C2241" s="5" t="n">
        <v>109</v>
      </c>
      <c r="D2241" s="5" t="s">
        <v>611</v>
      </c>
      <c r="E2241" s="5" t="n">
        <v>6</v>
      </c>
      <c r="F2241" s="20" t="n">
        <v>8.78922638854946</v>
      </c>
      <c r="G2241" s="20" t="n">
        <f aca="false">9-F2241</f>
        <v>0.210773611450536</v>
      </c>
      <c r="H2241" s="20" t="n">
        <f aca="false">IF(G2241&gt;=1,G2241,0)</f>
        <v>0</v>
      </c>
      <c r="I2241" s="5" t="s">
        <v>74</v>
      </c>
      <c r="J2241" s="5" t="s">
        <v>2835</v>
      </c>
    </row>
    <row r="2242" customFormat="false" ht="15" hidden="false" customHeight="false" outlineLevel="0" collapsed="false">
      <c r="A2242" s="5" t="s">
        <v>231</v>
      </c>
      <c r="B2242" s="5" t="s">
        <v>169</v>
      </c>
      <c r="C2242" s="5" t="n">
        <v>110</v>
      </c>
      <c r="D2242" s="5" t="s">
        <v>611</v>
      </c>
      <c r="E2242" s="5" t="n">
        <v>6</v>
      </c>
      <c r="F2242" s="20" t="n">
        <v>8.78922638854946</v>
      </c>
      <c r="G2242" s="20" t="n">
        <f aca="false">9-F2242</f>
        <v>0.210773611450536</v>
      </c>
      <c r="H2242" s="20" t="n">
        <f aca="false">IF(G2242&gt;=1,G2242,0)</f>
        <v>0</v>
      </c>
      <c r="I2242" s="5" t="s">
        <v>74</v>
      </c>
      <c r="J2242" s="5" t="s">
        <v>2836</v>
      </c>
    </row>
    <row r="2243" customFormat="false" ht="15" hidden="false" customHeight="false" outlineLevel="0" collapsed="false">
      <c r="A2243" s="5" t="s">
        <v>231</v>
      </c>
      <c r="B2243" s="5" t="s">
        <v>169</v>
      </c>
      <c r="C2243" s="5" t="n">
        <v>111</v>
      </c>
      <c r="D2243" s="5" t="s">
        <v>611</v>
      </c>
      <c r="E2243" s="5" t="n">
        <v>6</v>
      </c>
      <c r="F2243" s="20" t="n">
        <v>8.78922638854946</v>
      </c>
      <c r="G2243" s="20" t="n">
        <f aca="false">9-F2243</f>
        <v>0.210773611450536</v>
      </c>
      <c r="H2243" s="20" t="n">
        <f aca="false">IF(G2243&gt;=1,G2243,0)</f>
        <v>0</v>
      </c>
      <c r="I2243" s="5" t="s">
        <v>74</v>
      </c>
      <c r="J2243" s="5" t="s">
        <v>2837</v>
      </c>
    </row>
    <row r="2244" customFormat="false" ht="15" hidden="false" customHeight="false" outlineLevel="0" collapsed="false">
      <c r="A2244" s="5" t="s">
        <v>231</v>
      </c>
      <c r="B2244" s="5" t="s">
        <v>169</v>
      </c>
      <c r="C2244" s="5" t="n">
        <v>112</v>
      </c>
      <c r="D2244" s="5" t="s">
        <v>611</v>
      </c>
      <c r="E2244" s="5" t="n">
        <v>6</v>
      </c>
      <c r="F2244" s="20" t="n">
        <v>8.78922638854946</v>
      </c>
      <c r="G2244" s="20" t="n">
        <f aca="false">9-F2244</f>
        <v>0.210773611450541</v>
      </c>
      <c r="H2244" s="20" t="n">
        <f aca="false">IF(G2244&gt;=1,G2244,0)</f>
        <v>0</v>
      </c>
      <c r="I2244" s="5" t="s">
        <v>74</v>
      </c>
      <c r="J2244" s="5" t="s">
        <v>2838</v>
      </c>
    </row>
    <row r="2245" customFormat="false" ht="15" hidden="false" customHeight="false" outlineLevel="0" collapsed="false">
      <c r="A2245" s="5" t="s">
        <v>231</v>
      </c>
      <c r="B2245" s="5" t="s">
        <v>169</v>
      </c>
      <c r="C2245" s="5" t="n">
        <v>113</v>
      </c>
      <c r="D2245" s="5" t="s">
        <v>611</v>
      </c>
      <c r="E2245" s="5" t="n">
        <v>6</v>
      </c>
      <c r="F2245" s="20" t="n">
        <v>8.78922638854946</v>
      </c>
      <c r="G2245" s="20" t="n">
        <f aca="false">9-F2245</f>
        <v>0.210773611450541</v>
      </c>
      <c r="H2245" s="20" t="n">
        <f aca="false">IF(G2245&gt;=1,G2245,0)</f>
        <v>0</v>
      </c>
      <c r="I2245" s="5" t="s">
        <v>74</v>
      </c>
      <c r="J2245" s="5" t="s">
        <v>2839</v>
      </c>
    </row>
    <row r="2246" customFormat="false" ht="15" hidden="false" customHeight="false" outlineLevel="0" collapsed="false">
      <c r="A2246" s="5" t="s">
        <v>231</v>
      </c>
      <c r="B2246" s="5" t="s">
        <v>169</v>
      </c>
      <c r="C2246" s="5" t="n">
        <v>114</v>
      </c>
      <c r="D2246" s="5" t="s">
        <v>611</v>
      </c>
      <c r="E2246" s="5" t="n">
        <v>6</v>
      </c>
      <c r="F2246" s="20" t="n">
        <v>8.78922638854946</v>
      </c>
      <c r="G2246" s="20" t="n">
        <f aca="false">9-F2246</f>
        <v>0.210773611450541</v>
      </c>
      <c r="H2246" s="20" t="n">
        <f aca="false">IF(G2246&gt;=1,G2246,0)</f>
        <v>0</v>
      </c>
      <c r="I2246" s="5" t="s">
        <v>74</v>
      </c>
      <c r="J2246" s="5" t="s">
        <v>2840</v>
      </c>
    </row>
    <row r="2247" customFormat="false" ht="15" hidden="false" customHeight="false" outlineLevel="0" collapsed="false">
      <c r="A2247" s="5" t="s">
        <v>231</v>
      </c>
      <c r="B2247" s="5" t="s">
        <v>169</v>
      </c>
      <c r="C2247" s="5" t="n">
        <v>115</v>
      </c>
      <c r="D2247" s="5" t="s">
        <v>611</v>
      </c>
      <c r="E2247" s="5" t="n">
        <v>6</v>
      </c>
      <c r="F2247" s="20" t="n">
        <v>8.78922638854946</v>
      </c>
      <c r="G2247" s="20" t="n">
        <f aca="false">9-F2247</f>
        <v>0.210773611450541</v>
      </c>
      <c r="H2247" s="20" t="n">
        <f aca="false">IF(G2247&gt;=1,G2247,0)</f>
        <v>0</v>
      </c>
      <c r="I2247" s="5" t="s">
        <v>74</v>
      </c>
      <c r="J2247" s="5" t="s">
        <v>2841</v>
      </c>
    </row>
    <row r="2248" customFormat="false" ht="15" hidden="false" customHeight="false" outlineLevel="0" collapsed="false">
      <c r="A2248" s="5" t="s">
        <v>231</v>
      </c>
      <c r="B2248" s="5" t="s">
        <v>169</v>
      </c>
      <c r="C2248" s="5" t="n">
        <v>116</v>
      </c>
      <c r="D2248" s="5" t="s">
        <v>2293</v>
      </c>
      <c r="E2248" s="5" t="n">
        <v>6</v>
      </c>
      <c r="F2248" s="20" t="n">
        <v>8.8435126259541</v>
      </c>
      <c r="G2248" s="20" t="n">
        <f aca="false">9-F2248</f>
        <v>0.156487374045897</v>
      </c>
      <c r="H2248" s="20" t="n">
        <f aca="false">IF(G2248&gt;=1,G2248,0)</f>
        <v>0</v>
      </c>
      <c r="I2248" s="5" t="s">
        <v>1073</v>
      </c>
      <c r="J2248" s="5" t="s">
        <v>2842</v>
      </c>
    </row>
    <row r="2249" customFormat="false" ht="15" hidden="false" customHeight="false" outlineLevel="0" collapsed="false">
      <c r="A2249" s="5" t="s">
        <v>231</v>
      </c>
      <c r="B2249" s="5" t="s">
        <v>169</v>
      </c>
      <c r="C2249" s="5" t="n">
        <v>117</v>
      </c>
      <c r="D2249" s="5" t="s">
        <v>1075</v>
      </c>
      <c r="E2249" s="5" t="n">
        <v>7</v>
      </c>
      <c r="F2249" s="20" t="n">
        <v>8.90475391374041</v>
      </c>
      <c r="G2249" s="20" t="n">
        <f aca="false">9-F2249</f>
        <v>0.0952460862595892</v>
      </c>
      <c r="H2249" s="20" t="n">
        <f aca="false">IF(G2249&gt;=1,G2249,0)</f>
        <v>0</v>
      </c>
      <c r="I2249" s="5" t="s">
        <v>1076</v>
      </c>
      <c r="J2249" s="5" t="s">
        <v>2843</v>
      </c>
    </row>
    <row r="2250" customFormat="false" ht="15" hidden="false" customHeight="false" outlineLevel="0" collapsed="false">
      <c r="A2250" s="5" t="s">
        <v>231</v>
      </c>
      <c r="B2250" s="5" t="s">
        <v>169</v>
      </c>
      <c r="C2250" s="5" t="n">
        <v>118</v>
      </c>
      <c r="D2250" s="5" t="s">
        <v>1075</v>
      </c>
      <c r="E2250" s="5" t="n">
        <v>7</v>
      </c>
      <c r="F2250" s="20" t="n">
        <v>8.90475391374041</v>
      </c>
      <c r="G2250" s="20" t="n">
        <f aca="false">9-F2250</f>
        <v>0.0952460862595892</v>
      </c>
      <c r="H2250" s="20" t="n">
        <f aca="false">IF(G2250&gt;=1,G2250,0)</f>
        <v>0</v>
      </c>
      <c r="I2250" s="5" t="s">
        <v>1076</v>
      </c>
      <c r="J2250" s="5" t="s">
        <v>2844</v>
      </c>
    </row>
    <row r="2251" customFormat="false" ht="15" hidden="false" customHeight="false" outlineLevel="0" collapsed="false">
      <c r="A2251" s="5" t="s">
        <v>231</v>
      </c>
      <c r="B2251" s="5" t="s">
        <v>169</v>
      </c>
      <c r="C2251" s="5" t="n">
        <v>119</v>
      </c>
      <c r="D2251" s="5" t="s">
        <v>1075</v>
      </c>
      <c r="E2251" s="5" t="n">
        <v>7</v>
      </c>
      <c r="F2251" s="20" t="n">
        <v>8.9047539137404</v>
      </c>
      <c r="G2251" s="20" t="n">
        <f aca="false">9-F2251</f>
        <v>0.0952460862595963</v>
      </c>
      <c r="H2251" s="20" t="n">
        <f aca="false">IF(G2251&gt;=1,G2251,0)</f>
        <v>0</v>
      </c>
      <c r="I2251" s="5" t="s">
        <v>1076</v>
      </c>
      <c r="J2251" s="5" t="s">
        <v>2845</v>
      </c>
    </row>
    <row r="2252" customFormat="false" ht="15" hidden="false" customHeight="false" outlineLevel="0" collapsed="false">
      <c r="A2252" s="5" t="s">
        <v>231</v>
      </c>
      <c r="B2252" s="5" t="s">
        <v>169</v>
      </c>
      <c r="C2252" s="5" t="n">
        <v>120</v>
      </c>
      <c r="D2252" s="5" t="s">
        <v>1075</v>
      </c>
      <c r="E2252" s="5" t="n">
        <v>7</v>
      </c>
      <c r="F2252" s="20" t="n">
        <v>8.9047539137404</v>
      </c>
      <c r="G2252" s="20" t="n">
        <f aca="false">9-F2252</f>
        <v>0.0952460862596034</v>
      </c>
      <c r="H2252" s="20" t="n">
        <f aca="false">IF(G2252&gt;=1,G2252,0)</f>
        <v>0</v>
      </c>
      <c r="I2252" s="5" t="s">
        <v>1076</v>
      </c>
      <c r="J2252" s="5" t="s">
        <v>2846</v>
      </c>
    </row>
    <row r="2253" customFormat="false" ht="15" hidden="false" customHeight="false" outlineLevel="0" collapsed="false">
      <c r="A2253" s="5" t="s">
        <v>231</v>
      </c>
      <c r="B2253" s="5" t="s">
        <v>169</v>
      </c>
      <c r="C2253" s="5" t="n">
        <v>121</v>
      </c>
      <c r="D2253" s="5" t="s">
        <v>1075</v>
      </c>
      <c r="E2253" s="5" t="n">
        <v>7</v>
      </c>
      <c r="F2253" s="20" t="n">
        <v>8.90475391374039</v>
      </c>
      <c r="G2253" s="20" t="n">
        <f aca="false">9-F2253</f>
        <v>0.0952460862596105</v>
      </c>
      <c r="H2253" s="20" t="n">
        <f aca="false">IF(G2253&gt;=1,G2253,0)</f>
        <v>0</v>
      </c>
      <c r="I2253" s="5" t="s">
        <v>1076</v>
      </c>
      <c r="J2253" s="5" t="s">
        <v>2847</v>
      </c>
    </row>
    <row r="2254" customFormat="false" ht="15" hidden="false" customHeight="false" outlineLevel="0" collapsed="false">
      <c r="A2254" s="5" t="s">
        <v>231</v>
      </c>
      <c r="B2254" s="5" t="s">
        <v>169</v>
      </c>
      <c r="C2254" s="5" t="n">
        <v>122</v>
      </c>
      <c r="D2254" s="5" t="s">
        <v>1075</v>
      </c>
      <c r="E2254" s="5" t="n">
        <v>7</v>
      </c>
      <c r="F2254" s="20" t="n">
        <v>8.90475391374038</v>
      </c>
      <c r="G2254" s="20" t="n">
        <f aca="false">9-F2254</f>
        <v>0.0952460862596194</v>
      </c>
      <c r="H2254" s="20" t="n">
        <f aca="false">IF(G2254&gt;=1,G2254,0)</f>
        <v>0</v>
      </c>
      <c r="I2254" s="5" t="s">
        <v>1076</v>
      </c>
      <c r="J2254" s="5" t="s">
        <v>2848</v>
      </c>
    </row>
    <row r="2255" customFormat="false" ht="15" hidden="false" customHeight="false" outlineLevel="0" collapsed="false">
      <c r="A2255" s="5" t="s">
        <v>231</v>
      </c>
      <c r="B2255" s="5" t="s">
        <v>169</v>
      </c>
      <c r="C2255" s="5" t="n">
        <v>123</v>
      </c>
      <c r="D2255" s="5" t="s">
        <v>1075</v>
      </c>
      <c r="E2255" s="5" t="n">
        <v>7</v>
      </c>
      <c r="F2255" s="20" t="n">
        <v>8.90475391374038</v>
      </c>
      <c r="G2255" s="20" t="n">
        <f aca="false">9-F2255</f>
        <v>0.0952460862596194</v>
      </c>
      <c r="H2255" s="20" t="n">
        <f aca="false">IF(G2255&gt;=1,G2255,0)</f>
        <v>0</v>
      </c>
      <c r="I2255" s="5" t="s">
        <v>1076</v>
      </c>
      <c r="J2255" s="5" t="s">
        <v>2849</v>
      </c>
    </row>
    <row r="2256" customFormat="false" ht="15" hidden="false" customHeight="false" outlineLevel="0" collapsed="false">
      <c r="A2256" s="5" t="s">
        <v>231</v>
      </c>
      <c r="B2256" s="5" t="s">
        <v>169</v>
      </c>
      <c r="C2256" s="5" t="n">
        <v>124</v>
      </c>
      <c r="D2256" s="5" t="s">
        <v>1075</v>
      </c>
      <c r="E2256" s="5" t="n">
        <v>7</v>
      </c>
      <c r="F2256" s="20" t="n">
        <v>8.90475391374038</v>
      </c>
      <c r="G2256" s="20" t="n">
        <f aca="false">9-F2256</f>
        <v>0.0952460862596194</v>
      </c>
      <c r="H2256" s="20" t="n">
        <f aca="false">IF(G2256&gt;=1,G2256,0)</f>
        <v>0</v>
      </c>
      <c r="I2256" s="5" t="s">
        <v>1076</v>
      </c>
      <c r="J2256" s="5" t="s">
        <v>2850</v>
      </c>
    </row>
    <row r="2257" customFormat="false" ht="15" hidden="false" customHeight="false" outlineLevel="0" collapsed="false">
      <c r="A2257" s="5" t="s">
        <v>231</v>
      </c>
      <c r="B2257" s="5" t="s">
        <v>169</v>
      </c>
      <c r="C2257" s="5" t="n">
        <v>125</v>
      </c>
      <c r="D2257" s="5" t="s">
        <v>1075</v>
      </c>
      <c r="E2257" s="5" t="n">
        <v>7</v>
      </c>
      <c r="F2257" s="20" t="n">
        <v>8.90475391374038</v>
      </c>
      <c r="G2257" s="20" t="n">
        <f aca="false">9-F2257</f>
        <v>0.0952460862596194</v>
      </c>
      <c r="H2257" s="20" t="n">
        <f aca="false">IF(G2257&gt;=1,G2257,0)</f>
        <v>0</v>
      </c>
      <c r="I2257" s="5" t="s">
        <v>1076</v>
      </c>
      <c r="J2257" s="5" t="s">
        <v>2851</v>
      </c>
    </row>
    <row r="2258" customFormat="false" ht="15" hidden="false" customHeight="false" outlineLevel="0" collapsed="false">
      <c r="A2258" s="5" t="s">
        <v>231</v>
      </c>
      <c r="B2258" s="5" t="s">
        <v>169</v>
      </c>
      <c r="C2258" s="5" t="n">
        <v>126</v>
      </c>
      <c r="D2258" s="5" t="s">
        <v>1075</v>
      </c>
      <c r="E2258" s="5" t="n">
        <v>7</v>
      </c>
      <c r="F2258" s="20" t="n">
        <v>8.90475391374038</v>
      </c>
      <c r="G2258" s="20" t="n">
        <f aca="false">9-F2258</f>
        <v>0.0952460862596194</v>
      </c>
      <c r="H2258" s="20" t="n">
        <f aca="false">IF(G2258&gt;=1,G2258,0)</f>
        <v>0</v>
      </c>
      <c r="I2258" s="5" t="s">
        <v>1076</v>
      </c>
      <c r="J2258" s="5" t="s">
        <v>2852</v>
      </c>
    </row>
    <row r="2259" customFormat="false" ht="15" hidden="false" customHeight="false" outlineLevel="0" collapsed="false">
      <c r="A2259" s="5" t="s">
        <v>231</v>
      </c>
      <c r="B2259" s="5" t="s">
        <v>169</v>
      </c>
      <c r="C2259" s="5" t="n">
        <v>127</v>
      </c>
      <c r="D2259" s="5" t="s">
        <v>1075</v>
      </c>
      <c r="E2259" s="5" t="n">
        <v>7</v>
      </c>
      <c r="F2259" s="20" t="n">
        <v>8.90475391374038</v>
      </c>
      <c r="G2259" s="20" t="n">
        <f aca="false">9-F2259</f>
        <v>0.0952460862596194</v>
      </c>
      <c r="H2259" s="20" t="n">
        <f aca="false">IF(G2259&gt;=1,G2259,0)</f>
        <v>0</v>
      </c>
      <c r="I2259" s="5" t="s">
        <v>1076</v>
      </c>
      <c r="J2259" s="5" t="s">
        <v>2853</v>
      </c>
    </row>
    <row r="2260" customFormat="false" ht="15" hidden="false" customHeight="false" outlineLevel="0" collapsed="false">
      <c r="A2260" s="5" t="s">
        <v>231</v>
      </c>
      <c r="B2260" s="5" t="s">
        <v>169</v>
      </c>
      <c r="C2260" s="5" t="n">
        <v>128</v>
      </c>
      <c r="D2260" s="5" t="s">
        <v>1075</v>
      </c>
      <c r="E2260" s="5" t="n">
        <v>7</v>
      </c>
      <c r="F2260" s="20" t="n">
        <v>8.90475391374038</v>
      </c>
      <c r="G2260" s="20" t="n">
        <f aca="false">9-F2260</f>
        <v>0.0952460862596194</v>
      </c>
      <c r="H2260" s="20" t="n">
        <f aca="false">IF(G2260&gt;=1,G2260,0)</f>
        <v>0</v>
      </c>
      <c r="I2260" s="5" t="s">
        <v>1076</v>
      </c>
      <c r="J2260" s="5" t="s">
        <v>2854</v>
      </c>
    </row>
    <row r="2261" customFormat="false" ht="15" hidden="false" customHeight="false" outlineLevel="0" collapsed="false">
      <c r="A2261" s="5" t="s">
        <v>231</v>
      </c>
      <c r="B2261" s="5" t="s">
        <v>169</v>
      </c>
      <c r="C2261" s="5" t="n">
        <v>129</v>
      </c>
      <c r="D2261" s="5" t="s">
        <v>1075</v>
      </c>
      <c r="E2261" s="5" t="n">
        <v>7</v>
      </c>
      <c r="F2261" s="20" t="n">
        <v>8.90475391374038</v>
      </c>
      <c r="G2261" s="20" t="n">
        <f aca="false">9-F2261</f>
        <v>0.0952460862596194</v>
      </c>
      <c r="H2261" s="20" t="n">
        <f aca="false">IF(G2261&gt;=1,G2261,0)</f>
        <v>0</v>
      </c>
      <c r="I2261" s="5" t="s">
        <v>1076</v>
      </c>
      <c r="J2261" s="5" t="s">
        <v>2855</v>
      </c>
    </row>
    <row r="2262" customFormat="false" ht="15" hidden="false" customHeight="false" outlineLevel="0" collapsed="false">
      <c r="A2262" s="5" t="s">
        <v>231</v>
      </c>
      <c r="B2262" s="5" t="s">
        <v>169</v>
      </c>
      <c r="C2262" s="5" t="n">
        <v>130</v>
      </c>
      <c r="D2262" s="5" t="s">
        <v>1075</v>
      </c>
      <c r="E2262" s="5" t="n">
        <v>7</v>
      </c>
      <c r="F2262" s="20" t="n">
        <v>8.90475391374038</v>
      </c>
      <c r="G2262" s="20" t="n">
        <f aca="false">9-F2262</f>
        <v>0.0952460862596194</v>
      </c>
      <c r="H2262" s="20" t="n">
        <f aca="false">IF(G2262&gt;=1,G2262,0)</f>
        <v>0</v>
      </c>
      <c r="I2262" s="5" t="s">
        <v>1076</v>
      </c>
      <c r="J2262" s="5" t="s">
        <v>2856</v>
      </c>
    </row>
    <row r="2263" customFormat="false" ht="15" hidden="false" customHeight="false" outlineLevel="0" collapsed="false">
      <c r="A2263" s="5" t="s">
        <v>231</v>
      </c>
      <c r="B2263" s="5" t="s">
        <v>169</v>
      </c>
      <c r="C2263" s="5" t="n">
        <v>131</v>
      </c>
      <c r="D2263" s="5" t="s">
        <v>1075</v>
      </c>
      <c r="E2263" s="5" t="n">
        <v>7</v>
      </c>
      <c r="F2263" s="20" t="n">
        <v>8.90475391374038</v>
      </c>
      <c r="G2263" s="20" t="n">
        <f aca="false">9-F2263</f>
        <v>0.0952460862596194</v>
      </c>
      <c r="H2263" s="20" t="n">
        <f aca="false">IF(G2263&gt;=1,G2263,0)</f>
        <v>0</v>
      </c>
      <c r="I2263" s="5" t="s">
        <v>1076</v>
      </c>
      <c r="J2263" s="5" t="s">
        <v>2857</v>
      </c>
    </row>
    <row r="2264" customFormat="false" ht="15" hidden="false" customHeight="false" outlineLevel="0" collapsed="false">
      <c r="A2264" s="5" t="s">
        <v>231</v>
      </c>
      <c r="B2264" s="5" t="s">
        <v>169</v>
      </c>
      <c r="C2264" s="5" t="n">
        <v>132</v>
      </c>
      <c r="D2264" s="5" t="s">
        <v>1075</v>
      </c>
      <c r="E2264" s="5" t="n">
        <v>7</v>
      </c>
      <c r="F2264" s="20" t="n">
        <v>8.90475391374038</v>
      </c>
      <c r="G2264" s="20" t="n">
        <f aca="false">9-F2264</f>
        <v>0.0952460862596194</v>
      </c>
      <c r="H2264" s="20" t="n">
        <f aca="false">IF(G2264&gt;=1,G2264,0)</f>
        <v>0</v>
      </c>
      <c r="I2264" s="5" t="s">
        <v>1076</v>
      </c>
      <c r="J2264" s="5" t="s">
        <v>2858</v>
      </c>
    </row>
    <row r="2265" customFormat="false" ht="15" hidden="false" customHeight="false" outlineLevel="0" collapsed="false">
      <c r="A2265" s="5" t="s">
        <v>231</v>
      </c>
      <c r="B2265" s="5" t="s">
        <v>169</v>
      </c>
      <c r="C2265" s="5" t="n">
        <v>133</v>
      </c>
      <c r="D2265" s="5" t="s">
        <v>1075</v>
      </c>
      <c r="E2265" s="5" t="n">
        <v>7</v>
      </c>
      <c r="F2265" s="20" t="n">
        <v>8.90475391374038</v>
      </c>
      <c r="G2265" s="20" t="n">
        <f aca="false">9-F2265</f>
        <v>0.0952460862596212</v>
      </c>
      <c r="H2265" s="20" t="n">
        <f aca="false">IF(G2265&gt;=1,G2265,0)</f>
        <v>0</v>
      </c>
      <c r="I2265" s="5" t="s">
        <v>1076</v>
      </c>
      <c r="J2265" s="5" t="s">
        <v>2859</v>
      </c>
    </row>
    <row r="2266" customFormat="false" ht="15" hidden="false" customHeight="false" outlineLevel="0" collapsed="false">
      <c r="A2266" s="5" t="s">
        <v>231</v>
      </c>
      <c r="B2266" s="5" t="s">
        <v>169</v>
      </c>
      <c r="C2266" s="5" t="n">
        <v>134</v>
      </c>
      <c r="D2266" s="5" t="s">
        <v>1075</v>
      </c>
      <c r="E2266" s="5" t="n">
        <v>7</v>
      </c>
      <c r="F2266" s="20" t="n">
        <v>8.90475391374038</v>
      </c>
      <c r="G2266" s="20" t="n">
        <f aca="false">9-F2266</f>
        <v>0.0952460862596247</v>
      </c>
      <c r="H2266" s="20" t="n">
        <f aca="false">IF(G2266&gt;=1,G2266,0)</f>
        <v>0</v>
      </c>
      <c r="I2266" s="5" t="s">
        <v>1076</v>
      </c>
      <c r="J2266" s="5" t="s">
        <v>2860</v>
      </c>
    </row>
    <row r="2267" customFormat="false" ht="15" hidden="false" customHeight="false" outlineLevel="0" collapsed="false">
      <c r="A2267" s="5" t="s">
        <v>231</v>
      </c>
      <c r="B2267" s="5" t="s">
        <v>169</v>
      </c>
      <c r="C2267" s="5" t="n">
        <v>135</v>
      </c>
      <c r="D2267" s="5" t="s">
        <v>1075</v>
      </c>
      <c r="E2267" s="5" t="n">
        <v>7</v>
      </c>
      <c r="F2267" s="20" t="n">
        <v>8.90475391374038</v>
      </c>
      <c r="G2267" s="20" t="n">
        <f aca="false">9-F2267</f>
        <v>0.0952460862596247</v>
      </c>
      <c r="H2267" s="20" t="n">
        <f aca="false">IF(G2267&gt;=1,G2267,0)</f>
        <v>0</v>
      </c>
      <c r="I2267" s="5" t="s">
        <v>1076</v>
      </c>
      <c r="J2267" s="5" t="s">
        <v>2861</v>
      </c>
    </row>
    <row r="2268" customFormat="false" ht="15" hidden="false" customHeight="false" outlineLevel="0" collapsed="false">
      <c r="A2268" s="5" t="s">
        <v>231</v>
      </c>
      <c r="B2268" s="5" t="s">
        <v>169</v>
      </c>
      <c r="C2268" s="5" t="n">
        <v>136</v>
      </c>
      <c r="D2268" s="5" t="s">
        <v>1075</v>
      </c>
      <c r="E2268" s="5" t="n">
        <v>7</v>
      </c>
      <c r="F2268" s="20" t="n">
        <v>8.90475391374038</v>
      </c>
      <c r="G2268" s="20" t="n">
        <f aca="false">9-F2268</f>
        <v>0.0952460862596247</v>
      </c>
      <c r="H2268" s="20" t="n">
        <f aca="false">IF(G2268&gt;=1,G2268,0)</f>
        <v>0</v>
      </c>
      <c r="I2268" s="5" t="s">
        <v>1076</v>
      </c>
      <c r="J2268" s="5" t="s">
        <v>2862</v>
      </c>
    </row>
    <row r="2269" customFormat="false" ht="15" hidden="false" customHeight="false" outlineLevel="0" collapsed="false">
      <c r="A2269" s="5" t="s">
        <v>231</v>
      </c>
      <c r="B2269" s="5" t="s">
        <v>169</v>
      </c>
      <c r="C2269" s="5" t="n">
        <v>137</v>
      </c>
      <c r="D2269" s="5" t="s">
        <v>1075</v>
      </c>
      <c r="E2269" s="5" t="n">
        <v>7</v>
      </c>
      <c r="F2269" s="20" t="n">
        <v>8.90475391374038</v>
      </c>
      <c r="G2269" s="20" t="n">
        <f aca="false">9-F2269</f>
        <v>0.0952460862596247</v>
      </c>
      <c r="H2269" s="20" t="n">
        <f aca="false">IF(G2269&gt;=1,G2269,0)</f>
        <v>0</v>
      </c>
      <c r="I2269" s="5" t="s">
        <v>1076</v>
      </c>
      <c r="J2269" s="5" t="s">
        <v>2863</v>
      </c>
    </row>
    <row r="2270" customFormat="false" ht="15" hidden="false" customHeight="false" outlineLevel="0" collapsed="false">
      <c r="A2270" s="5" t="s">
        <v>231</v>
      </c>
      <c r="B2270" s="5" t="s">
        <v>169</v>
      </c>
      <c r="C2270" s="5" t="n">
        <v>138</v>
      </c>
      <c r="D2270" s="5" t="s">
        <v>1075</v>
      </c>
      <c r="E2270" s="5" t="n">
        <v>7</v>
      </c>
      <c r="F2270" s="20" t="n">
        <v>8.90475391374038</v>
      </c>
      <c r="G2270" s="20" t="n">
        <f aca="false">9-F2270</f>
        <v>0.0952460862596247</v>
      </c>
      <c r="H2270" s="20" t="n">
        <f aca="false">IF(G2270&gt;=1,G2270,0)</f>
        <v>0</v>
      </c>
      <c r="I2270" s="5" t="s">
        <v>1076</v>
      </c>
      <c r="J2270" s="5" t="s">
        <v>2864</v>
      </c>
    </row>
    <row r="2271" customFormat="false" ht="15" hidden="false" customHeight="false" outlineLevel="0" collapsed="false">
      <c r="A2271" s="5" t="s">
        <v>231</v>
      </c>
      <c r="B2271" s="5" t="s">
        <v>169</v>
      </c>
      <c r="C2271" s="5" t="n">
        <v>139</v>
      </c>
      <c r="D2271" s="5" t="s">
        <v>1075</v>
      </c>
      <c r="E2271" s="5" t="n">
        <v>7</v>
      </c>
      <c r="F2271" s="20" t="n">
        <v>8.90475391374037</v>
      </c>
      <c r="G2271" s="20" t="n">
        <f aca="false">9-F2271</f>
        <v>0.0952460862596265</v>
      </c>
      <c r="H2271" s="20" t="n">
        <f aca="false">IF(G2271&gt;=1,G2271,0)</f>
        <v>0</v>
      </c>
      <c r="I2271" s="5" t="s">
        <v>1076</v>
      </c>
      <c r="J2271" s="5" t="s">
        <v>2865</v>
      </c>
    </row>
    <row r="2272" customFormat="false" ht="15" hidden="false" customHeight="false" outlineLevel="0" collapsed="false">
      <c r="A2272" s="5" t="s">
        <v>231</v>
      </c>
      <c r="B2272" s="5" t="s">
        <v>169</v>
      </c>
      <c r="C2272" s="5" t="n">
        <v>140</v>
      </c>
      <c r="D2272" s="5" t="s">
        <v>1075</v>
      </c>
      <c r="E2272" s="5" t="n">
        <v>7</v>
      </c>
      <c r="F2272" s="20" t="n">
        <v>8.90475391374037</v>
      </c>
      <c r="G2272" s="20" t="n">
        <f aca="false">9-F2272</f>
        <v>0.0952460862596265</v>
      </c>
      <c r="H2272" s="20" t="n">
        <f aca="false">IF(G2272&gt;=1,G2272,0)</f>
        <v>0</v>
      </c>
      <c r="I2272" s="5" t="s">
        <v>1076</v>
      </c>
      <c r="J2272" s="5" t="s">
        <v>2866</v>
      </c>
    </row>
    <row r="2273" customFormat="false" ht="15" hidden="false" customHeight="false" outlineLevel="0" collapsed="false">
      <c r="A2273" s="5" t="s">
        <v>231</v>
      </c>
      <c r="B2273" s="5" t="s">
        <v>169</v>
      </c>
      <c r="C2273" s="5" t="n">
        <v>141</v>
      </c>
      <c r="D2273" s="5" t="s">
        <v>1075</v>
      </c>
      <c r="E2273" s="5" t="n">
        <v>7</v>
      </c>
      <c r="F2273" s="20" t="n">
        <v>8.90475391374037</v>
      </c>
      <c r="G2273" s="20" t="n">
        <f aca="false">9-F2273</f>
        <v>0.0952460862596265</v>
      </c>
      <c r="H2273" s="20" t="n">
        <f aca="false">IF(G2273&gt;=1,G2273,0)</f>
        <v>0</v>
      </c>
      <c r="I2273" s="5" t="s">
        <v>1076</v>
      </c>
      <c r="J2273" s="5" t="s">
        <v>2867</v>
      </c>
    </row>
    <row r="2274" customFormat="false" ht="15" hidden="false" customHeight="false" outlineLevel="0" collapsed="false">
      <c r="A2274" s="5" t="s">
        <v>231</v>
      </c>
      <c r="B2274" s="5" t="s">
        <v>169</v>
      </c>
      <c r="C2274" s="5" t="n">
        <v>142</v>
      </c>
      <c r="D2274" s="5" t="s">
        <v>1075</v>
      </c>
      <c r="E2274" s="5" t="n">
        <v>7</v>
      </c>
      <c r="F2274" s="20" t="n">
        <v>8.90475391374037</v>
      </c>
      <c r="G2274" s="20" t="n">
        <f aca="false">9-F2274</f>
        <v>0.0952460862596265</v>
      </c>
      <c r="H2274" s="20" t="n">
        <f aca="false">IF(G2274&gt;=1,G2274,0)</f>
        <v>0</v>
      </c>
      <c r="I2274" s="5" t="s">
        <v>1076</v>
      </c>
      <c r="J2274" s="5" t="s">
        <v>2868</v>
      </c>
    </row>
    <row r="2275" customFormat="false" ht="15" hidden="false" customHeight="false" outlineLevel="0" collapsed="false">
      <c r="A2275" s="5" t="s">
        <v>231</v>
      </c>
      <c r="B2275" s="5" t="s">
        <v>169</v>
      </c>
      <c r="C2275" s="5" t="n">
        <v>143</v>
      </c>
      <c r="D2275" s="5" t="s">
        <v>1075</v>
      </c>
      <c r="E2275" s="5" t="n">
        <v>7</v>
      </c>
      <c r="F2275" s="20" t="n">
        <v>8.90475391374037</v>
      </c>
      <c r="G2275" s="20" t="n">
        <f aca="false">9-F2275</f>
        <v>0.0952460862596265</v>
      </c>
      <c r="H2275" s="20" t="n">
        <f aca="false">IF(G2275&gt;=1,G2275,0)</f>
        <v>0</v>
      </c>
      <c r="I2275" s="5" t="s">
        <v>1076</v>
      </c>
      <c r="J2275" s="5" t="s">
        <v>2869</v>
      </c>
    </row>
    <row r="2276" customFormat="false" ht="15" hidden="false" customHeight="false" outlineLevel="0" collapsed="false">
      <c r="A2276" s="5" t="s">
        <v>231</v>
      </c>
      <c r="B2276" s="5" t="s">
        <v>169</v>
      </c>
      <c r="C2276" s="5" t="n">
        <v>144</v>
      </c>
      <c r="D2276" s="5" t="s">
        <v>1075</v>
      </c>
      <c r="E2276" s="5" t="n">
        <v>7</v>
      </c>
      <c r="F2276" s="20" t="n">
        <v>8.90475391374037</v>
      </c>
      <c r="G2276" s="20" t="n">
        <f aca="false">9-F2276</f>
        <v>0.0952460862596265</v>
      </c>
      <c r="H2276" s="20" t="n">
        <f aca="false">IF(G2276&gt;=1,G2276,0)</f>
        <v>0</v>
      </c>
      <c r="I2276" s="5" t="s">
        <v>1076</v>
      </c>
      <c r="J2276" s="5" t="s">
        <v>2870</v>
      </c>
    </row>
    <row r="2277" customFormat="false" ht="15" hidden="false" customHeight="false" outlineLevel="0" collapsed="false">
      <c r="A2277" s="5" t="s">
        <v>231</v>
      </c>
      <c r="B2277" s="5" t="s">
        <v>169</v>
      </c>
      <c r="C2277" s="5" t="n">
        <v>145</v>
      </c>
      <c r="D2277" s="5" t="s">
        <v>1075</v>
      </c>
      <c r="E2277" s="5" t="n">
        <v>7</v>
      </c>
      <c r="F2277" s="20" t="n">
        <v>8.90475391374037</v>
      </c>
      <c r="G2277" s="20" t="n">
        <f aca="false">9-F2277</f>
        <v>0.0952460862596283</v>
      </c>
      <c r="H2277" s="20" t="n">
        <f aca="false">IF(G2277&gt;=1,G2277,0)</f>
        <v>0</v>
      </c>
      <c r="I2277" s="5" t="s">
        <v>1076</v>
      </c>
      <c r="J2277" s="5" t="s">
        <v>2871</v>
      </c>
    </row>
    <row r="2278" customFormat="false" ht="15" hidden="false" customHeight="false" outlineLevel="0" collapsed="false">
      <c r="A2278" s="5" t="s">
        <v>231</v>
      </c>
      <c r="B2278" s="5" t="s">
        <v>169</v>
      </c>
      <c r="C2278" s="5" t="n">
        <v>146</v>
      </c>
      <c r="D2278" s="5" t="s">
        <v>1075</v>
      </c>
      <c r="E2278" s="5" t="n">
        <v>7</v>
      </c>
      <c r="F2278" s="20" t="n">
        <v>8.90475391374037</v>
      </c>
      <c r="G2278" s="20" t="n">
        <f aca="false">9-F2278</f>
        <v>0.0952460862596301</v>
      </c>
      <c r="H2278" s="20" t="n">
        <f aca="false">IF(G2278&gt;=1,G2278,0)</f>
        <v>0</v>
      </c>
      <c r="I2278" s="5" t="s">
        <v>1076</v>
      </c>
      <c r="J2278" s="5" t="s">
        <v>2872</v>
      </c>
    </row>
    <row r="2279" customFormat="false" ht="15" hidden="false" customHeight="false" outlineLevel="0" collapsed="false">
      <c r="A2279" s="5" t="s">
        <v>231</v>
      </c>
      <c r="B2279" s="5" t="s">
        <v>169</v>
      </c>
      <c r="C2279" s="5" t="n">
        <v>147</v>
      </c>
      <c r="D2279" s="5" t="s">
        <v>1075</v>
      </c>
      <c r="E2279" s="5" t="n">
        <v>7</v>
      </c>
      <c r="F2279" s="20" t="n">
        <v>8.90475391374037</v>
      </c>
      <c r="G2279" s="20" t="n">
        <f aca="false">9-F2279</f>
        <v>0.0952460862596318</v>
      </c>
      <c r="H2279" s="20" t="n">
        <f aca="false">IF(G2279&gt;=1,G2279,0)</f>
        <v>0</v>
      </c>
      <c r="I2279" s="5" t="s">
        <v>1076</v>
      </c>
      <c r="J2279" s="5" t="s">
        <v>2873</v>
      </c>
    </row>
    <row r="2280" customFormat="false" ht="15" hidden="false" customHeight="false" outlineLevel="0" collapsed="false">
      <c r="A2280" s="5" t="s">
        <v>231</v>
      </c>
      <c r="B2280" s="5" t="s">
        <v>169</v>
      </c>
      <c r="C2280" s="5" t="n">
        <v>148</v>
      </c>
      <c r="D2280" s="5" t="s">
        <v>1075</v>
      </c>
      <c r="E2280" s="5" t="n">
        <v>7</v>
      </c>
      <c r="F2280" s="20" t="n">
        <v>8.90475391374037</v>
      </c>
      <c r="G2280" s="20" t="n">
        <f aca="false">9-F2280</f>
        <v>0.0952460862596318</v>
      </c>
      <c r="H2280" s="20" t="n">
        <f aca="false">IF(G2280&gt;=1,G2280,0)</f>
        <v>0</v>
      </c>
      <c r="I2280" s="5" t="s">
        <v>1076</v>
      </c>
      <c r="J2280" s="5" t="s">
        <v>2874</v>
      </c>
    </row>
    <row r="2281" customFormat="false" ht="15" hidden="false" customHeight="false" outlineLevel="0" collapsed="false">
      <c r="A2281" s="5" t="s">
        <v>231</v>
      </c>
      <c r="B2281" s="5" t="s">
        <v>169</v>
      </c>
      <c r="C2281" s="5" t="n">
        <v>149</v>
      </c>
      <c r="D2281" s="5" t="s">
        <v>1075</v>
      </c>
      <c r="E2281" s="5" t="n">
        <v>7</v>
      </c>
      <c r="F2281" s="20" t="n">
        <v>8.90475391374037</v>
      </c>
      <c r="G2281" s="20" t="n">
        <f aca="false">9-F2281</f>
        <v>0.0952460862596318</v>
      </c>
      <c r="H2281" s="20" t="n">
        <f aca="false">IF(G2281&gt;=1,G2281,0)</f>
        <v>0</v>
      </c>
      <c r="I2281" s="5" t="s">
        <v>1076</v>
      </c>
      <c r="J2281" s="5" t="s">
        <v>2875</v>
      </c>
    </row>
    <row r="2282" customFormat="false" ht="15" hidden="false" customHeight="false" outlineLevel="0" collapsed="false">
      <c r="A2282" s="5" t="s">
        <v>231</v>
      </c>
      <c r="B2282" s="5" t="s">
        <v>169</v>
      </c>
      <c r="C2282" s="5" t="n">
        <v>150</v>
      </c>
      <c r="D2282" s="5" t="s">
        <v>1075</v>
      </c>
      <c r="E2282" s="5" t="n">
        <v>7</v>
      </c>
      <c r="F2282" s="20" t="n">
        <v>8.90475391374037</v>
      </c>
      <c r="G2282" s="20" t="n">
        <f aca="false">9-F2282</f>
        <v>0.0952460862596318</v>
      </c>
      <c r="H2282" s="20" t="n">
        <f aca="false">IF(G2282&gt;=1,G2282,0)</f>
        <v>0</v>
      </c>
      <c r="I2282" s="5" t="s">
        <v>1076</v>
      </c>
      <c r="J2282" s="5" t="s">
        <v>2876</v>
      </c>
    </row>
    <row r="2283" customFormat="false" ht="15" hidden="false" customHeight="false" outlineLevel="0" collapsed="false">
      <c r="A2283" s="5" t="s">
        <v>231</v>
      </c>
      <c r="B2283" s="5" t="s">
        <v>169</v>
      </c>
      <c r="C2283" s="5" t="n">
        <v>151</v>
      </c>
      <c r="D2283" s="5" t="s">
        <v>1075</v>
      </c>
      <c r="E2283" s="5" t="n">
        <v>7</v>
      </c>
      <c r="F2283" s="20" t="n">
        <v>8.90475391374037</v>
      </c>
      <c r="G2283" s="20" t="n">
        <f aca="false">9-F2283</f>
        <v>0.0952460862596318</v>
      </c>
      <c r="H2283" s="20" t="n">
        <f aca="false">IF(G2283&gt;=1,G2283,0)</f>
        <v>0</v>
      </c>
      <c r="I2283" s="5" t="s">
        <v>1076</v>
      </c>
      <c r="J2283" s="5" t="s">
        <v>2877</v>
      </c>
    </row>
    <row r="2284" customFormat="false" ht="15" hidden="false" customHeight="false" outlineLevel="0" collapsed="false">
      <c r="A2284" s="5" t="s">
        <v>231</v>
      </c>
      <c r="B2284" s="5" t="s">
        <v>169</v>
      </c>
      <c r="C2284" s="5" t="n">
        <v>152</v>
      </c>
      <c r="D2284" s="5" t="s">
        <v>1075</v>
      </c>
      <c r="E2284" s="5" t="n">
        <v>7</v>
      </c>
      <c r="F2284" s="20" t="n">
        <v>8.90475391374037</v>
      </c>
      <c r="G2284" s="20" t="n">
        <f aca="false">9-F2284</f>
        <v>0.0952460862596318</v>
      </c>
      <c r="H2284" s="20" t="n">
        <f aca="false">IF(G2284&gt;=1,G2284,0)</f>
        <v>0</v>
      </c>
      <c r="I2284" s="5" t="s">
        <v>1076</v>
      </c>
      <c r="J2284" s="5" t="s">
        <v>2878</v>
      </c>
    </row>
    <row r="2285" customFormat="false" ht="15" hidden="false" customHeight="false" outlineLevel="0" collapsed="false">
      <c r="A2285" s="5" t="s">
        <v>231</v>
      </c>
      <c r="B2285" s="5" t="s">
        <v>169</v>
      </c>
      <c r="C2285" s="5" t="n">
        <v>153</v>
      </c>
      <c r="D2285" s="5" t="s">
        <v>1075</v>
      </c>
      <c r="E2285" s="5" t="n">
        <v>7</v>
      </c>
      <c r="F2285" s="20" t="n">
        <v>8.90475391374037</v>
      </c>
      <c r="G2285" s="20" t="n">
        <f aca="false">9-F2285</f>
        <v>0.0952460862596318</v>
      </c>
      <c r="H2285" s="20" t="n">
        <f aca="false">IF(G2285&gt;=1,G2285,0)</f>
        <v>0</v>
      </c>
      <c r="I2285" s="5" t="s">
        <v>1076</v>
      </c>
      <c r="J2285" s="5" t="s">
        <v>2879</v>
      </c>
    </row>
    <row r="2286" customFormat="false" ht="15" hidden="false" customHeight="false" outlineLevel="0" collapsed="false">
      <c r="A2286" s="5" t="s">
        <v>231</v>
      </c>
      <c r="B2286" s="5" t="s">
        <v>169</v>
      </c>
      <c r="C2286" s="5" t="n">
        <v>154</v>
      </c>
      <c r="D2286" s="5" t="s">
        <v>1075</v>
      </c>
      <c r="E2286" s="5" t="n">
        <v>7</v>
      </c>
      <c r="F2286" s="20" t="n">
        <v>8.90475391374037</v>
      </c>
      <c r="G2286" s="20" t="n">
        <f aca="false">9-F2286</f>
        <v>0.0952460862596318</v>
      </c>
      <c r="H2286" s="20" t="n">
        <f aca="false">IF(G2286&gt;=1,G2286,0)</f>
        <v>0</v>
      </c>
      <c r="I2286" s="5" t="s">
        <v>1076</v>
      </c>
      <c r="J2286" s="5" t="s">
        <v>2880</v>
      </c>
    </row>
    <row r="2287" customFormat="false" ht="15" hidden="false" customHeight="false" outlineLevel="0" collapsed="false">
      <c r="A2287" s="5" t="s">
        <v>231</v>
      </c>
      <c r="B2287" s="5" t="s">
        <v>169</v>
      </c>
      <c r="C2287" s="5" t="n">
        <v>155</v>
      </c>
      <c r="D2287" s="5" t="s">
        <v>1075</v>
      </c>
      <c r="E2287" s="5" t="n">
        <v>7</v>
      </c>
      <c r="F2287" s="20" t="n">
        <v>8.90475391374037</v>
      </c>
      <c r="G2287" s="20" t="n">
        <f aca="false">9-F2287</f>
        <v>0.0952460862596318</v>
      </c>
      <c r="H2287" s="20" t="n">
        <f aca="false">IF(G2287&gt;=1,G2287,0)</f>
        <v>0</v>
      </c>
      <c r="I2287" s="5" t="s">
        <v>1076</v>
      </c>
      <c r="J2287" s="5" t="s">
        <v>2881</v>
      </c>
    </row>
    <row r="2288" customFormat="false" ht="15" hidden="false" customHeight="false" outlineLevel="0" collapsed="false">
      <c r="A2288" s="5" t="s">
        <v>231</v>
      </c>
      <c r="B2288" s="5" t="s">
        <v>169</v>
      </c>
      <c r="C2288" s="5" t="n">
        <v>156</v>
      </c>
      <c r="D2288" s="5" t="s">
        <v>1075</v>
      </c>
      <c r="E2288" s="5" t="n">
        <v>7</v>
      </c>
      <c r="F2288" s="20" t="n">
        <v>8.90475391374037</v>
      </c>
      <c r="G2288" s="20" t="n">
        <f aca="false">9-F2288</f>
        <v>0.0952460862596318</v>
      </c>
      <c r="H2288" s="20" t="n">
        <f aca="false">IF(G2288&gt;=1,G2288,0)</f>
        <v>0</v>
      </c>
      <c r="I2288" s="5" t="s">
        <v>1076</v>
      </c>
      <c r="J2288" s="5" t="s">
        <v>2882</v>
      </c>
    </row>
    <row r="2289" customFormat="false" ht="15" hidden="false" customHeight="false" outlineLevel="0" collapsed="false">
      <c r="A2289" s="5" t="s">
        <v>231</v>
      </c>
      <c r="B2289" s="5" t="s">
        <v>169</v>
      </c>
      <c r="C2289" s="5" t="n">
        <v>157</v>
      </c>
      <c r="D2289" s="5" t="s">
        <v>1075</v>
      </c>
      <c r="E2289" s="5" t="n">
        <v>7</v>
      </c>
      <c r="F2289" s="20" t="n">
        <v>8.90475391374036</v>
      </c>
      <c r="G2289" s="20" t="n">
        <f aca="false">9-F2289</f>
        <v>0.0952460862596372</v>
      </c>
      <c r="H2289" s="20" t="n">
        <f aca="false">IF(G2289&gt;=1,G2289,0)</f>
        <v>0</v>
      </c>
      <c r="I2289" s="5" t="s">
        <v>1076</v>
      </c>
      <c r="J2289" s="5" t="s">
        <v>2883</v>
      </c>
    </row>
    <row r="2290" customFormat="false" ht="15" hidden="false" customHeight="false" outlineLevel="0" collapsed="false">
      <c r="A2290" s="5" t="s">
        <v>231</v>
      </c>
      <c r="B2290" s="5" t="s">
        <v>169</v>
      </c>
      <c r="C2290" s="5" t="n">
        <v>158</v>
      </c>
      <c r="D2290" s="5" t="s">
        <v>1075</v>
      </c>
      <c r="E2290" s="5" t="n">
        <v>7</v>
      </c>
      <c r="F2290" s="20" t="n">
        <v>8.90475391374036</v>
      </c>
      <c r="G2290" s="20" t="n">
        <f aca="false">9-F2290</f>
        <v>0.0952460862596407</v>
      </c>
      <c r="H2290" s="20" t="n">
        <f aca="false">IF(G2290&gt;=1,G2290,0)</f>
        <v>0</v>
      </c>
      <c r="I2290" s="5" t="s">
        <v>1076</v>
      </c>
      <c r="J2290" s="5" t="s">
        <v>2884</v>
      </c>
    </row>
    <row r="2291" customFormat="false" ht="15" hidden="false" customHeight="false" outlineLevel="0" collapsed="false">
      <c r="A2291" s="5" t="s">
        <v>231</v>
      </c>
      <c r="B2291" s="5" t="s">
        <v>169</v>
      </c>
      <c r="C2291" s="5" t="n">
        <v>159</v>
      </c>
      <c r="D2291" s="5" t="s">
        <v>1075</v>
      </c>
      <c r="E2291" s="5" t="n">
        <v>7</v>
      </c>
      <c r="F2291" s="20" t="n">
        <v>8.90475391374036</v>
      </c>
      <c r="G2291" s="20" t="n">
        <f aca="false">9-F2291</f>
        <v>0.0952460862596407</v>
      </c>
      <c r="H2291" s="20" t="n">
        <f aca="false">IF(G2291&gt;=1,G2291,0)</f>
        <v>0</v>
      </c>
      <c r="I2291" s="5" t="s">
        <v>1076</v>
      </c>
      <c r="J2291" s="5" t="s">
        <v>2885</v>
      </c>
    </row>
    <row r="2292" customFormat="false" ht="15" hidden="false" customHeight="false" outlineLevel="0" collapsed="false">
      <c r="A2292" s="5" t="s">
        <v>231</v>
      </c>
      <c r="B2292" s="5" t="s">
        <v>169</v>
      </c>
      <c r="C2292" s="5" t="n">
        <v>160</v>
      </c>
      <c r="D2292" s="5" t="s">
        <v>1075</v>
      </c>
      <c r="E2292" s="5" t="n">
        <v>7</v>
      </c>
      <c r="F2292" s="20" t="n">
        <v>8.90475391374036</v>
      </c>
      <c r="G2292" s="20" t="n">
        <f aca="false">9-F2292</f>
        <v>0.0952460862596407</v>
      </c>
      <c r="H2292" s="20" t="n">
        <f aca="false">IF(G2292&gt;=1,G2292,0)</f>
        <v>0</v>
      </c>
      <c r="I2292" s="5" t="s">
        <v>1076</v>
      </c>
      <c r="J2292" s="5" t="s">
        <v>2885</v>
      </c>
    </row>
    <row r="2293" customFormat="false" ht="15" hidden="false" customHeight="false" outlineLevel="0" collapsed="false">
      <c r="A2293" s="5" t="s">
        <v>231</v>
      </c>
      <c r="B2293" s="5" t="s">
        <v>169</v>
      </c>
      <c r="C2293" s="5" t="n">
        <v>161</v>
      </c>
      <c r="D2293" s="5" t="s">
        <v>1075</v>
      </c>
      <c r="E2293" s="5" t="n">
        <v>7</v>
      </c>
      <c r="F2293" s="20" t="n">
        <v>8.90475391374036</v>
      </c>
      <c r="G2293" s="20" t="n">
        <f aca="false">9-F2293</f>
        <v>0.0952460862596407</v>
      </c>
      <c r="H2293" s="20" t="n">
        <f aca="false">IF(G2293&gt;=1,G2293,0)</f>
        <v>0</v>
      </c>
      <c r="I2293" s="5" t="s">
        <v>1076</v>
      </c>
      <c r="J2293" s="5" t="s">
        <v>2886</v>
      </c>
    </row>
    <row r="2294" customFormat="false" ht="15" hidden="false" customHeight="false" outlineLevel="0" collapsed="false">
      <c r="A2294" s="5" t="s">
        <v>231</v>
      </c>
      <c r="B2294" s="5" t="s">
        <v>169</v>
      </c>
      <c r="C2294" s="5" t="n">
        <v>162</v>
      </c>
      <c r="D2294" s="5" t="s">
        <v>1075</v>
      </c>
      <c r="E2294" s="5" t="n">
        <v>7</v>
      </c>
      <c r="F2294" s="20" t="n">
        <v>8.90475391374036</v>
      </c>
      <c r="G2294" s="20" t="n">
        <f aca="false">9-F2294</f>
        <v>0.0952460862596407</v>
      </c>
      <c r="H2294" s="20" t="n">
        <f aca="false">IF(G2294&gt;=1,G2294,0)</f>
        <v>0</v>
      </c>
      <c r="I2294" s="5" t="s">
        <v>1076</v>
      </c>
      <c r="J2294" s="5" t="s">
        <v>2887</v>
      </c>
    </row>
    <row r="2295" customFormat="false" ht="15" hidden="false" customHeight="false" outlineLevel="0" collapsed="false">
      <c r="A2295" s="5" t="s">
        <v>231</v>
      </c>
      <c r="B2295" s="5" t="s">
        <v>169</v>
      </c>
      <c r="C2295" s="5" t="n">
        <v>163</v>
      </c>
      <c r="D2295" s="5" t="s">
        <v>1075</v>
      </c>
      <c r="E2295" s="5" t="n">
        <v>7</v>
      </c>
      <c r="F2295" s="20" t="n">
        <v>8.90475391374036</v>
      </c>
      <c r="G2295" s="20" t="n">
        <f aca="false">9-F2295</f>
        <v>0.0952460862596407</v>
      </c>
      <c r="H2295" s="20" t="n">
        <f aca="false">IF(G2295&gt;=1,G2295,0)</f>
        <v>0</v>
      </c>
      <c r="I2295" s="5" t="s">
        <v>1076</v>
      </c>
      <c r="J2295" s="5" t="s">
        <v>2888</v>
      </c>
    </row>
    <row r="2296" customFormat="false" ht="15" hidden="false" customHeight="false" outlineLevel="0" collapsed="false">
      <c r="A2296" s="5" t="s">
        <v>231</v>
      </c>
      <c r="B2296" s="5" t="s">
        <v>169</v>
      </c>
      <c r="C2296" s="5" t="n">
        <v>164</v>
      </c>
      <c r="D2296" s="5" t="s">
        <v>1075</v>
      </c>
      <c r="E2296" s="5" t="n">
        <v>7</v>
      </c>
      <c r="F2296" s="20" t="n">
        <v>8.90475391374036</v>
      </c>
      <c r="G2296" s="20" t="n">
        <f aca="false">9-F2296</f>
        <v>0.0952460862596407</v>
      </c>
      <c r="H2296" s="20" t="n">
        <f aca="false">IF(G2296&gt;=1,G2296,0)</f>
        <v>0</v>
      </c>
      <c r="I2296" s="5" t="s">
        <v>1076</v>
      </c>
      <c r="J2296" s="5" t="s">
        <v>2889</v>
      </c>
    </row>
    <row r="2297" customFormat="false" ht="15" hidden="false" customHeight="false" outlineLevel="0" collapsed="false">
      <c r="A2297" s="5" t="s">
        <v>231</v>
      </c>
      <c r="B2297" s="5" t="s">
        <v>169</v>
      </c>
      <c r="C2297" s="5" t="n">
        <v>165</v>
      </c>
      <c r="D2297" s="5" t="s">
        <v>1075</v>
      </c>
      <c r="E2297" s="5" t="n">
        <v>7</v>
      </c>
      <c r="F2297" s="20" t="n">
        <v>8.90475391374036</v>
      </c>
      <c r="G2297" s="20" t="n">
        <f aca="false">9-F2297</f>
        <v>0.0952460862596407</v>
      </c>
      <c r="H2297" s="20" t="n">
        <f aca="false">IF(G2297&gt;=1,G2297,0)</f>
        <v>0</v>
      </c>
      <c r="I2297" s="5" t="s">
        <v>1076</v>
      </c>
      <c r="J2297" s="5" t="s">
        <v>2890</v>
      </c>
    </row>
    <row r="2298" customFormat="false" ht="15" hidden="false" customHeight="false" outlineLevel="0" collapsed="false">
      <c r="A2298" s="5" t="s">
        <v>231</v>
      </c>
      <c r="B2298" s="5" t="s">
        <v>169</v>
      </c>
      <c r="C2298" s="5" t="n">
        <v>166</v>
      </c>
      <c r="D2298" s="5" t="s">
        <v>1075</v>
      </c>
      <c r="E2298" s="5" t="n">
        <v>7</v>
      </c>
      <c r="F2298" s="20" t="n">
        <v>8.90475391374036</v>
      </c>
      <c r="G2298" s="20" t="n">
        <f aca="false">9-F2298</f>
        <v>0.0952460862596407</v>
      </c>
      <c r="H2298" s="20" t="n">
        <f aca="false">IF(G2298&gt;=1,G2298,0)</f>
        <v>0</v>
      </c>
      <c r="I2298" s="5" t="s">
        <v>1076</v>
      </c>
      <c r="J2298" s="5" t="s">
        <v>2891</v>
      </c>
    </row>
    <row r="2299" customFormat="false" ht="15" hidden="false" customHeight="false" outlineLevel="0" collapsed="false">
      <c r="A2299" s="5" t="s">
        <v>231</v>
      </c>
      <c r="B2299" s="5" t="s">
        <v>169</v>
      </c>
      <c r="C2299" s="5" t="n">
        <v>167</v>
      </c>
      <c r="D2299" s="5" t="s">
        <v>1075</v>
      </c>
      <c r="E2299" s="5" t="n">
        <v>7</v>
      </c>
      <c r="F2299" s="20" t="n">
        <v>8.90475391374036</v>
      </c>
      <c r="G2299" s="20" t="n">
        <f aca="false">9-F2299</f>
        <v>0.0952460862596407</v>
      </c>
      <c r="H2299" s="20" t="n">
        <f aca="false">IF(G2299&gt;=1,G2299,0)</f>
        <v>0</v>
      </c>
      <c r="I2299" s="5" t="s">
        <v>1076</v>
      </c>
      <c r="J2299" s="5" t="s">
        <v>2892</v>
      </c>
    </row>
    <row r="2300" customFormat="false" ht="15" hidden="false" customHeight="false" outlineLevel="0" collapsed="false">
      <c r="A2300" s="5" t="s">
        <v>231</v>
      </c>
      <c r="B2300" s="5" t="s">
        <v>169</v>
      </c>
      <c r="C2300" s="5" t="n">
        <v>168</v>
      </c>
      <c r="D2300" s="5" t="s">
        <v>1075</v>
      </c>
      <c r="E2300" s="5" t="n">
        <v>7</v>
      </c>
      <c r="F2300" s="20" t="n">
        <v>8.90475391374036</v>
      </c>
      <c r="G2300" s="20" t="n">
        <f aca="false">9-F2300</f>
        <v>0.0952460862596407</v>
      </c>
      <c r="H2300" s="20" t="n">
        <f aca="false">IF(G2300&gt;=1,G2300,0)</f>
        <v>0</v>
      </c>
      <c r="I2300" s="5" t="s">
        <v>1076</v>
      </c>
      <c r="J2300" s="5" t="s">
        <v>2892</v>
      </c>
    </row>
    <row r="2301" customFormat="false" ht="15" hidden="false" customHeight="false" outlineLevel="0" collapsed="false">
      <c r="A2301" s="5" t="s">
        <v>231</v>
      </c>
      <c r="B2301" s="5" t="s">
        <v>169</v>
      </c>
      <c r="C2301" s="5" t="n">
        <v>169</v>
      </c>
      <c r="D2301" s="5" t="s">
        <v>1075</v>
      </c>
      <c r="E2301" s="5" t="n">
        <v>7</v>
      </c>
      <c r="F2301" s="20" t="n">
        <v>8.90475391374036</v>
      </c>
      <c r="G2301" s="20" t="n">
        <f aca="false">9-F2301</f>
        <v>0.0952460862596407</v>
      </c>
      <c r="H2301" s="20" t="n">
        <f aca="false">IF(G2301&gt;=1,G2301,0)</f>
        <v>0</v>
      </c>
      <c r="I2301" s="5" t="s">
        <v>1076</v>
      </c>
      <c r="J2301" s="5" t="s">
        <v>2893</v>
      </c>
    </row>
    <row r="2302" customFormat="false" ht="15" hidden="false" customHeight="false" outlineLevel="0" collapsed="false">
      <c r="A2302" s="5" t="s">
        <v>231</v>
      </c>
      <c r="B2302" s="5" t="s">
        <v>169</v>
      </c>
      <c r="C2302" s="5" t="n">
        <v>170</v>
      </c>
      <c r="D2302" s="5" t="s">
        <v>1075</v>
      </c>
      <c r="E2302" s="5" t="n">
        <v>7</v>
      </c>
      <c r="F2302" s="20" t="n">
        <v>8.90475391374036</v>
      </c>
      <c r="G2302" s="20" t="n">
        <f aca="false">9-F2302</f>
        <v>0.0952460862596425</v>
      </c>
      <c r="H2302" s="20" t="n">
        <f aca="false">IF(G2302&gt;=1,G2302,0)</f>
        <v>0</v>
      </c>
      <c r="I2302" s="5" t="s">
        <v>1076</v>
      </c>
      <c r="J2302" s="5" t="s">
        <v>2894</v>
      </c>
    </row>
    <row r="2303" customFormat="false" ht="15" hidden="false" customHeight="false" outlineLevel="0" collapsed="false">
      <c r="A2303" s="5" t="s">
        <v>231</v>
      </c>
      <c r="B2303" s="5" t="s">
        <v>169</v>
      </c>
      <c r="C2303" s="5" t="n">
        <v>171</v>
      </c>
      <c r="D2303" s="5" t="s">
        <v>1075</v>
      </c>
      <c r="E2303" s="5" t="n">
        <v>7</v>
      </c>
      <c r="F2303" s="20" t="n">
        <v>8.90475391374036</v>
      </c>
      <c r="G2303" s="20" t="n">
        <f aca="false">9-F2303</f>
        <v>0.0952460862596425</v>
      </c>
      <c r="H2303" s="20" t="n">
        <f aca="false">IF(G2303&gt;=1,G2303,0)</f>
        <v>0</v>
      </c>
      <c r="I2303" s="5" t="s">
        <v>1076</v>
      </c>
      <c r="J2303" s="5" t="s">
        <v>2895</v>
      </c>
    </row>
    <row r="2304" customFormat="false" ht="15" hidden="false" customHeight="false" outlineLevel="0" collapsed="false">
      <c r="A2304" s="5" t="s">
        <v>231</v>
      </c>
      <c r="B2304" s="5" t="s">
        <v>169</v>
      </c>
      <c r="C2304" s="5" t="n">
        <v>172</v>
      </c>
      <c r="D2304" s="5" t="s">
        <v>1075</v>
      </c>
      <c r="E2304" s="5" t="n">
        <v>7</v>
      </c>
      <c r="F2304" s="20" t="n">
        <v>8.90475391374036</v>
      </c>
      <c r="G2304" s="20" t="n">
        <f aca="false">9-F2304</f>
        <v>0.0952460862596425</v>
      </c>
      <c r="H2304" s="20" t="n">
        <f aca="false">IF(G2304&gt;=1,G2304,0)</f>
        <v>0</v>
      </c>
      <c r="I2304" s="5" t="s">
        <v>1076</v>
      </c>
      <c r="J2304" s="5" t="s">
        <v>2896</v>
      </c>
    </row>
    <row r="2305" customFormat="false" ht="15" hidden="false" customHeight="false" outlineLevel="0" collapsed="false">
      <c r="A2305" s="5" t="s">
        <v>231</v>
      </c>
      <c r="B2305" s="5" t="s">
        <v>169</v>
      </c>
      <c r="C2305" s="5" t="n">
        <v>173</v>
      </c>
      <c r="D2305" s="5" t="s">
        <v>1075</v>
      </c>
      <c r="E2305" s="5" t="n">
        <v>7</v>
      </c>
      <c r="F2305" s="20" t="n">
        <v>8.90475391374036</v>
      </c>
      <c r="G2305" s="20" t="n">
        <f aca="false">9-F2305</f>
        <v>0.0952460862596425</v>
      </c>
      <c r="H2305" s="20" t="n">
        <f aca="false">IF(G2305&gt;=1,G2305,0)</f>
        <v>0</v>
      </c>
      <c r="I2305" s="5" t="s">
        <v>1076</v>
      </c>
      <c r="J2305" s="5" t="s">
        <v>2897</v>
      </c>
    </row>
    <row r="2306" customFormat="false" ht="15" hidden="false" customHeight="false" outlineLevel="0" collapsed="false">
      <c r="A2306" s="5" t="s">
        <v>231</v>
      </c>
      <c r="B2306" s="5" t="s">
        <v>169</v>
      </c>
      <c r="C2306" s="5" t="n">
        <v>174</v>
      </c>
      <c r="D2306" s="5" t="s">
        <v>1075</v>
      </c>
      <c r="E2306" s="5" t="n">
        <v>7</v>
      </c>
      <c r="F2306" s="20" t="n">
        <v>8.90475391374036</v>
      </c>
      <c r="G2306" s="20" t="n">
        <f aca="false">9-F2306</f>
        <v>0.0952460862596425</v>
      </c>
      <c r="H2306" s="20" t="n">
        <f aca="false">IF(G2306&gt;=1,G2306,0)</f>
        <v>0</v>
      </c>
      <c r="I2306" s="5" t="s">
        <v>1076</v>
      </c>
      <c r="J2306" s="5" t="s">
        <v>2898</v>
      </c>
    </row>
    <row r="2307" customFormat="false" ht="15" hidden="false" customHeight="false" outlineLevel="0" collapsed="false">
      <c r="A2307" s="5" t="s">
        <v>231</v>
      </c>
      <c r="B2307" s="5" t="s">
        <v>169</v>
      </c>
      <c r="C2307" s="5" t="n">
        <v>175</v>
      </c>
      <c r="D2307" s="5" t="s">
        <v>1075</v>
      </c>
      <c r="E2307" s="5" t="n">
        <v>7</v>
      </c>
      <c r="F2307" s="20" t="n">
        <v>8.90475391374036</v>
      </c>
      <c r="G2307" s="20" t="n">
        <f aca="false">9-F2307</f>
        <v>0.0952460862596425</v>
      </c>
      <c r="H2307" s="20" t="n">
        <f aca="false">IF(G2307&gt;=1,G2307,0)</f>
        <v>0</v>
      </c>
      <c r="I2307" s="5" t="s">
        <v>1076</v>
      </c>
      <c r="J2307" s="5" t="s">
        <v>2899</v>
      </c>
    </row>
    <row r="2308" customFormat="false" ht="15" hidden="false" customHeight="false" outlineLevel="0" collapsed="false">
      <c r="A2308" s="5" t="s">
        <v>231</v>
      </c>
      <c r="B2308" s="5" t="s">
        <v>169</v>
      </c>
      <c r="C2308" s="5" t="n">
        <v>176</v>
      </c>
      <c r="D2308" s="5" t="s">
        <v>1075</v>
      </c>
      <c r="E2308" s="5" t="n">
        <v>7</v>
      </c>
      <c r="F2308" s="20" t="n">
        <v>8.90475391374036</v>
      </c>
      <c r="G2308" s="20" t="n">
        <f aca="false">9-F2308</f>
        <v>0.0952460862596425</v>
      </c>
      <c r="H2308" s="20" t="n">
        <f aca="false">IF(G2308&gt;=1,G2308,0)</f>
        <v>0</v>
      </c>
      <c r="I2308" s="5" t="s">
        <v>1076</v>
      </c>
      <c r="J2308" s="5" t="s">
        <v>2900</v>
      </c>
    </row>
    <row r="2309" customFormat="false" ht="15" hidden="false" customHeight="false" outlineLevel="0" collapsed="false">
      <c r="A2309" s="5" t="s">
        <v>231</v>
      </c>
      <c r="B2309" s="5" t="s">
        <v>169</v>
      </c>
      <c r="C2309" s="5" t="n">
        <v>177</v>
      </c>
      <c r="D2309" s="5" t="s">
        <v>1075</v>
      </c>
      <c r="E2309" s="5" t="n">
        <v>7</v>
      </c>
      <c r="F2309" s="20" t="n">
        <v>8.90475391374036</v>
      </c>
      <c r="G2309" s="20" t="n">
        <f aca="false">9-F2309</f>
        <v>0.0952460862596425</v>
      </c>
      <c r="H2309" s="20" t="n">
        <f aca="false">IF(G2309&gt;=1,G2309,0)</f>
        <v>0</v>
      </c>
      <c r="I2309" s="5" t="s">
        <v>1076</v>
      </c>
      <c r="J2309" s="5" t="s">
        <v>2901</v>
      </c>
    </row>
    <row r="2310" customFormat="false" ht="15" hidden="false" customHeight="false" outlineLevel="0" collapsed="false">
      <c r="A2310" s="5" t="s">
        <v>231</v>
      </c>
      <c r="B2310" s="5" t="s">
        <v>169</v>
      </c>
      <c r="C2310" s="5" t="n">
        <v>178</v>
      </c>
      <c r="D2310" s="5" t="s">
        <v>1075</v>
      </c>
      <c r="E2310" s="5" t="n">
        <v>7</v>
      </c>
      <c r="F2310" s="20" t="n">
        <v>8.90475391374036</v>
      </c>
      <c r="G2310" s="20" t="n">
        <f aca="false">9-F2310</f>
        <v>0.0952460862596425</v>
      </c>
      <c r="H2310" s="20" t="n">
        <f aca="false">IF(G2310&gt;=1,G2310,0)</f>
        <v>0</v>
      </c>
      <c r="I2310" s="5" t="s">
        <v>1076</v>
      </c>
      <c r="J2310" s="5" t="s">
        <v>2902</v>
      </c>
    </row>
    <row r="2311" customFormat="false" ht="15" hidden="false" customHeight="false" outlineLevel="0" collapsed="false">
      <c r="A2311" s="5" t="s">
        <v>231</v>
      </c>
      <c r="B2311" s="5" t="s">
        <v>169</v>
      </c>
      <c r="C2311" s="5" t="n">
        <v>179</v>
      </c>
      <c r="D2311" s="5" t="s">
        <v>1075</v>
      </c>
      <c r="E2311" s="5" t="n">
        <v>7</v>
      </c>
      <c r="F2311" s="20" t="n">
        <v>8.90475391374036</v>
      </c>
      <c r="G2311" s="20" t="n">
        <f aca="false">9-F2311</f>
        <v>0.0952460862596425</v>
      </c>
      <c r="H2311" s="20" t="n">
        <f aca="false">IF(G2311&gt;=1,G2311,0)</f>
        <v>0</v>
      </c>
      <c r="I2311" s="5" t="s">
        <v>1076</v>
      </c>
      <c r="J2311" s="5" t="s">
        <v>2903</v>
      </c>
    </row>
    <row r="2312" customFormat="false" ht="15" hidden="false" customHeight="false" outlineLevel="0" collapsed="false">
      <c r="A2312" s="5" t="s">
        <v>231</v>
      </c>
      <c r="B2312" s="5" t="s">
        <v>169</v>
      </c>
      <c r="C2312" s="5" t="n">
        <v>180</v>
      </c>
      <c r="D2312" s="5" t="s">
        <v>1075</v>
      </c>
      <c r="E2312" s="5" t="n">
        <v>7</v>
      </c>
      <c r="F2312" s="20" t="n">
        <v>8.90475391374036</v>
      </c>
      <c r="G2312" s="20" t="n">
        <f aca="false">9-F2312</f>
        <v>0.0952460862596425</v>
      </c>
      <c r="H2312" s="20" t="n">
        <f aca="false">IF(G2312&gt;=1,G2312,0)</f>
        <v>0</v>
      </c>
      <c r="I2312" s="5" t="s">
        <v>1076</v>
      </c>
      <c r="J2312" s="5" t="s">
        <v>2904</v>
      </c>
    </row>
    <row r="2313" customFormat="false" ht="15" hidden="false" customHeight="false" outlineLevel="0" collapsed="false">
      <c r="A2313" s="5" t="s">
        <v>231</v>
      </c>
      <c r="B2313" s="5" t="s">
        <v>169</v>
      </c>
      <c r="C2313" s="5" t="n">
        <v>181</v>
      </c>
      <c r="D2313" s="5" t="s">
        <v>1075</v>
      </c>
      <c r="E2313" s="5" t="n">
        <v>7</v>
      </c>
      <c r="F2313" s="20" t="n">
        <v>8.90475391374036</v>
      </c>
      <c r="G2313" s="20" t="n">
        <f aca="false">9-F2313</f>
        <v>0.0952460862596425</v>
      </c>
      <c r="H2313" s="20" t="n">
        <f aca="false">IF(G2313&gt;=1,G2313,0)</f>
        <v>0</v>
      </c>
      <c r="I2313" s="5" t="s">
        <v>1076</v>
      </c>
      <c r="J2313" s="5" t="s">
        <v>2905</v>
      </c>
    </row>
    <row r="2314" customFormat="false" ht="15" hidden="false" customHeight="false" outlineLevel="0" collapsed="false">
      <c r="A2314" s="5" t="s">
        <v>231</v>
      </c>
      <c r="B2314" s="5" t="s">
        <v>169</v>
      </c>
      <c r="C2314" s="5" t="n">
        <v>182</v>
      </c>
      <c r="D2314" s="5" t="s">
        <v>1075</v>
      </c>
      <c r="E2314" s="5" t="n">
        <v>7</v>
      </c>
      <c r="F2314" s="20" t="n">
        <v>8.90475391374036</v>
      </c>
      <c r="G2314" s="20" t="n">
        <f aca="false">9-F2314</f>
        <v>0.0952460862596425</v>
      </c>
      <c r="H2314" s="20" t="n">
        <f aca="false">IF(G2314&gt;=1,G2314,0)</f>
        <v>0</v>
      </c>
      <c r="I2314" s="5" t="s">
        <v>1076</v>
      </c>
      <c r="J2314" s="5" t="s">
        <v>2906</v>
      </c>
    </row>
    <row r="2315" customFormat="false" ht="15" hidden="false" customHeight="false" outlineLevel="0" collapsed="false">
      <c r="A2315" s="5" t="s">
        <v>231</v>
      </c>
      <c r="B2315" s="5" t="s">
        <v>169</v>
      </c>
      <c r="C2315" s="5" t="n">
        <v>183</v>
      </c>
      <c r="D2315" s="5" t="s">
        <v>1075</v>
      </c>
      <c r="E2315" s="5" t="n">
        <v>7</v>
      </c>
      <c r="F2315" s="20" t="n">
        <v>8.90475391374036</v>
      </c>
      <c r="G2315" s="20" t="n">
        <f aca="false">9-F2315</f>
        <v>0.0952460862596425</v>
      </c>
      <c r="H2315" s="20" t="n">
        <f aca="false">IF(G2315&gt;=1,G2315,0)</f>
        <v>0</v>
      </c>
      <c r="I2315" s="5" t="s">
        <v>1076</v>
      </c>
      <c r="J2315" s="5" t="s">
        <v>2907</v>
      </c>
    </row>
    <row r="2316" customFormat="false" ht="15" hidden="false" customHeight="false" outlineLevel="0" collapsed="false">
      <c r="A2316" s="5" t="s">
        <v>231</v>
      </c>
      <c r="B2316" s="5" t="s">
        <v>169</v>
      </c>
      <c r="C2316" s="5" t="n">
        <v>184</v>
      </c>
      <c r="D2316" s="5" t="s">
        <v>1075</v>
      </c>
      <c r="E2316" s="5" t="n">
        <v>7</v>
      </c>
      <c r="F2316" s="20" t="n">
        <v>8.90475391374036</v>
      </c>
      <c r="G2316" s="20" t="n">
        <f aca="false">9-F2316</f>
        <v>0.0952460862596425</v>
      </c>
      <c r="H2316" s="20" t="n">
        <f aca="false">IF(G2316&gt;=1,G2316,0)</f>
        <v>0</v>
      </c>
      <c r="I2316" s="5" t="s">
        <v>1076</v>
      </c>
      <c r="J2316" s="5" t="s">
        <v>2908</v>
      </c>
    </row>
    <row r="2317" customFormat="false" ht="15" hidden="false" customHeight="false" outlineLevel="0" collapsed="false">
      <c r="A2317" s="5" t="s">
        <v>231</v>
      </c>
      <c r="B2317" s="5" t="s">
        <v>169</v>
      </c>
      <c r="C2317" s="5" t="n">
        <v>185</v>
      </c>
      <c r="D2317" s="5" t="s">
        <v>1075</v>
      </c>
      <c r="E2317" s="5" t="n">
        <v>7</v>
      </c>
      <c r="F2317" s="20" t="n">
        <v>8.90475391374036</v>
      </c>
      <c r="G2317" s="20" t="n">
        <f aca="false">9-F2317</f>
        <v>0.0952460862596425</v>
      </c>
      <c r="H2317" s="20" t="n">
        <f aca="false">IF(G2317&gt;=1,G2317,0)</f>
        <v>0</v>
      </c>
      <c r="I2317" s="5" t="s">
        <v>1076</v>
      </c>
      <c r="J2317" s="5" t="s">
        <v>2909</v>
      </c>
    </row>
    <row r="2318" customFormat="false" ht="15" hidden="false" customHeight="false" outlineLevel="0" collapsed="false">
      <c r="A2318" s="5" t="s">
        <v>231</v>
      </c>
      <c r="B2318" s="5" t="s">
        <v>169</v>
      </c>
      <c r="C2318" s="5" t="n">
        <v>186</v>
      </c>
      <c r="D2318" s="5" t="s">
        <v>1075</v>
      </c>
      <c r="E2318" s="5" t="n">
        <v>7</v>
      </c>
      <c r="F2318" s="20" t="n">
        <v>8.90475391374036</v>
      </c>
      <c r="G2318" s="20" t="n">
        <f aca="false">9-F2318</f>
        <v>0.0952460862596425</v>
      </c>
      <c r="H2318" s="20" t="n">
        <f aca="false">IF(G2318&gt;=1,G2318,0)</f>
        <v>0</v>
      </c>
      <c r="I2318" s="5" t="s">
        <v>1076</v>
      </c>
      <c r="J2318" s="5" t="s">
        <v>2910</v>
      </c>
    </row>
    <row r="2319" customFormat="false" ht="15" hidden="false" customHeight="false" outlineLevel="0" collapsed="false">
      <c r="A2319" s="5" t="s">
        <v>231</v>
      </c>
      <c r="B2319" s="5" t="s">
        <v>169</v>
      </c>
      <c r="C2319" s="5" t="n">
        <v>187</v>
      </c>
      <c r="D2319" s="5" t="s">
        <v>1075</v>
      </c>
      <c r="E2319" s="5" t="n">
        <v>7</v>
      </c>
      <c r="F2319" s="20" t="n">
        <v>8.90475391374036</v>
      </c>
      <c r="G2319" s="20" t="n">
        <f aca="false">9-F2319</f>
        <v>0.0952460862596425</v>
      </c>
      <c r="H2319" s="20" t="n">
        <f aca="false">IF(G2319&gt;=1,G2319,0)</f>
        <v>0</v>
      </c>
      <c r="I2319" s="5" t="s">
        <v>1076</v>
      </c>
      <c r="J2319" s="5" t="s">
        <v>2911</v>
      </c>
    </row>
    <row r="2320" customFormat="false" ht="15" hidden="false" customHeight="false" outlineLevel="0" collapsed="false">
      <c r="A2320" s="5" t="s">
        <v>231</v>
      </c>
      <c r="B2320" s="5" t="s">
        <v>169</v>
      </c>
      <c r="C2320" s="5" t="n">
        <v>188</v>
      </c>
      <c r="D2320" s="5" t="s">
        <v>1075</v>
      </c>
      <c r="E2320" s="5" t="n">
        <v>7</v>
      </c>
      <c r="F2320" s="20" t="n">
        <v>8.90475391374036</v>
      </c>
      <c r="G2320" s="20" t="n">
        <f aca="false">9-F2320</f>
        <v>0.0952460862596425</v>
      </c>
      <c r="H2320" s="20" t="n">
        <f aca="false">IF(G2320&gt;=1,G2320,0)</f>
        <v>0</v>
      </c>
      <c r="I2320" s="5" t="s">
        <v>1076</v>
      </c>
      <c r="J2320" s="5" t="s">
        <v>2912</v>
      </c>
    </row>
    <row r="2321" customFormat="false" ht="15" hidden="false" customHeight="false" outlineLevel="0" collapsed="false">
      <c r="A2321" s="5" t="s">
        <v>231</v>
      </c>
      <c r="B2321" s="5" t="s">
        <v>169</v>
      </c>
      <c r="C2321" s="5" t="n">
        <v>189</v>
      </c>
      <c r="D2321" s="5" t="s">
        <v>1075</v>
      </c>
      <c r="E2321" s="5" t="n">
        <v>7</v>
      </c>
      <c r="F2321" s="20" t="n">
        <v>8.90475391374036</v>
      </c>
      <c r="G2321" s="20" t="n">
        <f aca="false">9-F2321</f>
        <v>0.0952460862596425</v>
      </c>
      <c r="H2321" s="20" t="n">
        <f aca="false">IF(G2321&gt;=1,G2321,0)</f>
        <v>0</v>
      </c>
      <c r="I2321" s="5" t="s">
        <v>1076</v>
      </c>
      <c r="J2321" s="5" t="s">
        <v>2913</v>
      </c>
    </row>
    <row r="2322" customFormat="false" ht="15" hidden="false" customHeight="false" outlineLevel="0" collapsed="false">
      <c r="A2322" s="5" t="s">
        <v>231</v>
      </c>
      <c r="B2322" s="5" t="s">
        <v>169</v>
      </c>
      <c r="C2322" s="5" t="n">
        <v>190</v>
      </c>
      <c r="D2322" s="5" t="s">
        <v>1075</v>
      </c>
      <c r="E2322" s="5" t="n">
        <v>7</v>
      </c>
      <c r="F2322" s="20" t="n">
        <v>8.90475391374036</v>
      </c>
      <c r="G2322" s="20" t="n">
        <f aca="false">9-F2322</f>
        <v>0.0952460862596425</v>
      </c>
      <c r="H2322" s="20" t="n">
        <f aca="false">IF(G2322&gt;=1,G2322,0)</f>
        <v>0</v>
      </c>
      <c r="I2322" s="5" t="s">
        <v>1076</v>
      </c>
      <c r="J2322" s="5" t="s">
        <v>2914</v>
      </c>
    </row>
    <row r="2323" customFormat="false" ht="15" hidden="false" customHeight="false" outlineLevel="0" collapsed="false">
      <c r="A2323" s="5" t="s">
        <v>231</v>
      </c>
      <c r="B2323" s="5" t="s">
        <v>169</v>
      </c>
      <c r="C2323" s="5" t="n">
        <v>191</v>
      </c>
      <c r="D2323" s="5" t="s">
        <v>1075</v>
      </c>
      <c r="E2323" s="5" t="n">
        <v>7</v>
      </c>
      <c r="F2323" s="20" t="n">
        <v>8.90475391374036</v>
      </c>
      <c r="G2323" s="20" t="n">
        <f aca="false">9-F2323</f>
        <v>0.0952460862596425</v>
      </c>
      <c r="H2323" s="20" t="n">
        <f aca="false">IF(G2323&gt;=1,G2323,0)</f>
        <v>0</v>
      </c>
      <c r="I2323" s="5" t="s">
        <v>1076</v>
      </c>
      <c r="J2323" s="5" t="s">
        <v>2915</v>
      </c>
    </row>
    <row r="2324" customFormat="false" ht="15" hidden="false" customHeight="false" outlineLevel="0" collapsed="false">
      <c r="A2324" s="5" t="s">
        <v>231</v>
      </c>
      <c r="B2324" s="5" t="s">
        <v>169</v>
      </c>
      <c r="C2324" s="5" t="n">
        <v>192</v>
      </c>
      <c r="D2324" s="5" t="s">
        <v>2368</v>
      </c>
      <c r="E2324" s="5" t="n">
        <v>7</v>
      </c>
      <c r="F2324" s="20" t="n">
        <v>8.85610757557249</v>
      </c>
      <c r="G2324" s="20" t="n">
        <f aca="false">9-F2324</f>
        <v>0.143892424427515</v>
      </c>
      <c r="H2324" s="20" t="n">
        <f aca="false">IF(G2324&gt;=1,G2324,0)</f>
        <v>0</v>
      </c>
      <c r="I2324" s="5" t="s">
        <v>2369</v>
      </c>
      <c r="J2324" s="5" t="s">
        <v>2916</v>
      </c>
    </row>
    <row r="2325" customFormat="false" ht="15" hidden="false" customHeight="false" outlineLevel="0" collapsed="false">
      <c r="A2325" s="5" t="s">
        <v>231</v>
      </c>
      <c r="B2325" s="5" t="s">
        <v>169</v>
      </c>
      <c r="C2325" s="5" t="n">
        <v>193</v>
      </c>
      <c r="D2325" s="5" t="s">
        <v>1152</v>
      </c>
      <c r="E2325" s="5" t="n">
        <v>8</v>
      </c>
      <c r="F2325" s="20" t="n">
        <v>8.90000000000001</v>
      </c>
      <c r="G2325" s="20" t="n">
        <f aca="false">9-F2325</f>
        <v>0.0999999999999872</v>
      </c>
      <c r="H2325" s="20" t="n">
        <f aca="false">IF(G2325&gt;=1,G2325,0)</f>
        <v>0</v>
      </c>
      <c r="I2325" s="5" t="s">
        <v>77</v>
      </c>
      <c r="J2325" s="5" t="s">
        <v>2917</v>
      </c>
    </row>
    <row r="2326" customFormat="false" ht="15" hidden="false" customHeight="false" outlineLevel="0" collapsed="false">
      <c r="A2326" s="5" t="s">
        <v>231</v>
      </c>
      <c r="B2326" s="5" t="s">
        <v>169</v>
      </c>
      <c r="C2326" s="5" t="n">
        <v>194</v>
      </c>
      <c r="D2326" s="5" t="s">
        <v>1154</v>
      </c>
      <c r="E2326" s="5" t="n">
        <v>9</v>
      </c>
      <c r="F2326" s="20" t="n">
        <v>8.79253876259544</v>
      </c>
      <c r="G2326" s="20" t="n">
        <f aca="false">9-F2326</f>
        <v>0.207461237404557</v>
      </c>
      <c r="H2326" s="20" t="n">
        <f aca="false">IF(G2326&gt;=1,G2326,0)</f>
        <v>0</v>
      </c>
      <c r="I2326" s="5" t="s">
        <v>922</v>
      </c>
      <c r="J2326" s="5" t="s">
        <v>2918</v>
      </c>
    </row>
    <row r="2327" customFormat="false" ht="15" hidden="false" customHeight="false" outlineLevel="0" collapsed="false">
      <c r="A2327" s="5" t="s">
        <v>231</v>
      </c>
      <c r="B2327" s="5" t="s">
        <v>169</v>
      </c>
      <c r="C2327" s="5" t="n">
        <v>195</v>
      </c>
      <c r="D2327" s="5" t="s">
        <v>1154</v>
      </c>
      <c r="E2327" s="5" t="n">
        <v>9</v>
      </c>
      <c r="F2327" s="20" t="n">
        <v>8.79253876259544</v>
      </c>
      <c r="G2327" s="20" t="n">
        <f aca="false">9-F2327</f>
        <v>0.207461237404562</v>
      </c>
      <c r="H2327" s="20" t="n">
        <f aca="false">IF(G2327&gt;=1,G2327,0)</f>
        <v>0</v>
      </c>
      <c r="I2327" s="5" t="s">
        <v>922</v>
      </c>
      <c r="J2327" s="5" t="s">
        <v>2919</v>
      </c>
    </row>
    <row r="2328" customFormat="false" ht="15" hidden="false" customHeight="false" outlineLevel="0" collapsed="false">
      <c r="A2328" s="5" t="s">
        <v>231</v>
      </c>
      <c r="B2328" s="5" t="s">
        <v>169</v>
      </c>
      <c r="C2328" s="5" t="n">
        <v>196</v>
      </c>
      <c r="D2328" s="5" t="s">
        <v>1154</v>
      </c>
      <c r="E2328" s="5" t="n">
        <v>9</v>
      </c>
      <c r="F2328" s="20" t="n">
        <v>8.79253876259544</v>
      </c>
      <c r="G2328" s="20" t="n">
        <f aca="false">9-F2328</f>
        <v>0.207461237404562</v>
      </c>
      <c r="H2328" s="20" t="n">
        <f aca="false">IF(G2328&gt;=1,G2328,0)</f>
        <v>0</v>
      </c>
      <c r="I2328" s="5" t="s">
        <v>922</v>
      </c>
      <c r="J2328" s="5" t="s">
        <v>2920</v>
      </c>
    </row>
    <row r="2329" customFormat="false" ht="15" hidden="false" customHeight="false" outlineLevel="0" collapsed="false">
      <c r="A2329" s="5" t="s">
        <v>231</v>
      </c>
      <c r="B2329" s="5" t="s">
        <v>169</v>
      </c>
      <c r="C2329" s="5" t="n">
        <v>197</v>
      </c>
      <c r="D2329" s="5" t="s">
        <v>2375</v>
      </c>
      <c r="E2329" s="5" t="n">
        <v>9</v>
      </c>
      <c r="F2329" s="20" t="n">
        <v>8.94917087531804</v>
      </c>
      <c r="G2329" s="20" t="n">
        <f aca="false">9-F2329</f>
        <v>0.0508291246819592</v>
      </c>
      <c r="H2329" s="20" t="n">
        <f aca="false">IF(G2329&gt;=1,G2329,0)</f>
        <v>0</v>
      </c>
      <c r="I2329" s="5" t="s">
        <v>939</v>
      </c>
      <c r="J2329" s="5" t="s">
        <v>2921</v>
      </c>
    </row>
    <row r="2330" customFormat="false" ht="15" hidden="false" customHeight="false" outlineLevel="0" collapsed="false">
      <c r="A2330" s="5" t="s">
        <v>231</v>
      </c>
      <c r="B2330" s="5" t="s">
        <v>169</v>
      </c>
      <c r="C2330" s="5" t="n">
        <v>198</v>
      </c>
      <c r="D2330" s="5" t="s">
        <v>2377</v>
      </c>
      <c r="E2330" s="5" t="n">
        <v>9</v>
      </c>
      <c r="F2330" s="20" t="n">
        <v>8.79617829073777</v>
      </c>
      <c r="G2330" s="20" t="n">
        <f aca="false">9-F2330</f>
        <v>0.203821709262231</v>
      </c>
      <c r="H2330" s="20" t="n">
        <f aca="false">IF(G2330&gt;=1,G2330,0)</f>
        <v>0</v>
      </c>
      <c r="I2330" s="5" t="s">
        <v>960</v>
      </c>
      <c r="J2330" s="5" t="s">
        <v>2922</v>
      </c>
    </row>
    <row r="2331" customFormat="false" ht="15" hidden="false" customHeight="false" outlineLevel="0" collapsed="false">
      <c r="A2331" s="5" t="s">
        <v>231</v>
      </c>
      <c r="B2331" s="5" t="s">
        <v>169</v>
      </c>
      <c r="C2331" s="5" t="n">
        <v>199</v>
      </c>
      <c r="D2331" s="5" t="s">
        <v>646</v>
      </c>
      <c r="E2331" s="5" t="n">
        <v>9</v>
      </c>
      <c r="F2331" s="20" t="n">
        <v>8.74742272671741</v>
      </c>
      <c r="G2331" s="20" t="n">
        <f aca="false">9-F2331</f>
        <v>0.252577273282595</v>
      </c>
      <c r="H2331" s="20" t="n">
        <f aca="false">IF(G2331&gt;=1,G2331,0)</f>
        <v>0</v>
      </c>
      <c r="I2331" s="5" t="s">
        <v>74</v>
      </c>
      <c r="J2331" s="5" t="s">
        <v>2923</v>
      </c>
    </row>
    <row r="2332" customFormat="false" ht="15" hidden="false" customHeight="false" outlineLevel="0" collapsed="false">
      <c r="A2332" s="5" t="s">
        <v>231</v>
      </c>
      <c r="B2332" s="5" t="s">
        <v>169</v>
      </c>
      <c r="C2332" s="5" t="n">
        <v>200</v>
      </c>
      <c r="D2332" s="5" t="s">
        <v>646</v>
      </c>
      <c r="E2332" s="5" t="n">
        <v>9</v>
      </c>
      <c r="F2332" s="20" t="n">
        <v>8.7474227267174</v>
      </c>
      <c r="G2332" s="20" t="n">
        <f aca="false">9-F2332</f>
        <v>0.252577273282602</v>
      </c>
      <c r="H2332" s="20" t="n">
        <f aca="false">IF(G2332&gt;=1,G2332,0)</f>
        <v>0</v>
      </c>
      <c r="I2332" s="5" t="s">
        <v>74</v>
      </c>
      <c r="J2332" s="5" t="s">
        <v>2924</v>
      </c>
    </row>
    <row r="2333" customFormat="false" ht="15" hidden="false" customHeight="false" outlineLevel="0" collapsed="false">
      <c r="A2333" s="5" t="s">
        <v>231</v>
      </c>
      <c r="B2333" s="5" t="s">
        <v>169</v>
      </c>
      <c r="C2333" s="5" t="n">
        <v>201</v>
      </c>
      <c r="D2333" s="5" t="s">
        <v>646</v>
      </c>
      <c r="E2333" s="5" t="n">
        <v>9</v>
      </c>
      <c r="F2333" s="20" t="n">
        <v>8.74742272671739</v>
      </c>
      <c r="G2333" s="20" t="n">
        <f aca="false">9-F2333</f>
        <v>0.252577273282615</v>
      </c>
      <c r="H2333" s="20" t="n">
        <f aca="false">IF(G2333&gt;=1,G2333,0)</f>
        <v>0</v>
      </c>
      <c r="I2333" s="5" t="s">
        <v>74</v>
      </c>
      <c r="J2333" s="5" t="s">
        <v>2925</v>
      </c>
    </row>
    <row r="2334" customFormat="false" ht="15" hidden="false" customHeight="false" outlineLevel="0" collapsed="false">
      <c r="A2334" s="5" t="s">
        <v>231</v>
      </c>
      <c r="B2334" s="5" t="s">
        <v>169</v>
      </c>
      <c r="C2334" s="5" t="n">
        <v>202</v>
      </c>
      <c r="D2334" s="5" t="s">
        <v>646</v>
      </c>
      <c r="E2334" s="5" t="n">
        <v>9</v>
      </c>
      <c r="F2334" s="20" t="n">
        <v>8.74742272671739</v>
      </c>
      <c r="G2334" s="20" t="n">
        <f aca="false">9-F2334</f>
        <v>0.252577273282615</v>
      </c>
      <c r="H2334" s="20" t="n">
        <f aca="false">IF(G2334&gt;=1,G2334,0)</f>
        <v>0</v>
      </c>
      <c r="I2334" s="5" t="s">
        <v>74</v>
      </c>
      <c r="J2334" s="5" t="s">
        <v>2926</v>
      </c>
    </row>
    <row r="2335" customFormat="false" ht="15" hidden="false" customHeight="false" outlineLevel="0" collapsed="false">
      <c r="A2335" s="5" t="s">
        <v>231</v>
      </c>
      <c r="B2335" s="5" t="s">
        <v>169</v>
      </c>
      <c r="C2335" s="5" t="n">
        <v>203</v>
      </c>
      <c r="D2335" s="5" t="s">
        <v>646</v>
      </c>
      <c r="E2335" s="5" t="n">
        <v>9</v>
      </c>
      <c r="F2335" s="20" t="n">
        <v>8.74742272671736</v>
      </c>
      <c r="G2335" s="20" t="n">
        <f aca="false">9-F2335</f>
        <v>0.252577273282638</v>
      </c>
      <c r="H2335" s="20" t="n">
        <f aca="false">IF(G2335&gt;=1,G2335,0)</f>
        <v>0</v>
      </c>
      <c r="I2335" s="5" t="s">
        <v>74</v>
      </c>
      <c r="J2335" s="5" t="s">
        <v>2927</v>
      </c>
    </row>
    <row r="2336" customFormat="false" ht="15" hidden="false" customHeight="false" outlineLevel="0" collapsed="false">
      <c r="A2336" s="5" t="s">
        <v>231</v>
      </c>
      <c r="B2336" s="5" t="s">
        <v>169</v>
      </c>
      <c r="C2336" s="5" t="n">
        <v>204</v>
      </c>
      <c r="D2336" s="5" t="s">
        <v>646</v>
      </c>
      <c r="E2336" s="5" t="n">
        <v>9</v>
      </c>
      <c r="F2336" s="20" t="n">
        <v>8.74742272671736</v>
      </c>
      <c r="G2336" s="20" t="n">
        <f aca="false">9-F2336</f>
        <v>0.252577273282643</v>
      </c>
      <c r="H2336" s="20" t="n">
        <f aca="false">IF(G2336&gt;=1,G2336,0)</f>
        <v>0</v>
      </c>
      <c r="I2336" s="5" t="s">
        <v>74</v>
      </c>
      <c r="J2336" s="5" t="s">
        <v>2928</v>
      </c>
    </row>
    <row r="2337" customFormat="false" ht="15" hidden="false" customHeight="false" outlineLevel="0" collapsed="false">
      <c r="A2337" s="5" t="s">
        <v>231</v>
      </c>
      <c r="B2337" s="5" t="s">
        <v>169</v>
      </c>
      <c r="C2337" s="5" t="n">
        <v>205</v>
      </c>
      <c r="D2337" s="5" t="s">
        <v>646</v>
      </c>
      <c r="E2337" s="5" t="n">
        <v>9</v>
      </c>
      <c r="F2337" s="20" t="n">
        <v>8.74742272671736</v>
      </c>
      <c r="G2337" s="20" t="n">
        <f aca="false">9-F2337</f>
        <v>0.252577273282643</v>
      </c>
      <c r="H2337" s="20" t="n">
        <f aca="false">IF(G2337&gt;=1,G2337,0)</f>
        <v>0</v>
      </c>
      <c r="I2337" s="5" t="s">
        <v>74</v>
      </c>
      <c r="J2337" s="5" t="s">
        <v>2929</v>
      </c>
    </row>
    <row r="2338" customFormat="false" ht="15" hidden="false" customHeight="false" outlineLevel="0" collapsed="false">
      <c r="A2338" s="5" t="s">
        <v>231</v>
      </c>
      <c r="B2338" s="5" t="s">
        <v>169</v>
      </c>
      <c r="C2338" s="5" t="n">
        <v>206</v>
      </c>
      <c r="D2338" s="5" t="s">
        <v>646</v>
      </c>
      <c r="E2338" s="5" t="n">
        <v>9</v>
      </c>
      <c r="F2338" s="20" t="n">
        <v>8.74742272671735</v>
      </c>
      <c r="G2338" s="20" t="n">
        <f aca="false">9-F2338</f>
        <v>0.25257727328265</v>
      </c>
      <c r="H2338" s="20" t="n">
        <f aca="false">IF(G2338&gt;=1,G2338,0)</f>
        <v>0</v>
      </c>
      <c r="I2338" s="5" t="s">
        <v>74</v>
      </c>
      <c r="J2338" s="5" t="s">
        <v>2930</v>
      </c>
    </row>
    <row r="2339" customFormat="false" ht="15" hidden="false" customHeight="false" outlineLevel="0" collapsed="false">
      <c r="A2339" s="5" t="s">
        <v>231</v>
      </c>
      <c r="B2339" s="5" t="s">
        <v>169</v>
      </c>
      <c r="C2339" s="5" t="n">
        <v>207</v>
      </c>
      <c r="D2339" s="5" t="s">
        <v>646</v>
      </c>
      <c r="E2339" s="5" t="n">
        <v>9</v>
      </c>
      <c r="F2339" s="20" t="n">
        <v>8.74742272671735</v>
      </c>
      <c r="G2339" s="20" t="n">
        <f aca="false">9-F2339</f>
        <v>0.25257727328265</v>
      </c>
      <c r="H2339" s="20" t="n">
        <f aca="false">IF(G2339&gt;=1,G2339,0)</f>
        <v>0</v>
      </c>
      <c r="I2339" s="5" t="s">
        <v>74</v>
      </c>
      <c r="J2339" s="5" t="s">
        <v>2931</v>
      </c>
    </row>
    <row r="2340" customFormat="false" ht="15" hidden="false" customHeight="false" outlineLevel="0" collapsed="false">
      <c r="A2340" s="5" t="s">
        <v>231</v>
      </c>
      <c r="B2340" s="5" t="s">
        <v>169</v>
      </c>
      <c r="C2340" s="5" t="n">
        <v>208</v>
      </c>
      <c r="D2340" s="5" t="s">
        <v>646</v>
      </c>
      <c r="E2340" s="5" t="n">
        <v>9</v>
      </c>
      <c r="F2340" s="20" t="n">
        <v>8.74742272671735</v>
      </c>
      <c r="G2340" s="20" t="n">
        <f aca="false">9-F2340</f>
        <v>0.252577273282652</v>
      </c>
      <c r="H2340" s="20" t="n">
        <f aca="false">IF(G2340&gt;=1,G2340,0)</f>
        <v>0</v>
      </c>
      <c r="I2340" s="5" t="s">
        <v>74</v>
      </c>
      <c r="J2340" s="5" t="s">
        <v>2932</v>
      </c>
    </row>
    <row r="2341" customFormat="false" ht="15" hidden="false" customHeight="false" outlineLevel="0" collapsed="false">
      <c r="A2341" s="5" t="s">
        <v>231</v>
      </c>
      <c r="B2341" s="5" t="s">
        <v>169</v>
      </c>
      <c r="C2341" s="5" t="n">
        <v>209</v>
      </c>
      <c r="D2341" s="5" t="s">
        <v>646</v>
      </c>
      <c r="E2341" s="5" t="n">
        <v>9</v>
      </c>
      <c r="F2341" s="20" t="n">
        <v>8.74742272671735</v>
      </c>
      <c r="G2341" s="20" t="n">
        <f aca="false">9-F2341</f>
        <v>0.252577273282652</v>
      </c>
      <c r="H2341" s="20" t="n">
        <f aca="false">IF(G2341&gt;=1,G2341,0)</f>
        <v>0</v>
      </c>
      <c r="I2341" s="5" t="s">
        <v>74</v>
      </c>
      <c r="J2341" s="5" t="s">
        <v>2933</v>
      </c>
    </row>
    <row r="2342" customFormat="false" ht="15" hidden="false" customHeight="false" outlineLevel="0" collapsed="false">
      <c r="A2342" s="5" t="s">
        <v>231</v>
      </c>
      <c r="B2342" s="5" t="s">
        <v>169</v>
      </c>
      <c r="C2342" s="5" t="n">
        <v>210</v>
      </c>
      <c r="D2342" s="5" t="s">
        <v>646</v>
      </c>
      <c r="E2342" s="5" t="n">
        <v>9</v>
      </c>
      <c r="F2342" s="20" t="n">
        <v>8.74742272671735</v>
      </c>
      <c r="G2342" s="20" t="n">
        <f aca="false">9-F2342</f>
        <v>0.252577273282654</v>
      </c>
      <c r="H2342" s="20" t="n">
        <f aca="false">IF(G2342&gt;=1,G2342,0)</f>
        <v>0</v>
      </c>
      <c r="I2342" s="5" t="s">
        <v>74</v>
      </c>
      <c r="J2342" s="5" t="s">
        <v>2934</v>
      </c>
    </row>
    <row r="2343" customFormat="false" ht="15" hidden="false" customHeight="false" outlineLevel="0" collapsed="false">
      <c r="A2343" s="5" t="s">
        <v>231</v>
      </c>
      <c r="B2343" s="5" t="s">
        <v>169</v>
      </c>
      <c r="C2343" s="5" t="n">
        <v>211</v>
      </c>
      <c r="D2343" s="5" t="s">
        <v>646</v>
      </c>
      <c r="E2343" s="5" t="n">
        <v>9</v>
      </c>
      <c r="F2343" s="20" t="n">
        <v>8.74742272671734</v>
      </c>
      <c r="G2343" s="20" t="n">
        <f aca="false">9-F2343</f>
        <v>0.252577273282663</v>
      </c>
      <c r="H2343" s="20" t="n">
        <f aca="false">IF(G2343&gt;=1,G2343,0)</f>
        <v>0</v>
      </c>
      <c r="I2343" s="5" t="s">
        <v>74</v>
      </c>
      <c r="J2343" s="5" t="s">
        <v>2935</v>
      </c>
    </row>
    <row r="2344" customFormat="false" ht="15" hidden="false" customHeight="false" outlineLevel="0" collapsed="false">
      <c r="A2344" s="5" t="s">
        <v>231</v>
      </c>
      <c r="B2344" s="5" t="s">
        <v>169</v>
      </c>
      <c r="C2344" s="5" t="n">
        <v>212</v>
      </c>
      <c r="D2344" s="5" t="s">
        <v>646</v>
      </c>
      <c r="E2344" s="5" t="n">
        <v>9</v>
      </c>
      <c r="F2344" s="20" t="n">
        <v>8.74742272671733</v>
      </c>
      <c r="G2344" s="20" t="n">
        <f aca="false">9-F2344</f>
        <v>0.252577273282666</v>
      </c>
      <c r="H2344" s="20" t="n">
        <f aca="false">IF(G2344&gt;=1,G2344,0)</f>
        <v>0</v>
      </c>
      <c r="I2344" s="5" t="s">
        <v>74</v>
      </c>
      <c r="J2344" s="5" t="s">
        <v>2936</v>
      </c>
    </row>
    <row r="2345" customFormat="false" ht="15" hidden="false" customHeight="false" outlineLevel="0" collapsed="false">
      <c r="A2345" s="5" t="s">
        <v>231</v>
      </c>
      <c r="B2345" s="5" t="s">
        <v>169</v>
      </c>
      <c r="C2345" s="5" t="n">
        <v>213</v>
      </c>
      <c r="D2345" s="5" t="s">
        <v>646</v>
      </c>
      <c r="E2345" s="5" t="n">
        <v>9</v>
      </c>
      <c r="F2345" s="20" t="n">
        <v>8.74742272671733</v>
      </c>
      <c r="G2345" s="20" t="n">
        <f aca="false">9-F2345</f>
        <v>0.252577273282672</v>
      </c>
      <c r="H2345" s="20" t="n">
        <f aca="false">IF(G2345&gt;=1,G2345,0)</f>
        <v>0</v>
      </c>
      <c r="I2345" s="5" t="s">
        <v>74</v>
      </c>
      <c r="J2345" s="5" t="s">
        <v>2937</v>
      </c>
    </row>
    <row r="2346" customFormat="false" ht="15" hidden="false" customHeight="false" outlineLevel="0" collapsed="false">
      <c r="A2346" s="5" t="s">
        <v>231</v>
      </c>
      <c r="B2346" s="5" t="s">
        <v>169</v>
      </c>
      <c r="C2346" s="5" t="n">
        <v>214</v>
      </c>
      <c r="D2346" s="5" t="s">
        <v>646</v>
      </c>
      <c r="E2346" s="5" t="n">
        <v>9</v>
      </c>
      <c r="F2346" s="20" t="n">
        <v>8.74742272671733</v>
      </c>
      <c r="G2346" s="20" t="n">
        <f aca="false">9-F2346</f>
        <v>0.252577273282673</v>
      </c>
      <c r="H2346" s="20" t="n">
        <f aca="false">IF(G2346&gt;=1,G2346,0)</f>
        <v>0</v>
      </c>
      <c r="I2346" s="5" t="s">
        <v>74</v>
      </c>
      <c r="J2346" s="5" t="s">
        <v>2938</v>
      </c>
    </row>
    <row r="2347" customFormat="false" ht="15" hidden="false" customHeight="false" outlineLevel="0" collapsed="false">
      <c r="A2347" s="5" t="s">
        <v>231</v>
      </c>
      <c r="B2347" s="5" t="s">
        <v>169</v>
      </c>
      <c r="C2347" s="5" t="n">
        <v>215</v>
      </c>
      <c r="D2347" s="5" t="s">
        <v>646</v>
      </c>
      <c r="E2347" s="5" t="n">
        <v>9</v>
      </c>
      <c r="F2347" s="20" t="n">
        <v>8.74742272671733</v>
      </c>
      <c r="G2347" s="20" t="n">
        <f aca="false">9-F2347</f>
        <v>0.252577273282673</v>
      </c>
      <c r="H2347" s="20" t="n">
        <f aca="false">IF(G2347&gt;=1,G2347,0)</f>
        <v>0</v>
      </c>
      <c r="I2347" s="5" t="s">
        <v>74</v>
      </c>
      <c r="J2347" s="5" t="s">
        <v>2939</v>
      </c>
    </row>
    <row r="2348" customFormat="false" ht="15" hidden="false" customHeight="false" outlineLevel="0" collapsed="false">
      <c r="A2348" s="5" t="s">
        <v>231</v>
      </c>
      <c r="B2348" s="5" t="s">
        <v>169</v>
      </c>
      <c r="C2348" s="5" t="n">
        <v>216</v>
      </c>
      <c r="D2348" s="5" t="s">
        <v>646</v>
      </c>
      <c r="E2348" s="5" t="n">
        <v>9</v>
      </c>
      <c r="F2348" s="20" t="n">
        <v>8.74742272671732</v>
      </c>
      <c r="G2348" s="20" t="n">
        <f aca="false">9-F2348</f>
        <v>0.252577273282682</v>
      </c>
      <c r="H2348" s="20" t="n">
        <f aca="false">IF(G2348&gt;=1,G2348,0)</f>
        <v>0</v>
      </c>
      <c r="I2348" s="5" t="s">
        <v>74</v>
      </c>
      <c r="J2348" s="5" t="s">
        <v>2940</v>
      </c>
    </row>
    <row r="2349" customFormat="false" ht="15" hidden="false" customHeight="false" outlineLevel="0" collapsed="false">
      <c r="A2349" s="5" t="s">
        <v>231</v>
      </c>
      <c r="B2349" s="5" t="s">
        <v>169</v>
      </c>
      <c r="C2349" s="5" t="n">
        <v>217</v>
      </c>
      <c r="D2349" s="5" t="s">
        <v>646</v>
      </c>
      <c r="E2349" s="5" t="n">
        <v>9</v>
      </c>
      <c r="F2349" s="20" t="n">
        <v>8.74742272671732</v>
      </c>
      <c r="G2349" s="20" t="n">
        <f aca="false">9-F2349</f>
        <v>0.252577273282684</v>
      </c>
      <c r="H2349" s="20" t="n">
        <f aca="false">IF(G2349&gt;=1,G2349,0)</f>
        <v>0</v>
      </c>
      <c r="I2349" s="5" t="s">
        <v>74</v>
      </c>
      <c r="J2349" s="5" t="s">
        <v>2941</v>
      </c>
    </row>
    <row r="2350" customFormat="false" ht="15" hidden="false" customHeight="false" outlineLevel="0" collapsed="false">
      <c r="A2350" s="5" t="s">
        <v>231</v>
      </c>
      <c r="B2350" s="5" t="s">
        <v>169</v>
      </c>
      <c r="C2350" s="5" t="n">
        <v>218</v>
      </c>
      <c r="D2350" s="5" t="s">
        <v>646</v>
      </c>
      <c r="E2350" s="5" t="n">
        <v>9</v>
      </c>
      <c r="F2350" s="20" t="n">
        <v>8.74742272671731</v>
      </c>
      <c r="G2350" s="20" t="n">
        <f aca="false">9-F2350</f>
        <v>0.252577273282686</v>
      </c>
      <c r="H2350" s="20" t="n">
        <f aca="false">IF(G2350&gt;=1,G2350,0)</f>
        <v>0</v>
      </c>
      <c r="I2350" s="5" t="s">
        <v>74</v>
      </c>
      <c r="J2350" s="5" t="s">
        <v>2942</v>
      </c>
    </row>
    <row r="2351" customFormat="false" ht="15" hidden="false" customHeight="false" outlineLevel="0" collapsed="false">
      <c r="A2351" s="5" t="s">
        <v>231</v>
      </c>
      <c r="B2351" s="5" t="s">
        <v>169</v>
      </c>
      <c r="C2351" s="5" t="n">
        <v>219</v>
      </c>
      <c r="D2351" s="5" t="s">
        <v>646</v>
      </c>
      <c r="E2351" s="5" t="n">
        <v>9</v>
      </c>
      <c r="F2351" s="20" t="n">
        <v>8.74742272671731</v>
      </c>
      <c r="G2351" s="20" t="n">
        <f aca="false">9-F2351</f>
        <v>0.252577273282686</v>
      </c>
      <c r="H2351" s="20" t="n">
        <f aca="false">IF(G2351&gt;=1,G2351,0)</f>
        <v>0</v>
      </c>
      <c r="I2351" s="5" t="s">
        <v>74</v>
      </c>
      <c r="J2351" s="5" t="s">
        <v>2943</v>
      </c>
    </row>
    <row r="2352" customFormat="false" ht="15" hidden="false" customHeight="false" outlineLevel="0" collapsed="false">
      <c r="A2352" s="5" t="s">
        <v>231</v>
      </c>
      <c r="B2352" s="5" t="s">
        <v>169</v>
      </c>
      <c r="C2352" s="5" t="n">
        <v>220</v>
      </c>
      <c r="D2352" s="5" t="s">
        <v>646</v>
      </c>
      <c r="E2352" s="5" t="n">
        <v>9</v>
      </c>
      <c r="F2352" s="20" t="n">
        <v>8.74742272671731</v>
      </c>
      <c r="G2352" s="20" t="n">
        <f aca="false">9-F2352</f>
        <v>0.252577273282686</v>
      </c>
      <c r="H2352" s="20" t="n">
        <f aca="false">IF(G2352&gt;=1,G2352,0)</f>
        <v>0</v>
      </c>
      <c r="I2352" s="5" t="s">
        <v>74</v>
      </c>
      <c r="J2352" s="5" t="s">
        <v>2944</v>
      </c>
    </row>
    <row r="2353" customFormat="false" ht="15" hidden="false" customHeight="false" outlineLevel="0" collapsed="false">
      <c r="A2353" s="5" t="s">
        <v>231</v>
      </c>
      <c r="B2353" s="5" t="s">
        <v>169</v>
      </c>
      <c r="C2353" s="5" t="n">
        <v>221</v>
      </c>
      <c r="D2353" s="5" t="s">
        <v>646</v>
      </c>
      <c r="E2353" s="5" t="n">
        <v>9</v>
      </c>
      <c r="F2353" s="20" t="n">
        <v>8.74742272671731</v>
      </c>
      <c r="G2353" s="20" t="n">
        <f aca="false">9-F2353</f>
        <v>0.252577273282689</v>
      </c>
      <c r="H2353" s="20" t="n">
        <f aca="false">IF(G2353&gt;=1,G2353,0)</f>
        <v>0</v>
      </c>
      <c r="I2353" s="5" t="s">
        <v>74</v>
      </c>
      <c r="J2353" s="5" t="s">
        <v>2945</v>
      </c>
    </row>
    <row r="2354" customFormat="false" ht="15" hidden="false" customHeight="false" outlineLevel="0" collapsed="false">
      <c r="A2354" s="5" t="s">
        <v>231</v>
      </c>
      <c r="B2354" s="5" t="s">
        <v>169</v>
      </c>
      <c r="C2354" s="5" t="n">
        <v>222</v>
      </c>
      <c r="D2354" s="5" t="s">
        <v>646</v>
      </c>
      <c r="E2354" s="5" t="n">
        <v>9</v>
      </c>
      <c r="F2354" s="20" t="n">
        <v>8.74742272671731</v>
      </c>
      <c r="G2354" s="20" t="n">
        <f aca="false">9-F2354</f>
        <v>0.252577273282689</v>
      </c>
      <c r="H2354" s="20" t="n">
        <f aca="false">IF(G2354&gt;=1,G2354,0)</f>
        <v>0</v>
      </c>
      <c r="I2354" s="5" t="s">
        <v>74</v>
      </c>
      <c r="J2354" s="5" t="s">
        <v>2946</v>
      </c>
    </row>
    <row r="2355" customFormat="false" ht="15" hidden="false" customHeight="false" outlineLevel="0" collapsed="false">
      <c r="A2355" s="5" t="s">
        <v>231</v>
      </c>
      <c r="B2355" s="5" t="s">
        <v>169</v>
      </c>
      <c r="C2355" s="5" t="n">
        <v>223</v>
      </c>
      <c r="D2355" s="5" t="s">
        <v>2403</v>
      </c>
      <c r="E2355" s="5" t="n">
        <v>10</v>
      </c>
      <c r="F2355" s="20" t="n">
        <v>8.61447020152651</v>
      </c>
      <c r="G2355" s="20" t="n">
        <f aca="false">9-F2355</f>
        <v>0.385529798473488</v>
      </c>
      <c r="H2355" s="20" t="n">
        <f aca="false">IF(G2355&gt;=1,G2355,0)</f>
        <v>0</v>
      </c>
      <c r="I2355" s="5" t="s">
        <v>74</v>
      </c>
      <c r="J2355" s="5" t="s">
        <v>2947</v>
      </c>
    </row>
    <row r="2356" customFormat="false" ht="15" hidden="false" customHeight="false" outlineLevel="0" collapsed="false">
      <c r="A2356" s="5" t="s">
        <v>231</v>
      </c>
      <c r="B2356" s="5" t="s">
        <v>169</v>
      </c>
      <c r="C2356" s="5" t="n">
        <v>224</v>
      </c>
      <c r="D2356" s="5" t="s">
        <v>664</v>
      </c>
      <c r="E2356" s="5" t="n">
        <v>13</v>
      </c>
      <c r="F2356" s="20" t="n">
        <v>8.74110391374032</v>
      </c>
      <c r="G2356" s="20" t="n">
        <f aca="false">9-F2356</f>
        <v>0.258896086259684</v>
      </c>
      <c r="H2356" s="20" t="n">
        <f aca="false">IF(G2356&gt;=1,G2356,0)</f>
        <v>0</v>
      </c>
      <c r="I2356" s="5" t="s">
        <v>74</v>
      </c>
      <c r="J2356" s="5" t="s">
        <v>2948</v>
      </c>
    </row>
    <row r="2357" customFormat="false" ht="15" hidden="false" customHeight="false" outlineLevel="0" collapsed="false">
      <c r="A2357" s="5" t="s">
        <v>231</v>
      </c>
      <c r="B2357" s="5" t="s">
        <v>169</v>
      </c>
      <c r="C2357" s="5" t="n">
        <v>225</v>
      </c>
      <c r="D2357" s="5" t="s">
        <v>664</v>
      </c>
      <c r="E2357" s="5" t="n">
        <v>13</v>
      </c>
      <c r="F2357" s="20" t="n">
        <v>8.74110391374032</v>
      </c>
      <c r="G2357" s="20" t="n">
        <f aca="false">9-F2357</f>
        <v>0.258896086259684</v>
      </c>
      <c r="H2357" s="20" t="n">
        <f aca="false">IF(G2357&gt;=1,G2357,0)</f>
        <v>0</v>
      </c>
      <c r="I2357" s="5" t="s">
        <v>74</v>
      </c>
      <c r="J2357" s="5" t="s">
        <v>2949</v>
      </c>
    </row>
    <row r="2358" customFormat="false" ht="15" hidden="false" customHeight="false" outlineLevel="0" collapsed="false">
      <c r="A2358" s="5" t="s">
        <v>231</v>
      </c>
      <c r="B2358" s="5" t="s">
        <v>169</v>
      </c>
      <c r="C2358" s="5" t="n">
        <v>226</v>
      </c>
      <c r="D2358" s="5" t="s">
        <v>664</v>
      </c>
      <c r="E2358" s="5" t="n">
        <v>13</v>
      </c>
      <c r="F2358" s="20" t="n">
        <v>8.74110391374032</v>
      </c>
      <c r="G2358" s="20" t="n">
        <f aca="false">9-F2358</f>
        <v>0.258896086259684</v>
      </c>
      <c r="H2358" s="20" t="n">
        <f aca="false">IF(G2358&gt;=1,G2358,0)</f>
        <v>0</v>
      </c>
      <c r="I2358" s="5" t="s">
        <v>74</v>
      </c>
      <c r="J2358" s="5" t="s">
        <v>2950</v>
      </c>
    </row>
    <row r="2359" customFormat="false" ht="15" hidden="false" customHeight="false" outlineLevel="0" collapsed="false">
      <c r="A2359" s="5" t="s">
        <v>231</v>
      </c>
      <c r="B2359" s="5" t="s">
        <v>169</v>
      </c>
      <c r="C2359" s="5" t="n">
        <v>227</v>
      </c>
      <c r="D2359" s="5" t="s">
        <v>664</v>
      </c>
      <c r="E2359" s="5" t="n">
        <v>13</v>
      </c>
      <c r="F2359" s="20" t="n">
        <v>8.74110391374032</v>
      </c>
      <c r="G2359" s="20" t="n">
        <f aca="false">9-F2359</f>
        <v>0.258896086259684</v>
      </c>
      <c r="H2359" s="20" t="n">
        <f aca="false">IF(G2359&gt;=1,G2359,0)</f>
        <v>0</v>
      </c>
      <c r="I2359" s="5" t="s">
        <v>74</v>
      </c>
      <c r="J2359" s="5" t="s">
        <v>2951</v>
      </c>
    </row>
    <row r="2360" customFormat="false" ht="15" hidden="false" customHeight="false" outlineLevel="0" collapsed="false">
      <c r="A2360" s="5" t="s">
        <v>231</v>
      </c>
      <c r="B2360" s="5" t="s">
        <v>169</v>
      </c>
      <c r="C2360" s="5" t="n">
        <v>228</v>
      </c>
      <c r="D2360" s="5" t="s">
        <v>664</v>
      </c>
      <c r="E2360" s="5" t="n">
        <v>13</v>
      </c>
      <c r="F2360" s="20" t="n">
        <v>8.74110391374032</v>
      </c>
      <c r="G2360" s="20" t="n">
        <f aca="false">9-F2360</f>
        <v>0.258896086259684</v>
      </c>
      <c r="H2360" s="20" t="n">
        <f aca="false">IF(G2360&gt;=1,G2360,0)</f>
        <v>0</v>
      </c>
      <c r="I2360" s="5" t="s">
        <v>74</v>
      </c>
      <c r="J2360" s="5" t="s">
        <v>2952</v>
      </c>
    </row>
    <row r="2361" customFormat="false" ht="15" hidden="false" customHeight="false" outlineLevel="0" collapsed="false">
      <c r="A2361" s="5" t="s">
        <v>231</v>
      </c>
      <c r="B2361" s="5" t="s">
        <v>169</v>
      </c>
      <c r="C2361" s="5" t="n">
        <v>229</v>
      </c>
      <c r="D2361" s="5" t="s">
        <v>664</v>
      </c>
      <c r="E2361" s="5" t="n">
        <v>13</v>
      </c>
      <c r="F2361" s="20" t="n">
        <v>8.74110391374032</v>
      </c>
      <c r="G2361" s="20" t="n">
        <f aca="false">9-F2361</f>
        <v>0.258896086259684</v>
      </c>
      <c r="H2361" s="20" t="n">
        <f aca="false">IF(G2361&gt;=1,G2361,0)</f>
        <v>0</v>
      </c>
      <c r="I2361" s="5" t="s">
        <v>74</v>
      </c>
      <c r="J2361" s="5" t="s">
        <v>2953</v>
      </c>
    </row>
    <row r="2362" customFormat="false" ht="15" hidden="false" customHeight="false" outlineLevel="0" collapsed="false">
      <c r="A2362" s="5" t="s">
        <v>231</v>
      </c>
      <c r="B2362" s="5" t="s">
        <v>169</v>
      </c>
      <c r="C2362" s="5" t="n">
        <v>230</v>
      </c>
      <c r="D2362" s="5" t="s">
        <v>664</v>
      </c>
      <c r="E2362" s="5" t="n">
        <v>13</v>
      </c>
      <c r="F2362" s="20" t="n">
        <v>8.74110391374032</v>
      </c>
      <c r="G2362" s="20" t="n">
        <f aca="false">9-F2362</f>
        <v>0.258896086259684</v>
      </c>
      <c r="H2362" s="20" t="n">
        <f aca="false">IF(G2362&gt;=1,G2362,0)</f>
        <v>0</v>
      </c>
      <c r="I2362" s="5" t="s">
        <v>74</v>
      </c>
      <c r="J2362" s="5" t="s">
        <v>2954</v>
      </c>
    </row>
    <row r="2363" customFormat="false" ht="15" hidden="false" customHeight="false" outlineLevel="0" collapsed="false">
      <c r="A2363" s="5" t="s">
        <v>231</v>
      </c>
      <c r="B2363" s="5" t="s">
        <v>169</v>
      </c>
      <c r="C2363" s="5" t="n">
        <v>231</v>
      </c>
      <c r="D2363" s="5" t="s">
        <v>664</v>
      </c>
      <c r="E2363" s="5" t="n">
        <v>13</v>
      </c>
      <c r="F2363" s="20" t="n">
        <v>8.74110391374031</v>
      </c>
      <c r="G2363" s="20" t="n">
        <f aca="false">9-F2363</f>
        <v>0.258896086259686</v>
      </c>
      <c r="H2363" s="20" t="n">
        <f aca="false">IF(G2363&gt;=1,G2363,0)</f>
        <v>0</v>
      </c>
      <c r="I2363" s="5" t="s">
        <v>74</v>
      </c>
      <c r="J2363" s="5" t="s">
        <v>2955</v>
      </c>
    </row>
    <row r="2364" customFormat="false" ht="15" hidden="false" customHeight="false" outlineLevel="0" collapsed="false">
      <c r="A2364" s="5" t="s">
        <v>231</v>
      </c>
      <c r="B2364" s="5" t="s">
        <v>169</v>
      </c>
      <c r="C2364" s="5" t="n">
        <v>232</v>
      </c>
      <c r="D2364" s="5" t="s">
        <v>664</v>
      </c>
      <c r="E2364" s="5" t="n">
        <v>13</v>
      </c>
      <c r="F2364" s="20" t="n">
        <v>8.74110391374031</v>
      </c>
      <c r="G2364" s="20" t="n">
        <f aca="false">9-F2364</f>
        <v>0.258896086259686</v>
      </c>
      <c r="H2364" s="20" t="n">
        <f aca="false">IF(G2364&gt;=1,G2364,0)</f>
        <v>0</v>
      </c>
      <c r="I2364" s="5" t="s">
        <v>74</v>
      </c>
      <c r="J2364" s="5" t="s">
        <v>2956</v>
      </c>
    </row>
    <row r="2365" customFormat="false" ht="15" hidden="false" customHeight="false" outlineLevel="0" collapsed="false">
      <c r="A2365" s="5" t="s">
        <v>231</v>
      </c>
      <c r="B2365" s="5" t="s">
        <v>169</v>
      </c>
      <c r="C2365" s="5" t="n">
        <v>233</v>
      </c>
      <c r="D2365" s="5" t="s">
        <v>664</v>
      </c>
      <c r="E2365" s="5" t="n">
        <v>13</v>
      </c>
      <c r="F2365" s="20" t="n">
        <v>8.74110391374031</v>
      </c>
      <c r="G2365" s="20" t="n">
        <f aca="false">9-F2365</f>
        <v>0.258896086259686</v>
      </c>
      <c r="H2365" s="20" t="n">
        <f aca="false">IF(G2365&gt;=1,G2365,0)</f>
        <v>0</v>
      </c>
      <c r="I2365" s="5" t="s">
        <v>74</v>
      </c>
      <c r="J2365" s="5" t="s">
        <v>2957</v>
      </c>
    </row>
    <row r="2366" customFormat="false" ht="15" hidden="false" customHeight="false" outlineLevel="0" collapsed="false">
      <c r="A2366" s="5" t="s">
        <v>231</v>
      </c>
      <c r="B2366" s="5" t="s">
        <v>169</v>
      </c>
      <c r="C2366" s="5" t="n">
        <v>234</v>
      </c>
      <c r="D2366" s="5" t="s">
        <v>664</v>
      </c>
      <c r="E2366" s="5" t="n">
        <v>13</v>
      </c>
      <c r="F2366" s="20" t="n">
        <v>8.74110391374031</v>
      </c>
      <c r="G2366" s="20" t="n">
        <f aca="false">9-F2366</f>
        <v>0.258896086259686</v>
      </c>
      <c r="H2366" s="20" t="n">
        <f aca="false">IF(G2366&gt;=1,G2366,0)</f>
        <v>0</v>
      </c>
      <c r="I2366" s="5" t="s">
        <v>74</v>
      </c>
      <c r="J2366" s="5" t="s">
        <v>2958</v>
      </c>
    </row>
    <row r="2367" customFormat="false" ht="15" hidden="false" customHeight="false" outlineLevel="0" collapsed="false">
      <c r="A2367" s="5" t="s">
        <v>231</v>
      </c>
      <c r="B2367" s="5" t="s">
        <v>169</v>
      </c>
      <c r="C2367" s="5" t="n">
        <v>235</v>
      </c>
      <c r="D2367" s="5" t="s">
        <v>2416</v>
      </c>
      <c r="E2367" s="5" t="n">
        <v>19</v>
      </c>
      <c r="F2367" s="20" t="n">
        <v>8.97411148931279</v>
      </c>
      <c r="G2367" s="20" t="n">
        <f aca="false">9-F2367</f>
        <v>0.02588851068721</v>
      </c>
      <c r="H2367" s="20" t="n">
        <f aca="false">IF(G2367&gt;=1,G2367,0)</f>
        <v>0</v>
      </c>
      <c r="I2367" s="5" t="s">
        <v>74</v>
      </c>
      <c r="J2367" s="5" t="s">
        <v>2959</v>
      </c>
    </row>
    <row r="2368" customFormat="false" ht="15" hidden="false" customHeight="false" outlineLevel="0" collapsed="false">
      <c r="A2368" s="5" t="s">
        <v>231</v>
      </c>
      <c r="B2368" s="5" t="s">
        <v>169</v>
      </c>
      <c r="C2368" s="5" t="n">
        <v>236</v>
      </c>
      <c r="D2368" s="5" t="s">
        <v>674</v>
      </c>
      <c r="E2368" s="5" t="n">
        <v>22</v>
      </c>
      <c r="F2368" s="20" t="n">
        <v>8.63585277709904</v>
      </c>
      <c r="G2368" s="20" t="n">
        <f aca="false">9-F2368</f>
        <v>0.364147222900964</v>
      </c>
      <c r="H2368" s="20" t="n">
        <f aca="false">IF(G2368&gt;=1,G2368,0)</f>
        <v>0</v>
      </c>
      <c r="I2368" s="5" t="s">
        <v>74</v>
      </c>
      <c r="J2368" s="5" t="s">
        <v>2960</v>
      </c>
    </row>
    <row r="2369" customFormat="false" ht="15" hidden="false" customHeight="false" outlineLevel="0" collapsed="false">
      <c r="A2369" s="5" t="s">
        <v>231</v>
      </c>
      <c r="B2369" s="5" t="s">
        <v>169</v>
      </c>
      <c r="C2369" s="5" t="n">
        <v>237</v>
      </c>
      <c r="D2369" s="5" t="s">
        <v>674</v>
      </c>
      <c r="E2369" s="5" t="n">
        <v>22</v>
      </c>
      <c r="F2369" s="20" t="n">
        <v>8.63585277709904</v>
      </c>
      <c r="G2369" s="20" t="n">
        <f aca="false">9-F2369</f>
        <v>0.364147222900964</v>
      </c>
      <c r="H2369" s="20" t="n">
        <f aca="false">IF(G2369&gt;=1,G2369,0)</f>
        <v>0</v>
      </c>
      <c r="I2369" s="5" t="s">
        <v>74</v>
      </c>
      <c r="J2369" s="5" t="s">
        <v>2961</v>
      </c>
    </row>
    <row r="2370" customFormat="false" ht="15" hidden="false" customHeight="false" outlineLevel="0" collapsed="false">
      <c r="A2370" s="5" t="s">
        <v>231</v>
      </c>
      <c r="B2370" s="5" t="s">
        <v>169</v>
      </c>
      <c r="C2370" s="5" t="n">
        <v>238</v>
      </c>
      <c r="D2370" s="5" t="s">
        <v>674</v>
      </c>
      <c r="E2370" s="5" t="n">
        <v>22</v>
      </c>
      <c r="F2370" s="20" t="n">
        <v>8.63585277709904</v>
      </c>
      <c r="G2370" s="20" t="n">
        <f aca="false">9-F2370</f>
        <v>0.364147222900964</v>
      </c>
      <c r="H2370" s="20" t="n">
        <f aca="false">IF(G2370&gt;=1,G2370,0)</f>
        <v>0</v>
      </c>
      <c r="I2370" s="5" t="s">
        <v>74</v>
      </c>
      <c r="J2370" s="5" t="s">
        <v>2962</v>
      </c>
    </row>
    <row r="2371" customFormat="false" ht="15" hidden="false" customHeight="false" outlineLevel="0" collapsed="false">
      <c r="A2371" s="5" t="s">
        <v>231</v>
      </c>
      <c r="B2371" s="5" t="s">
        <v>169</v>
      </c>
      <c r="C2371" s="5" t="n">
        <v>239</v>
      </c>
      <c r="D2371" s="5" t="s">
        <v>674</v>
      </c>
      <c r="E2371" s="5" t="n">
        <v>22</v>
      </c>
      <c r="F2371" s="20" t="n">
        <v>8.63585277709904</v>
      </c>
      <c r="G2371" s="20" t="n">
        <f aca="false">9-F2371</f>
        <v>0.364147222900964</v>
      </c>
      <c r="H2371" s="20" t="n">
        <f aca="false">IF(G2371&gt;=1,G2371,0)</f>
        <v>0</v>
      </c>
      <c r="I2371" s="5" t="s">
        <v>74</v>
      </c>
      <c r="J2371" s="5" t="s">
        <v>2963</v>
      </c>
    </row>
    <row r="2372" customFormat="false" ht="15" hidden="false" customHeight="false" outlineLevel="0" collapsed="false">
      <c r="A2372" s="5" t="s">
        <v>231</v>
      </c>
      <c r="B2372" s="5" t="s">
        <v>169</v>
      </c>
      <c r="C2372" s="5" t="n">
        <v>240</v>
      </c>
      <c r="D2372" s="5" t="s">
        <v>674</v>
      </c>
      <c r="E2372" s="5" t="n">
        <v>22</v>
      </c>
      <c r="F2372" s="20" t="n">
        <v>8.63585277709904</v>
      </c>
      <c r="G2372" s="20" t="n">
        <f aca="false">9-F2372</f>
        <v>0.364147222900964</v>
      </c>
      <c r="H2372" s="20" t="n">
        <f aca="false">IF(G2372&gt;=1,G2372,0)</f>
        <v>0</v>
      </c>
      <c r="I2372" s="5" t="s">
        <v>74</v>
      </c>
      <c r="J2372" s="5" t="s">
        <v>2964</v>
      </c>
    </row>
    <row r="2373" customFormat="false" ht="15" hidden="false" customHeight="false" outlineLevel="0" collapsed="false">
      <c r="A2373" s="5" t="s">
        <v>231</v>
      </c>
      <c r="B2373" s="5" t="s">
        <v>169</v>
      </c>
      <c r="C2373" s="5" t="n">
        <v>241</v>
      </c>
      <c r="D2373" s="5" t="s">
        <v>674</v>
      </c>
      <c r="E2373" s="5" t="n">
        <v>22</v>
      </c>
      <c r="F2373" s="20" t="n">
        <v>8.63585277709904</v>
      </c>
      <c r="G2373" s="20" t="n">
        <f aca="false">9-F2373</f>
        <v>0.364147222900964</v>
      </c>
      <c r="H2373" s="20" t="n">
        <f aca="false">IF(G2373&gt;=1,G2373,0)</f>
        <v>0</v>
      </c>
      <c r="I2373" s="5" t="s">
        <v>74</v>
      </c>
      <c r="J2373" s="5" t="s">
        <v>2965</v>
      </c>
    </row>
    <row r="2374" customFormat="false" ht="15" hidden="false" customHeight="false" outlineLevel="0" collapsed="false">
      <c r="A2374" s="5" t="s">
        <v>231</v>
      </c>
      <c r="B2374" s="5" t="s">
        <v>169</v>
      </c>
      <c r="C2374" s="5" t="n">
        <v>242</v>
      </c>
      <c r="D2374" s="5" t="s">
        <v>674</v>
      </c>
      <c r="E2374" s="5" t="n">
        <v>22</v>
      </c>
      <c r="F2374" s="20" t="n">
        <v>8.63585277709904</v>
      </c>
      <c r="G2374" s="20" t="n">
        <f aca="false">9-F2374</f>
        <v>0.364147222900964</v>
      </c>
      <c r="H2374" s="20" t="n">
        <f aca="false">IF(G2374&gt;=1,G2374,0)</f>
        <v>0</v>
      </c>
      <c r="I2374" s="5" t="s">
        <v>74</v>
      </c>
      <c r="J2374" s="5" t="s">
        <v>2966</v>
      </c>
    </row>
    <row r="2375" customFormat="false" ht="15" hidden="false" customHeight="false" outlineLevel="0" collapsed="false">
      <c r="A2375" s="5" t="s">
        <v>231</v>
      </c>
      <c r="B2375" s="5" t="s">
        <v>169</v>
      </c>
      <c r="C2375" s="5" t="n">
        <v>243</v>
      </c>
      <c r="D2375" s="5" t="s">
        <v>674</v>
      </c>
      <c r="E2375" s="5" t="n">
        <v>22</v>
      </c>
      <c r="F2375" s="20" t="n">
        <v>8.63585277709904</v>
      </c>
      <c r="G2375" s="20" t="n">
        <f aca="false">9-F2375</f>
        <v>0.364147222900964</v>
      </c>
      <c r="H2375" s="20" t="n">
        <f aca="false">IF(G2375&gt;=1,G2375,0)</f>
        <v>0</v>
      </c>
      <c r="I2375" s="5" t="s">
        <v>74</v>
      </c>
      <c r="J2375" s="5" t="s">
        <v>2967</v>
      </c>
    </row>
    <row r="2376" customFormat="false" ht="15" hidden="false" customHeight="false" outlineLevel="0" collapsed="false">
      <c r="A2376" s="5" t="s">
        <v>231</v>
      </c>
      <c r="B2376" s="5" t="s">
        <v>169</v>
      </c>
      <c r="C2376" s="5" t="n">
        <v>244</v>
      </c>
      <c r="D2376" s="5" t="s">
        <v>674</v>
      </c>
      <c r="E2376" s="5" t="n">
        <v>22</v>
      </c>
      <c r="F2376" s="20" t="n">
        <v>8.63585277709904</v>
      </c>
      <c r="G2376" s="20" t="n">
        <f aca="false">9-F2376</f>
        <v>0.364147222900964</v>
      </c>
      <c r="H2376" s="20" t="n">
        <f aca="false">IF(G2376&gt;=1,G2376,0)</f>
        <v>0</v>
      </c>
      <c r="I2376" s="5" t="s">
        <v>74</v>
      </c>
      <c r="J2376" s="5" t="s">
        <v>2968</v>
      </c>
    </row>
    <row r="2377" customFormat="false" ht="15" hidden="false" customHeight="false" outlineLevel="0" collapsed="false">
      <c r="A2377" s="5" t="s">
        <v>231</v>
      </c>
      <c r="B2377" s="5" t="s">
        <v>169</v>
      </c>
      <c r="C2377" s="5" t="n">
        <v>245</v>
      </c>
      <c r="D2377" s="5" t="s">
        <v>674</v>
      </c>
      <c r="E2377" s="5" t="n">
        <v>22</v>
      </c>
      <c r="F2377" s="20" t="n">
        <v>8.63585277709904</v>
      </c>
      <c r="G2377" s="20" t="n">
        <f aca="false">9-F2377</f>
        <v>0.364147222900964</v>
      </c>
      <c r="H2377" s="20" t="n">
        <f aca="false">IF(G2377&gt;=1,G2377,0)</f>
        <v>0</v>
      </c>
      <c r="I2377" s="5" t="s">
        <v>74</v>
      </c>
      <c r="J2377" s="5" t="s">
        <v>2969</v>
      </c>
    </row>
    <row r="2378" customFormat="false" ht="15" hidden="false" customHeight="false" outlineLevel="0" collapsed="false">
      <c r="A2378" s="5" t="s">
        <v>231</v>
      </c>
      <c r="B2378" s="5" t="s">
        <v>169</v>
      </c>
      <c r="C2378" s="5" t="n">
        <v>246</v>
      </c>
      <c r="D2378" s="5" t="s">
        <v>674</v>
      </c>
      <c r="E2378" s="5" t="n">
        <v>22</v>
      </c>
      <c r="F2378" s="20" t="n">
        <v>8.63585277709904</v>
      </c>
      <c r="G2378" s="20" t="n">
        <f aca="false">9-F2378</f>
        <v>0.364147222900964</v>
      </c>
      <c r="H2378" s="20" t="n">
        <f aca="false">IF(G2378&gt;=1,G2378,0)</f>
        <v>0</v>
      </c>
      <c r="I2378" s="5" t="s">
        <v>74</v>
      </c>
      <c r="J2378" s="5" t="s">
        <v>2970</v>
      </c>
    </row>
    <row r="2379" customFormat="false" ht="15" hidden="false" customHeight="false" outlineLevel="0" collapsed="false">
      <c r="A2379" s="5" t="s">
        <v>231</v>
      </c>
      <c r="B2379" s="5" t="s">
        <v>169</v>
      </c>
      <c r="C2379" s="5" t="n">
        <v>247</v>
      </c>
      <c r="D2379" s="5" t="s">
        <v>2429</v>
      </c>
      <c r="E2379" s="5" t="n">
        <v>15</v>
      </c>
      <c r="F2379" s="20" t="n">
        <v>5.88808143893116</v>
      </c>
      <c r="G2379" s="20" t="n">
        <f aca="false">9-F2379</f>
        <v>3.11191856106884</v>
      </c>
      <c r="H2379" s="20" t="n">
        <f aca="false">IF(G2379&gt;=1,G2379,0)</f>
        <v>3.11191856106884</v>
      </c>
      <c r="I2379" s="5" t="s">
        <v>74</v>
      </c>
      <c r="J2379" s="5" t="s">
        <v>2971</v>
      </c>
    </row>
    <row r="2380" customFormat="false" ht="15" hidden="false" customHeight="false" outlineLevel="0" collapsed="false">
      <c r="A2380" s="5" t="s">
        <v>231</v>
      </c>
      <c r="B2380" s="5" t="s">
        <v>170</v>
      </c>
      <c r="C2380" s="5" t="n">
        <v>1</v>
      </c>
      <c r="D2380" s="5" t="s">
        <v>1229</v>
      </c>
      <c r="E2380" s="5" t="n">
        <v>1</v>
      </c>
      <c r="F2380" s="20" t="n">
        <v>7.225</v>
      </c>
      <c r="G2380" s="20" t="n">
        <f aca="false">9-F2380</f>
        <v>1.775</v>
      </c>
      <c r="H2380" s="20" t="n">
        <f aca="false">IF(G2380&gt;=1,G2380,0)</f>
        <v>1.775</v>
      </c>
      <c r="I2380" s="5" t="s">
        <v>774</v>
      </c>
      <c r="J2380" s="5" t="s">
        <v>2972</v>
      </c>
    </row>
    <row r="2381" customFormat="false" ht="15" hidden="false" customHeight="false" outlineLevel="0" collapsed="false">
      <c r="A2381" s="5" t="s">
        <v>231</v>
      </c>
      <c r="B2381" s="5" t="s">
        <v>170</v>
      </c>
      <c r="C2381" s="5" t="n">
        <v>2</v>
      </c>
      <c r="D2381" s="5" t="s">
        <v>1229</v>
      </c>
      <c r="E2381" s="5" t="n">
        <v>1</v>
      </c>
      <c r="F2381" s="20" t="n">
        <v>7.225</v>
      </c>
      <c r="G2381" s="20" t="n">
        <f aca="false">9-F2381</f>
        <v>1.775</v>
      </c>
      <c r="H2381" s="20" t="n">
        <f aca="false">IF(G2381&gt;=1,G2381,0)</f>
        <v>1.775</v>
      </c>
      <c r="I2381" s="5" t="s">
        <v>774</v>
      </c>
      <c r="J2381" s="5" t="s">
        <v>2973</v>
      </c>
    </row>
    <row r="2382" customFormat="false" ht="15" hidden="false" customHeight="false" outlineLevel="0" collapsed="false">
      <c r="A2382" s="5" t="s">
        <v>231</v>
      </c>
      <c r="B2382" s="5" t="s">
        <v>170</v>
      </c>
      <c r="C2382" s="5" t="n">
        <v>3</v>
      </c>
      <c r="D2382" s="5" t="s">
        <v>1229</v>
      </c>
      <c r="E2382" s="5" t="n">
        <v>1</v>
      </c>
      <c r="F2382" s="20" t="n">
        <v>7.225</v>
      </c>
      <c r="G2382" s="20" t="n">
        <f aca="false">9-F2382</f>
        <v>1.775</v>
      </c>
      <c r="H2382" s="20" t="n">
        <f aca="false">IF(G2382&gt;=1,G2382,0)</f>
        <v>1.775</v>
      </c>
      <c r="I2382" s="5" t="s">
        <v>774</v>
      </c>
      <c r="J2382" s="5" t="s">
        <v>2974</v>
      </c>
    </row>
    <row r="2383" customFormat="false" ht="15" hidden="false" customHeight="false" outlineLevel="0" collapsed="false">
      <c r="A2383" s="5" t="s">
        <v>231</v>
      </c>
      <c r="B2383" s="5" t="s">
        <v>170</v>
      </c>
      <c r="C2383" s="5" t="n">
        <v>4</v>
      </c>
      <c r="D2383" s="5" t="s">
        <v>1229</v>
      </c>
      <c r="E2383" s="5" t="n">
        <v>1</v>
      </c>
      <c r="F2383" s="20" t="n">
        <v>7.225</v>
      </c>
      <c r="G2383" s="20" t="n">
        <f aca="false">9-F2383</f>
        <v>1.775</v>
      </c>
      <c r="H2383" s="20" t="n">
        <f aca="false">IF(G2383&gt;=1,G2383,0)</f>
        <v>1.775</v>
      </c>
      <c r="I2383" s="5" t="s">
        <v>774</v>
      </c>
      <c r="J2383" s="5" t="s">
        <v>2975</v>
      </c>
    </row>
    <row r="2384" customFormat="false" ht="15" hidden="false" customHeight="false" outlineLevel="0" collapsed="false">
      <c r="A2384" s="5" t="s">
        <v>231</v>
      </c>
      <c r="B2384" s="5" t="s">
        <v>170</v>
      </c>
      <c r="C2384" s="5" t="n">
        <v>5</v>
      </c>
      <c r="D2384" s="5" t="s">
        <v>1231</v>
      </c>
      <c r="E2384" s="5" t="n">
        <v>1</v>
      </c>
      <c r="F2384" s="20" t="n">
        <v>7.225</v>
      </c>
      <c r="G2384" s="20" t="n">
        <f aca="false">9-F2384</f>
        <v>1.775</v>
      </c>
      <c r="H2384" s="20" t="n">
        <f aca="false">IF(G2384&gt;=1,G2384,0)</f>
        <v>1.775</v>
      </c>
      <c r="I2384" s="5" t="s">
        <v>774</v>
      </c>
      <c r="J2384" s="5" t="s">
        <v>2976</v>
      </c>
    </row>
    <row r="2385" customFormat="false" ht="15" hidden="false" customHeight="false" outlineLevel="0" collapsed="false">
      <c r="A2385" s="5" t="s">
        <v>231</v>
      </c>
      <c r="B2385" s="5" t="s">
        <v>170</v>
      </c>
      <c r="C2385" s="5" t="n">
        <v>6</v>
      </c>
      <c r="D2385" s="5" t="s">
        <v>1231</v>
      </c>
      <c r="E2385" s="5" t="n">
        <v>1</v>
      </c>
      <c r="F2385" s="20" t="n">
        <v>7.225</v>
      </c>
      <c r="G2385" s="20" t="n">
        <f aca="false">9-F2385</f>
        <v>1.775</v>
      </c>
      <c r="H2385" s="20" t="n">
        <f aca="false">IF(G2385&gt;=1,G2385,0)</f>
        <v>1.775</v>
      </c>
      <c r="I2385" s="5" t="s">
        <v>774</v>
      </c>
      <c r="J2385" s="5" t="s">
        <v>2977</v>
      </c>
    </row>
    <row r="2386" customFormat="false" ht="15" hidden="false" customHeight="false" outlineLevel="0" collapsed="false">
      <c r="A2386" s="5" t="s">
        <v>231</v>
      </c>
      <c r="B2386" s="5" t="s">
        <v>170</v>
      </c>
      <c r="C2386" s="5" t="n">
        <v>7</v>
      </c>
      <c r="D2386" s="5" t="s">
        <v>1231</v>
      </c>
      <c r="E2386" s="5" t="n">
        <v>1</v>
      </c>
      <c r="F2386" s="20" t="n">
        <v>7.225</v>
      </c>
      <c r="G2386" s="20" t="n">
        <f aca="false">9-F2386</f>
        <v>1.775</v>
      </c>
      <c r="H2386" s="20" t="n">
        <f aca="false">IF(G2386&gt;=1,G2386,0)</f>
        <v>1.775</v>
      </c>
      <c r="I2386" s="5" t="s">
        <v>774</v>
      </c>
      <c r="J2386" s="5" t="s">
        <v>2978</v>
      </c>
    </row>
    <row r="2387" customFormat="false" ht="15" hidden="false" customHeight="false" outlineLevel="0" collapsed="false">
      <c r="A2387" s="5" t="s">
        <v>231</v>
      </c>
      <c r="B2387" s="5" t="s">
        <v>170</v>
      </c>
      <c r="C2387" s="5" t="n">
        <v>8</v>
      </c>
      <c r="D2387" s="5" t="s">
        <v>1235</v>
      </c>
      <c r="E2387" s="5" t="n">
        <v>2</v>
      </c>
      <c r="F2387" s="20" t="n">
        <v>8.99011034913166</v>
      </c>
      <c r="G2387" s="20" t="n">
        <f aca="false">9-F2387</f>
        <v>0.00988965086834348</v>
      </c>
      <c r="H2387" s="20" t="n">
        <f aca="false">IF(G2387&gt;=1,G2387,0)</f>
        <v>0</v>
      </c>
      <c r="I2387" s="5" t="s">
        <v>774</v>
      </c>
      <c r="J2387" s="5" t="s">
        <v>2979</v>
      </c>
    </row>
    <row r="2388" customFormat="false" ht="15" hidden="false" customHeight="false" outlineLevel="0" collapsed="false">
      <c r="A2388" s="5" t="s">
        <v>231</v>
      </c>
      <c r="B2388" s="5" t="s">
        <v>170</v>
      </c>
      <c r="C2388" s="5" t="n">
        <v>9</v>
      </c>
      <c r="D2388" s="5" t="s">
        <v>1237</v>
      </c>
      <c r="E2388" s="5" t="n">
        <v>2</v>
      </c>
      <c r="F2388" s="20" t="n">
        <v>8.99376443556696</v>
      </c>
      <c r="G2388" s="20" t="n">
        <f aca="false">9-F2388</f>
        <v>0.00623556443303563</v>
      </c>
      <c r="H2388" s="20" t="n">
        <f aca="false">IF(G2388&gt;=1,G2388,0)</f>
        <v>0</v>
      </c>
      <c r="I2388" s="5" t="s">
        <v>960</v>
      </c>
      <c r="J2388" s="5" t="s">
        <v>2980</v>
      </c>
    </row>
    <row r="2389" customFormat="false" ht="15" hidden="false" customHeight="false" outlineLevel="0" collapsed="false">
      <c r="A2389" s="5" t="s">
        <v>231</v>
      </c>
      <c r="B2389" s="5" t="s">
        <v>170</v>
      </c>
      <c r="C2389" s="5" t="n">
        <v>10</v>
      </c>
      <c r="D2389" s="5" t="s">
        <v>2981</v>
      </c>
      <c r="E2389" s="5" t="n">
        <v>2</v>
      </c>
      <c r="F2389" s="20" t="n">
        <v>8.96245260760997</v>
      </c>
      <c r="G2389" s="20" t="n">
        <f aca="false">9-F2389</f>
        <v>0.0375473923900262</v>
      </c>
      <c r="H2389" s="20" t="n">
        <f aca="false">IF(G2389&gt;=1,G2389,0)</f>
        <v>0</v>
      </c>
      <c r="I2389" s="5" t="s">
        <v>960</v>
      </c>
      <c r="J2389" s="5" t="s">
        <v>2982</v>
      </c>
    </row>
    <row r="2390" customFormat="false" ht="15" hidden="false" customHeight="false" outlineLevel="0" collapsed="false">
      <c r="A2390" s="5" t="s">
        <v>231</v>
      </c>
      <c r="B2390" s="5" t="s">
        <v>170</v>
      </c>
      <c r="C2390" s="5" t="n">
        <v>11</v>
      </c>
      <c r="D2390" s="5" t="s">
        <v>2983</v>
      </c>
      <c r="E2390" s="5" t="n">
        <v>2</v>
      </c>
      <c r="F2390" s="20" t="n">
        <v>8.93339884416911</v>
      </c>
      <c r="G2390" s="20" t="n">
        <f aca="false">9-F2390</f>
        <v>0.0666011558308881</v>
      </c>
      <c r="H2390" s="20" t="n">
        <f aca="false">IF(G2390&gt;=1,G2390,0)</f>
        <v>0</v>
      </c>
      <c r="I2390" s="5" t="s">
        <v>960</v>
      </c>
      <c r="J2390" s="5" t="s">
        <v>2984</v>
      </c>
    </row>
    <row r="2391" customFormat="false" ht="15" hidden="false" customHeight="false" outlineLevel="0" collapsed="false">
      <c r="A2391" s="5" t="s">
        <v>231</v>
      </c>
      <c r="B2391" s="5" t="s">
        <v>170</v>
      </c>
      <c r="C2391" s="5" t="n">
        <v>12</v>
      </c>
      <c r="D2391" s="5" t="s">
        <v>2983</v>
      </c>
      <c r="E2391" s="5" t="n">
        <v>2</v>
      </c>
      <c r="F2391" s="20" t="n">
        <v>8.93226342370055</v>
      </c>
      <c r="G2391" s="20" t="n">
        <f aca="false">9-F2391</f>
        <v>0.0677365762994473</v>
      </c>
      <c r="H2391" s="20" t="n">
        <f aca="false">IF(G2391&gt;=1,G2391,0)</f>
        <v>0</v>
      </c>
      <c r="I2391" s="5" t="s">
        <v>960</v>
      </c>
      <c r="J2391" s="5" t="s">
        <v>2985</v>
      </c>
    </row>
    <row r="2392" customFormat="false" ht="15" hidden="false" customHeight="false" outlineLevel="0" collapsed="false">
      <c r="A2392" s="5" t="s">
        <v>231</v>
      </c>
      <c r="B2392" s="5" t="s">
        <v>170</v>
      </c>
      <c r="C2392" s="5" t="n">
        <v>13</v>
      </c>
      <c r="D2392" s="5" t="s">
        <v>2986</v>
      </c>
      <c r="E2392" s="5" t="n">
        <v>2</v>
      </c>
      <c r="F2392" s="20" t="n">
        <v>8.91864615599707</v>
      </c>
      <c r="G2392" s="20" t="n">
        <f aca="false">9-F2392</f>
        <v>0.0813538440029351</v>
      </c>
      <c r="H2392" s="20" t="n">
        <f aca="false">IF(G2392&gt;=1,G2392,0)</f>
        <v>0</v>
      </c>
      <c r="I2392" s="5" t="s">
        <v>960</v>
      </c>
      <c r="J2392" s="5" t="s">
        <v>2987</v>
      </c>
    </row>
    <row r="2393" customFormat="false" ht="15" hidden="false" customHeight="false" outlineLevel="0" collapsed="false">
      <c r="A2393" s="5" t="s">
        <v>231</v>
      </c>
      <c r="B2393" s="5" t="s">
        <v>170</v>
      </c>
      <c r="C2393" s="5" t="n">
        <v>14</v>
      </c>
      <c r="D2393" s="5" t="s">
        <v>2986</v>
      </c>
      <c r="E2393" s="5" t="n">
        <v>2</v>
      </c>
      <c r="F2393" s="20" t="n">
        <v>8.91864615599706</v>
      </c>
      <c r="G2393" s="20" t="n">
        <f aca="false">9-F2393</f>
        <v>0.0813538440029369</v>
      </c>
      <c r="H2393" s="20" t="n">
        <f aca="false">IF(G2393&gt;=1,G2393,0)</f>
        <v>0</v>
      </c>
      <c r="I2393" s="5" t="s">
        <v>960</v>
      </c>
      <c r="J2393" s="5" t="s">
        <v>2988</v>
      </c>
    </row>
    <row r="2394" customFormat="false" ht="15" hidden="false" customHeight="false" outlineLevel="0" collapsed="false">
      <c r="A2394" s="5" t="s">
        <v>231</v>
      </c>
      <c r="B2394" s="5" t="s">
        <v>170</v>
      </c>
      <c r="C2394" s="5" t="n">
        <v>15</v>
      </c>
      <c r="D2394" s="5" t="s">
        <v>1247</v>
      </c>
      <c r="E2394" s="5" t="n">
        <v>2</v>
      </c>
      <c r="F2394" s="20" t="n">
        <v>8.37334465007483</v>
      </c>
      <c r="G2394" s="20" t="n">
        <f aca="false">9-F2394</f>
        <v>0.626655349925169</v>
      </c>
      <c r="H2394" s="20" t="n">
        <f aca="false">IF(G2394&gt;=1,G2394,0)</f>
        <v>0</v>
      </c>
      <c r="I2394" s="5" t="s">
        <v>774</v>
      </c>
      <c r="J2394" s="5" t="s">
        <v>2989</v>
      </c>
    </row>
    <row r="2395" customFormat="false" ht="15" hidden="false" customHeight="false" outlineLevel="0" collapsed="false">
      <c r="A2395" s="5" t="s">
        <v>231</v>
      </c>
      <c r="B2395" s="5" t="s">
        <v>170</v>
      </c>
      <c r="C2395" s="5" t="n">
        <v>16</v>
      </c>
      <c r="D2395" s="5" t="s">
        <v>1249</v>
      </c>
      <c r="E2395" s="5" t="n">
        <v>2</v>
      </c>
      <c r="F2395" s="20" t="n">
        <v>8.34617899527458</v>
      </c>
      <c r="G2395" s="20" t="n">
        <f aca="false">9-F2395</f>
        <v>0.653821004725423</v>
      </c>
      <c r="H2395" s="20" t="n">
        <f aca="false">IF(G2395&gt;=1,G2395,0)</f>
        <v>0</v>
      </c>
      <c r="I2395" s="5" t="s">
        <v>774</v>
      </c>
      <c r="J2395" s="5" t="s">
        <v>2990</v>
      </c>
    </row>
    <row r="2396" customFormat="false" ht="15" hidden="false" customHeight="false" outlineLevel="0" collapsed="false">
      <c r="A2396" s="5" t="s">
        <v>231</v>
      </c>
      <c r="B2396" s="5" t="s">
        <v>170</v>
      </c>
      <c r="C2396" s="5" t="n">
        <v>17</v>
      </c>
      <c r="D2396" s="5" t="s">
        <v>1251</v>
      </c>
      <c r="E2396" s="5" t="n">
        <v>2</v>
      </c>
      <c r="F2396" s="20" t="n">
        <v>8.23056609204877</v>
      </c>
      <c r="G2396" s="20" t="n">
        <f aca="false">9-F2396</f>
        <v>0.769433907951235</v>
      </c>
      <c r="H2396" s="20" t="n">
        <f aca="false">IF(G2396&gt;=1,G2396,0)</f>
        <v>0</v>
      </c>
      <c r="I2396" s="5" t="s">
        <v>774</v>
      </c>
      <c r="J2396" s="5" t="s">
        <v>2991</v>
      </c>
    </row>
    <row r="2397" customFormat="false" ht="15" hidden="false" customHeight="false" outlineLevel="0" collapsed="false">
      <c r="A2397" s="5" t="s">
        <v>231</v>
      </c>
      <c r="B2397" s="5" t="s">
        <v>170</v>
      </c>
      <c r="C2397" s="5" t="n">
        <v>18</v>
      </c>
      <c r="D2397" s="5" t="s">
        <v>1253</v>
      </c>
      <c r="E2397" s="5" t="n">
        <v>2</v>
      </c>
      <c r="F2397" s="20" t="n">
        <v>8.0951217557018</v>
      </c>
      <c r="G2397" s="20" t="n">
        <f aca="false">9-F2397</f>
        <v>0.9048782442982</v>
      </c>
      <c r="H2397" s="20" t="n">
        <f aca="false">IF(G2397&gt;=1,G2397,0)</f>
        <v>0</v>
      </c>
      <c r="I2397" s="5" t="s">
        <v>774</v>
      </c>
      <c r="J2397" s="5" t="s">
        <v>2992</v>
      </c>
    </row>
    <row r="2398" customFormat="false" ht="15" hidden="false" customHeight="false" outlineLevel="0" collapsed="false">
      <c r="A2398" s="5" t="s">
        <v>231</v>
      </c>
      <c r="B2398" s="5" t="s">
        <v>170</v>
      </c>
      <c r="C2398" s="5" t="n">
        <v>19</v>
      </c>
      <c r="D2398" s="5" t="s">
        <v>1255</v>
      </c>
      <c r="E2398" s="5" t="n">
        <v>2</v>
      </c>
      <c r="F2398" s="20" t="n">
        <v>8.05</v>
      </c>
      <c r="G2398" s="20" t="n">
        <f aca="false">9-F2398</f>
        <v>0.949999999999999</v>
      </c>
      <c r="H2398" s="20" t="n">
        <f aca="false">IF(G2398&gt;=1,G2398,0)</f>
        <v>0</v>
      </c>
      <c r="I2398" s="5" t="s">
        <v>774</v>
      </c>
      <c r="J2398" s="5" t="s">
        <v>2993</v>
      </c>
    </row>
    <row r="2399" customFormat="false" ht="15" hidden="false" customHeight="false" outlineLevel="0" collapsed="false">
      <c r="A2399" s="5" t="s">
        <v>231</v>
      </c>
      <c r="B2399" s="5" t="s">
        <v>170</v>
      </c>
      <c r="C2399" s="5" t="n">
        <v>20</v>
      </c>
      <c r="D2399" s="5" t="s">
        <v>1255</v>
      </c>
      <c r="E2399" s="5" t="n">
        <v>2</v>
      </c>
      <c r="F2399" s="20" t="n">
        <v>8.05</v>
      </c>
      <c r="G2399" s="20" t="n">
        <f aca="false">9-F2399</f>
        <v>0.949999999999999</v>
      </c>
      <c r="H2399" s="20" t="n">
        <f aca="false">IF(G2399&gt;=1,G2399,0)</f>
        <v>0</v>
      </c>
      <c r="I2399" s="5" t="s">
        <v>774</v>
      </c>
      <c r="J2399" s="5" t="s">
        <v>2994</v>
      </c>
    </row>
    <row r="2400" customFormat="false" ht="15" hidden="false" customHeight="false" outlineLevel="0" collapsed="false">
      <c r="A2400" s="5" t="s">
        <v>231</v>
      </c>
      <c r="B2400" s="5" t="s">
        <v>170</v>
      </c>
      <c r="C2400" s="5" t="n">
        <v>21</v>
      </c>
      <c r="D2400" s="5" t="s">
        <v>1255</v>
      </c>
      <c r="E2400" s="5" t="n">
        <v>2</v>
      </c>
      <c r="F2400" s="20" t="n">
        <v>8.05</v>
      </c>
      <c r="G2400" s="20" t="n">
        <f aca="false">9-F2400</f>
        <v>0.949999999999999</v>
      </c>
      <c r="H2400" s="20" t="n">
        <f aca="false">IF(G2400&gt;=1,G2400,0)</f>
        <v>0</v>
      </c>
      <c r="I2400" s="5" t="s">
        <v>774</v>
      </c>
      <c r="J2400" s="5" t="s">
        <v>2995</v>
      </c>
    </row>
    <row r="2401" customFormat="false" ht="15" hidden="false" customHeight="false" outlineLevel="0" collapsed="false">
      <c r="A2401" s="5" t="s">
        <v>231</v>
      </c>
      <c r="B2401" s="5" t="s">
        <v>170</v>
      </c>
      <c r="C2401" s="5" t="n">
        <v>22</v>
      </c>
      <c r="D2401" s="5" t="s">
        <v>767</v>
      </c>
      <c r="E2401" s="5" t="n">
        <v>2</v>
      </c>
      <c r="F2401" s="20" t="n">
        <v>7.46098758690413</v>
      </c>
      <c r="G2401" s="20" t="n">
        <f aca="false">9-F2401</f>
        <v>1.53901241309587</v>
      </c>
      <c r="H2401" s="20" t="n">
        <f aca="false">IF(G2401&gt;=1,G2401,0)</f>
        <v>1.53901241309587</v>
      </c>
      <c r="I2401" s="5" t="s">
        <v>774</v>
      </c>
      <c r="J2401" s="5" t="s">
        <v>2996</v>
      </c>
    </row>
    <row r="2402" customFormat="false" ht="15" hidden="false" customHeight="false" outlineLevel="0" collapsed="false">
      <c r="A2402" s="5" t="s">
        <v>231</v>
      </c>
      <c r="B2402" s="5" t="s">
        <v>170</v>
      </c>
      <c r="C2402" s="5" t="n">
        <v>23</v>
      </c>
      <c r="D2402" s="5" t="s">
        <v>767</v>
      </c>
      <c r="E2402" s="5" t="n">
        <v>2</v>
      </c>
      <c r="F2402" s="20" t="n">
        <v>7.46098758690413</v>
      </c>
      <c r="G2402" s="20" t="n">
        <f aca="false">9-F2402</f>
        <v>1.53901241309587</v>
      </c>
      <c r="H2402" s="20" t="n">
        <f aca="false">IF(G2402&gt;=1,G2402,0)</f>
        <v>1.53901241309587</v>
      </c>
      <c r="I2402" s="5" t="s">
        <v>774</v>
      </c>
      <c r="J2402" s="5" t="s">
        <v>2997</v>
      </c>
    </row>
    <row r="2403" customFormat="false" ht="15" hidden="false" customHeight="false" outlineLevel="0" collapsed="false">
      <c r="A2403" s="5" t="s">
        <v>231</v>
      </c>
      <c r="B2403" s="5" t="s">
        <v>170</v>
      </c>
      <c r="C2403" s="5" t="n">
        <v>24</v>
      </c>
      <c r="D2403" s="5" t="s">
        <v>767</v>
      </c>
      <c r="E2403" s="5" t="n">
        <v>2</v>
      </c>
      <c r="F2403" s="20" t="n">
        <v>7.46098758690413</v>
      </c>
      <c r="G2403" s="20" t="n">
        <f aca="false">9-F2403</f>
        <v>1.53901241309587</v>
      </c>
      <c r="H2403" s="20" t="n">
        <f aca="false">IF(G2403&gt;=1,G2403,0)</f>
        <v>1.53901241309587</v>
      </c>
      <c r="I2403" s="5" t="s">
        <v>774</v>
      </c>
      <c r="J2403" s="5" t="s">
        <v>2998</v>
      </c>
    </row>
    <row r="2404" customFormat="false" ht="15" hidden="false" customHeight="false" outlineLevel="0" collapsed="false">
      <c r="A2404" s="5" t="s">
        <v>231</v>
      </c>
      <c r="B2404" s="5" t="s">
        <v>170</v>
      </c>
      <c r="C2404" s="5" t="n">
        <v>25</v>
      </c>
      <c r="D2404" s="5" t="s">
        <v>767</v>
      </c>
      <c r="E2404" s="5" t="n">
        <v>2</v>
      </c>
      <c r="F2404" s="20" t="n">
        <v>7.46098758690413</v>
      </c>
      <c r="G2404" s="20" t="n">
        <f aca="false">9-F2404</f>
        <v>1.53901241309587</v>
      </c>
      <c r="H2404" s="20" t="n">
        <f aca="false">IF(G2404&gt;=1,G2404,0)</f>
        <v>1.53901241309587</v>
      </c>
      <c r="I2404" s="5" t="s">
        <v>774</v>
      </c>
      <c r="J2404" s="5" t="s">
        <v>2999</v>
      </c>
    </row>
    <row r="2405" customFormat="false" ht="15" hidden="false" customHeight="false" outlineLevel="0" collapsed="false">
      <c r="A2405" s="5" t="s">
        <v>231</v>
      </c>
      <c r="B2405" s="5" t="s">
        <v>170</v>
      </c>
      <c r="C2405" s="5" t="n">
        <v>26</v>
      </c>
      <c r="D2405" s="5" t="s">
        <v>767</v>
      </c>
      <c r="E2405" s="5" t="n">
        <v>2</v>
      </c>
      <c r="F2405" s="20" t="n">
        <v>7.46098758690413</v>
      </c>
      <c r="G2405" s="20" t="n">
        <f aca="false">9-F2405</f>
        <v>1.53901241309587</v>
      </c>
      <c r="H2405" s="20" t="n">
        <f aca="false">IF(G2405&gt;=1,G2405,0)</f>
        <v>1.53901241309587</v>
      </c>
      <c r="I2405" s="5" t="s">
        <v>774</v>
      </c>
      <c r="J2405" s="5" t="s">
        <v>3000</v>
      </c>
    </row>
    <row r="2406" customFormat="false" ht="15" hidden="false" customHeight="false" outlineLevel="0" collapsed="false">
      <c r="A2406" s="5" t="s">
        <v>231</v>
      </c>
      <c r="B2406" s="5" t="s">
        <v>170</v>
      </c>
      <c r="C2406" s="5" t="n">
        <v>27</v>
      </c>
      <c r="D2406" s="5" t="s">
        <v>767</v>
      </c>
      <c r="E2406" s="5" t="n">
        <v>2</v>
      </c>
      <c r="F2406" s="20" t="n">
        <v>7.46098758690413</v>
      </c>
      <c r="G2406" s="20" t="n">
        <f aca="false">9-F2406</f>
        <v>1.53901241309587</v>
      </c>
      <c r="H2406" s="20" t="n">
        <f aca="false">IF(G2406&gt;=1,G2406,0)</f>
        <v>1.53901241309587</v>
      </c>
      <c r="I2406" s="5" t="s">
        <v>774</v>
      </c>
      <c r="J2406" s="5" t="s">
        <v>3001</v>
      </c>
    </row>
    <row r="2407" customFormat="false" ht="15" hidden="false" customHeight="false" outlineLevel="0" collapsed="false">
      <c r="A2407" s="5" t="s">
        <v>231</v>
      </c>
      <c r="B2407" s="5" t="s">
        <v>170</v>
      </c>
      <c r="C2407" s="5" t="n">
        <v>28</v>
      </c>
      <c r="D2407" s="5" t="s">
        <v>767</v>
      </c>
      <c r="E2407" s="5" t="n">
        <v>2</v>
      </c>
      <c r="F2407" s="20" t="n">
        <v>7.46098758690413</v>
      </c>
      <c r="G2407" s="20" t="n">
        <f aca="false">9-F2407</f>
        <v>1.53901241309587</v>
      </c>
      <c r="H2407" s="20" t="n">
        <f aca="false">IF(G2407&gt;=1,G2407,0)</f>
        <v>1.53901241309587</v>
      </c>
      <c r="I2407" s="5" t="s">
        <v>774</v>
      </c>
      <c r="J2407" s="5" t="s">
        <v>3002</v>
      </c>
    </row>
    <row r="2408" customFormat="false" ht="15" hidden="false" customHeight="false" outlineLevel="0" collapsed="false">
      <c r="A2408" s="5" t="s">
        <v>231</v>
      </c>
      <c r="B2408" s="5" t="s">
        <v>170</v>
      </c>
      <c r="C2408" s="5" t="n">
        <v>29</v>
      </c>
      <c r="D2408" s="5" t="s">
        <v>3003</v>
      </c>
      <c r="E2408" s="5" t="n">
        <v>4</v>
      </c>
      <c r="F2408" s="20" t="n">
        <v>8.93910504545656</v>
      </c>
      <c r="G2408" s="20" t="n">
        <f aca="false">9-F2408</f>
        <v>0.0608949545434427</v>
      </c>
      <c r="H2408" s="20" t="n">
        <f aca="false">IF(G2408&gt;=1,G2408,0)</f>
        <v>0</v>
      </c>
      <c r="I2408" s="5" t="s">
        <v>960</v>
      </c>
      <c r="J2408" s="5" t="s">
        <v>3004</v>
      </c>
    </row>
    <row r="2409" customFormat="false" ht="15" hidden="false" customHeight="false" outlineLevel="0" collapsed="false">
      <c r="A2409" s="5" t="s">
        <v>231</v>
      </c>
      <c r="B2409" s="5" t="s">
        <v>170</v>
      </c>
      <c r="C2409" s="5" t="n">
        <v>30</v>
      </c>
      <c r="D2409" s="5" t="s">
        <v>3003</v>
      </c>
      <c r="E2409" s="5" t="n">
        <v>4</v>
      </c>
      <c r="F2409" s="20" t="n">
        <v>8.93910504545656</v>
      </c>
      <c r="G2409" s="20" t="n">
        <f aca="false">9-F2409</f>
        <v>0.0608949545434445</v>
      </c>
      <c r="H2409" s="20" t="n">
        <f aca="false">IF(G2409&gt;=1,G2409,0)</f>
        <v>0</v>
      </c>
      <c r="I2409" s="5" t="s">
        <v>960</v>
      </c>
      <c r="J2409" s="5" t="s">
        <v>3005</v>
      </c>
    </row>
    <row r="2410" customFormat="false" ht="15" hidden="false" customHeight="false" outlineLevel="0" collapsed="false">
      <c r="A2410" s="5" t="s">
        <v>231</v>
      </c>
      <c r="B2410" s="5" t="s">
        <v>170</v>
      </c>
      <c r="C2410" s="5" t="n">
        <v>31</v>
      </c>
      <c r="D2410" s="5" t="s">
        <v>946</v>
      </c>
      <c r="E2410" s="5" t="n">
        <v>4</v>
      </c>
      <c r="F2410" s="20" t="n">
        <v>8.93333333333333</v>
      </c>
      <c r="G2410" s="20" t="n">
        <f aca="false">9-F2410</f>
        <v>0.0666666666666664</v>
      </c>
      <c r="H2410" s="20" t="n">
        <f aca="false">IF(G2410&gt;=1,G2410,0)</f>
        <v>0</v>
      </c>
      <c r="I2410" s="5" t="s">
        <v>774</v>
      </c>
      <c r="J2410" s="5" t="s">
        <v>3006</v>
      </c>
    </row>
    <row r="2411" customFormat="false" ht="15" hidden="false" customHeight="false" outlineLevel="0" collapsed="false">
      <c r="A2411" s="5" t="s">
        <v>231</v>
      </c>
      <c r="B2411" s="5" t="s">
        <v>170</v>
      </c>
      <c r="C2411" s="5" t="n">
        <v>32</v>
      </c>
      <c r="D2411" s="5" t="s">
        <v>3007</v>
      </c>
      <c r="E2411" s="5" t="n">
        <v>4</v>
      </c>
      <c r="F2411" s="20" t="n">
        <v>8.14487675757978</v>
      </c>
      <c r="G2411" s="20" t="n">
        <f aca="false">9-F2411</f>
        <v>0.855123242420223</v>
      </c>
      <c r="H2411" s="20" t="n">
        <f aca="false">IF(G2411&gt;=1,G2411,0)</f>
        <v>0</v>
      </c>
      <c r="I2411" s="5" t="s">
        <v>960</v>
      </c>
      <c r="J2411" s="5" t="s">
        <v>3008</v>
      </c>
    </row>
    <row r="2412" customFormat="false" ht="15" hidden="false" customHeight="false" outlineLevel="0" collapsed="false">
      <c r="A2412" s="5" t="s">
        <v>231</v>
      </c>
      <c r="B2412" s="5" t="s">
        <v>170</v>
      </c>
      <c r="C2412" s="5" t="n">
        <v>33</v>
      </c>
      <c r="D2412" s="5" t="s">
        <v>3009</v>
      </c>
      <c r="E2412" s="5" t="n">
        <v>5</v>
      </c>
      <c r="F2412" s="20" t="n">
        <v>8.97544286086377</v>
      </c>
      <c r="G2412" s="20" t="n">
        <f aca="false">9-F2412</f>
        <v>0.0245571391362311</v>
      </c>
      <c r="H2412" s="20" t="n">
        <f aca="false">IF(G2412&gt;=1,G2412,0)</f>
        <v>0</v>
      </c>
      <c r="I2412" s="5" t="s">
        <v>960</v>
      </c>
      <c r="J2412" s="5" t="s">
        <v>3010</v>
      </c>
    </row>
    <row r="2413" customFormat="false" ht="15" hidden="false" customHeight="false" outlineLevel="0" collapsed="false">
      <c r="A2413" s="5" t="s">
        <v>231</v>
      </c>
      <c r="B2413" s="5" t="s">
        <v>170</v>
      </c>
      <c r="C2413" s="5" t="n">
        <v>34</v>
      </c>
      <c r="D2413" s="5" t="s">
        <v>3011</v>
      </c>
      <c r="E2413" s="5" t="n">
        <v>5</v>
      </c>
      <c r="F2413" s="20" t="n">
        <v>8.92698942041736</v>
      </c>
      <c r="G2413" s="20" t="n">
        <f aca="false">9-F2413</f>
        <v>0.0730105795826432</v>
      </c>
      <c r="H2413" s="20" t="n">
        <f aca="false">IF(G2413&gt;=1,G2413,0)</f>
        <v>0</v>
      </c>
      <c r="I2413" s="5" t="s">
        <v>960</v>
      </c>
      <c r="J2413" s="5" t="s">
        <v>3012</v>
      </c>
    </row>
    <row r="2414" customFormat="false" ht="15" hidden="false" customHeight="false" outlineLevel="0" collapsed="false">
      <c r="A2414" s="5" t="s">
        <v>231</v>
      </c>
      <c r="B2414" s="5" t="s">
        <v>170</v>
      </c>
      <c r="C2414" s="5" t="n">
        <v>35</v>
      </c>
      <c r="D2414" s="5" t="s">
        <v>3013</v>
      </c>
      <c r="E2414" s="5" t="n">
        <v>5</v>
      </c>
      <c r="F2414" s="20" t="n">
        <v>8.85501275333688</v>
      </c>
      <c r="G2414" s="20" t="n">
        <f aca="false">9-F2414</f>
        <v>0.144987246663124</v>
      </c>
      <c r="H2414" s="20" t="n">
        <f aca="false">IF(G2414&gt;=1,G2414,0)</f>
        <v>0</v>
      </c>
      <c r="I2414" s="5" t="s">
        <v>960</v>
      </c>
      <c r="J2414" s="5" t="s">
        <v>3014</v>
      </c>
    </row>
    <row r="2415" customFormat="false" ht="15" hidden="false" customHeight="false" outlineLevel="0" collapsed="false">
      <c r="A2415" s="5" t="s">
        <v>231</v>
      </c>
      <c r="B2415" s="5" t="s">
        <v>171</v>
      </c>
      <c r="C2415" s="5" t="n">
        <v>1</v>
      </c>
      <c r="D2415" s="5" t="s">
        <v>1285</v>
      </c>
      <c r="E2415" s="5" t="n">
        <v>2</v>
      </c>
      <c r="F2415" s="20" t="n">
        <v>8.61480948363014</v>
      </c>
      <c r="G2415" s="20" t="n">
        <f aca="false">9-F2415</f>
        <v>0.385190516369864</v>
      </c>
      <c r="H2415" s="20" t="n">
        <f aca="false">IF(G2415&gt;=1,G2415,0)</f>
        <v>0</v>
      </c>
      <c r="I2415" s="5" t="s">
        <v>75</v>
      </c>
      <c r="J2415" s="5" t="s">
        <v>3015</v>
      </c>
    </row>
    <row r="2416" customFormat="false" ht="15" hidden="false" customHeight="false" outlineLevel="0" collapsed="false">
      <c r="A2416" s="5" t="s">
        <v>231</v>
      </c>
      <c r="B2416" s="5" t="s">
        <v>171</v>
      </c>
      <c r="C2416" s="5" t="n">
        <v>2</v>
      </c>
      <c r="D2416" s="5" t="s">
        <v>3016</v>
      </c>
      <c r="E2416" s="5" t="n">
        <v>2</v>
      </c>
      <c r="F2416" s="20" t="n">
        <v>8.48680948363014</v>
      </c>
      <c r="G2416" s="20" t="n">
        <f aca="false">9-F2416</f>
        <v>0.513190516369859</v>
      </c>
      <c r="H2416" s="20" t="n">
        <f aca="false">IF(G2416&gt;=1,G2416,0)</f>
        <v>0</v>
      </c>
      <c r="I2416" s="5" t="s">
        <v>75</v>
      </c>
      <c r="J2416" s="5" t="s">
        <v>3017</v>
      </c>
    </row>
    <row r="2417" customFormat="false" ht="15" hidden="false" customHeight="false" outlineLevel="0" collapsed="false">
      <c r="A2417" s="5" t="s">
        <v>231</v>
      </c>
      <c r="B2417" s="5" t="s">
        <v>171</v>
      </c>
      <c r="C2417" s="5" t="n">
        <v>3</v>
      </c>
      <c r="D2417" s="5" t="s">
        <v>1495</v>
      </c>
      <c r="E2417" s="5" t="n">
        <v>2</v>
      </c>
      <c r="F2417" s="20" t="n">
        <v>8.45880948363015</v>
      </c>
      <c r="G2417" s="20" t="n">
        <f aca="false">9-F2417</f>
        <v>0.541190516369854</v>
      </c>
      <c r="H2417" s="20" t="n">
        <f aca="false">IF(G2417&gt;=1,G2417,0)</f>
        <v>0</v>
      </c>
      <c r="I2417" s="5" t="s">
        <v>75</v>
      </c>
      <c r="J2417" s="5" t="s">
        <v>3018</v>
      </c>
    </row>
    <row r="2418" customFormat="false" ht="15" hidden="false" customHeight="false" outlineLevel="0" collapsed="false">
      <c r="A2418" s="5" t="s">
        <v>231</v>
      </c>
      <c r="B2418" s="5" t="s">
        <v>171</v>
      </c>
      <c r="C2418" s="5" t="n">
        <v>4</v>
      </c>
      <c r="D2418" s="5" t="s">
        <v>3019</v>
      </c>
      <c r="E2418" s="5" t="n">
        <v>4</v>
      </c>
      <c r="F2418" s="20" t="n">
        <v>8.19035970222218</v>
      </c>
      <c r="G2418" s="20" t="n">
        <f aca="false">9-F2418</f>
        <v>0.809640297777817</v>
      </c>
      <c r="H2418" s="20" t="n">
        <f aca="false">IF(G2418&gt;=1,G2418,0)</f>
        <v>0</v>
      </c>
      <c r="I2418" s="5" t="s">
        <v>74</v>
      </c>
      <c r="J2418" s="5" t="s">
        <v>3020</v>
      </c>
    </row>
    <row r="2419" customFormat="false" ht="15" hidden="false" customHeight="false" outlineLevel="0" collapsed="false">
      <c r="A2419" s="5" t="s">
        <v>231</v>
      </c>
      <c r="B2419" s="5" t="s">
        <v>171</v>
      </c>
      <c r="C2419" s="5" t="n">
        <v>5</v>
      </c>
      <c r="D2419" s="5" t="s">
        <v>3021</v>
      </c>
      <c r="E2419" s="5" t="n">
        <v>4</v>
      </c>
      <c r="F2419" s="20" t="n">
        <v>7.86235970222219</v>
      </c>
      <c r="G2419" s="20" t="n">
        <f aca="false">9-F2419</f>
        <v>1.13764029777781</v>
      </c>
      <c r="H2419" s="20" t="n">
        <f aca="false">IF(G2419&gt;=1,G2419,0)</f>
        <v>1.13764029777781</v>
      </c>
      <c r="I2419" s="5" t="s">
        <v>74</v>
      </c>
      <c r="J2419" s="5" t="s">
        <v>3022</v>
      </c>
    </row>
    <row r="2420" customFormat="false" ht="15" hidden="false" customHeight="false" outlineLevel="0" collapsed="false">
      <c r="A2420" s="5" t="s">
        <v>231</v>
      </c>
      <c r="B2420" s="5" t="s">
        <v>171</v>
      </c>
      <c r="C2420" s="5" t="n">
        <v>6</v>
      </c>
      <c r="D2420" s="5" t="s">
        <v>3023</v>
      </c>
      <c r="E2420" s="5" t="n">
        <v>4</v>
      </c>
      <c r="F2420" s="20" t="n">
        <v>7.78790970222218</v>
      </c>
      <c r="G2420" s="20" t="n">
        <f aca="false">9-F2420</f>
        <v>1.21209029777782</v>
      </c>
      <c r="H2420" s="20" t="n">
        <f aca="false">IF(G2420&gt;=1,G2420,0)</f>
        <v>1.21209029777782</v>
      </c>
      <c r="I2420" s="5" t="s">
        <v>74</v>
      </c>
      <c r="J2420" s="5" t="s">
        <v>3024</v>
      </c>
    </row>
    <row r="2421" customFormat="false" ht="15" hidden="false" customHeight="false" outlineLevel="0" collapsed="false">
      <c r="A2421" s="5" t="s">
        <v>231</v>
      </c>
      <c r="B2421" s="5" t="s">
        <v>171</v>
      </c>
      <c r="C2421" s="5" t="n">
        <v>7</v>
      </c>
      <c r="D2421" s="5" t="s">
        <v>3025</v>
      </c>
      <c r="E2421" s="5" t="n">
        <v>4</v>
      </c>
      <c r="F2421" s="20" t="n">
        <v>7.76450970222217</v>
      </c>
      <c r="G2421" s="20" t="n">
        <f aca="false">9-F2421</f>
        <v>1.23549029777783</v>
      </c>
      <c r="H2421" s="20" t="n">
        <f aca="false">IF(G2421&gt;=1,G2421,0)</f>
        <v>1.23549029777783</v>
      </c>
      <c r="I2421" s="5" t="s">
        <v>74</v>
      </c>
      <c r="J2421" s="5" t="s">
        <v>3026</v>
      </c>
    </row>
    <row r="2422" customFormat="false" ht="15" hidden="false" customHeight="false" outlineLevel="0" collapsed="false">
      <c r="A2422" s="5" t="s">
        <v>231</v>
      </c>
      <c r="B2422" s="5" t="s">
        <v>171</v>
      </c>
      <c r="C2422" s="5" t="n">
        <v>8</v>
      </c>
      <c r="D2422" s="5" t="s">
        <v>3025</v>
      </c>
      <c r="E2422" s="5" t="n">
        <v>4</v>
      </c>
      <c r="F2422" s="20" t="n">
        <v>7.75465970222218</v>
      </c>
      <c r="G2422" s="20" t="n">
        <f aca="false">9-F2422</f>
        <v>1.24534029777782</v>
      </c>
      <c r="H2422" s="20" t="n">
        <f aca="false">IF(G2422&gt;=1,G2422,0)</f>
        <v>1.24534029777782</v>
      </c>
      <c r="I2422" s="5" t="s">
        <v>74</v>
      </c>
      <c r="J2422" s="5" t="s">
        <v>3027</v>
      </c>
    </row>
    <row r="2423" customFormat="false" ht="15" hidden="false" customHeight="false" outlineLevel="0" collapsed="false">
      <c r="A2423" s="5" t="s">
        <v>231</v>
      </c>
      <c r="B2423" s="5" t="s">
        <v>171</v>
      </c>
      <c r="C2423" s="5" t="n">
        <v>9</v>
      </c>
      <c r="D2423" s="5" t="s">
        <v>3025</v>
      </c>
      <c r="E2423" s="5" t="n">
        <v>4</v>
      </c>
      <c r="F2423" s="20" t="n">
        <v>7.75465970222218</v>
      </c>
      <c r="G2423" s="20" t="n">
        <f aca="false">9-F2423</f>
        <v>1.24534029777782</v>
      </c>
      <c r="H2423" s="20" t="n">
        <f aca="false">IF(G2423&gt;=1,G2423,0)</f>
        <v>1.24534029777782</v>
      </c>
      <c r="I2423" s="5" t="s">
        <v>74</v>
      </c>
      <c r="J2423" s="5" t="s">
        <v>3028</v>
      </c>
    </row>
    <row r="2424" customFormat="false" ht="15" hidden="false" customHeight="false" outlineLevel="0" collapsed="false">
      <c r="A2424" s="5" t="s">
        <v>231</v>
      </c>
      <c r="B2424" s="5" t="s">
        <v>171</v>
      </c>
      <c r="C2424" s="5" t="n">
        <v>10</v>
      </c>
      <c r="D2424" s="5" t="s">
        <v>3025</v>
      </c>
      <c r="E2424" s="5" t="n">
        <v>4</v>
      </c>
      <c r="F2424" s="20" t="n">
        <v>7.75465970222218</v>
      </c>
      <c r="G2424" s="20" t="n">
        <f aca="false">9-F2424</f>
        <v>1.24534029777782</v>
      </c>
      <c r="H2424" s="20" t="n">
        <f aca="false">IF(G2424&gt;=1,G2424,0)</f>
        <v>1.24534029777782</v>
      </c>
      <c r="I2424" s="5" t="s">
        <v>74</v>
      </c>
      <c r="J2424" s="5" t="s">
        <v>3029</v>
      </c>
    </row>
    <row r="2425" customFormat="false" ht="15" hidden="false" customHeight="false" outlineLevel="0" collapsed="false">
      <c r="A2425" s="5" t="s">
        <v>231</v>
      </c>
      <c r="B2425" s="5" t="s">
        <v>171</v>
      </c>
      <c r="C2425" s="5" t="n">
        <v>11</v>
      </c>
      <c r="D2425" s="5" t="s">
        <v>3025</v>
      </c>
      <c r="E2425" s="5" t="n">
        <v>4</v>
      </c>
      <c r="F2425" s="20" t="n">
        <v>7.75465970222218</v>
      </c>
      <c r="G2425" s="20" t="n">
        <f aca="false">9-F2425</f>
        <v>1.24534029777782</v>
      </c>
      <c r="H2425" s="20" t="n">
        <f aca="false">IF(G2425&gt;=1,G2425,0)</f>
        <v>1.24534029777782</v>
      </c>
      <c r="I2425" s="5" t="s">
        <v>74</v>
      </c>
      <c r="J2425" s="5" t="s">
        <v>3030</v>
      </c>
    </row>
    <row r="2426" customFormat="false" ht="15" hidden="false" customHeight="false" outlineLevel="0" collapsed="false">
      <c r="A2426" s="5" t="s">
        <v>231</v>
      </c>
      <c r="B2426" s="5" t="s">
        <v>171</v>
      </c>
      <c r="C2426" s="5" t="n">
        <v>12</v>
      </c>
      <c r="D2426" s="5" t="s">
        <v>3025</v>
      </c>
      <c r="E2426" s="5" t="n">
        <v>4</v>
      </c>
      <c r="F2426" s="20" t="n">
        <v>7.75465970222217</v>
      </c>
      <c r="G2426" s="20" t="n">
        <f aca="false">9-F2426</f>
        <v>1.24534029777783</v>
      </c>
      <c r="H2426" s="20" t="n">
        <f aca="false">IF(G2426&gt;=1,G2426,0)</f>
        <v>1.24534029777783</v>
      </c>
      <c r="I2426" s="5" t="s">
        <v>74</v>
      </c>
      <c r="J2426" s="5" t="s">
        <v>3031</v>
      </c>
    </row>
    <row r="2427" customFormat="false" ht="15" hidden="false" customHeight="false" outlineLevel="0" collapsed="false">
      <c r="A2427" s="5" t="s">
        <v>231</v>
      </c>
      <c r="B2427" s="5" t="s">
        <v>171</v>
      </c>
      <c r="C2427" s="5" t="n">
        <v>13</v>
      </c>
      <c r="D2427" s="5" t="s">
        <v>3025</v>
      </c>
      <c r="E2427" s="5" t="n">
        <v>4</v>
      </c>
      <c r="F2427" s="20" t="n">
        <v>7.75465970222217</v>
      </c>
      <c r="G2427" s="20" t="n">
        <f aca="false">9-F2427</f>
        <v>1.24534029777783</v>
      </c>
      <c r="H2427" s="20" t="n">
        <f aca="false">IF(G2427&gt;=1,G2427,0)</f>
        <v>1.24534029777783</v>
      </c>
      <c r="I2427" s="5" t="s">
        <v>74</v>
      </c>
      <c r="J2427" s="5" t="s">
        <v>3032</v>
      </c>
    </row>
    <row r="2428" customFormat="false" ht="15" hidden="false" customHeight="false" outlineLevel="0" collapsed="false">
      <c r="A2428" s="5" t="s">
        <v>231</v>
      </c>
      <c r="B2428" s="5" t="s">
        <v>171</v>
      </c>
      <c r="C2428" s="5" t="n">
        <v>14</v>
      </c>
      <c r="D2428" s="5" t="s">
        <v>3025</v>
      </c>
      <c r="E2428" s="5" t="n">
        <v>4</v>
      </c>
      <c r="F2428" s="20" t="n">
        <v>7.75465970222217</v>
      </c>
      <c r="G2428" s="20" t="n">
        <f aca="false">9-F2428</f>
        <v>1.24534029777783</v>
      </c>
      <c r="H2428" s="20" t="n">
        <f aca="false">IF(G2428&gt;=1,G2428,0)</f>
        <v>1.24534029777783</v>
      </c>
      <c r="I2428" s="5" t="s">
        <v>74</v>
      </c>
      <c r="J2428" s="5" t="s">
        <v>3033</v>
      </c>
    </row>
    <row r="2429" customFormat="false" ht="15" hidden="false" customHeight="false" outlineLevel="0" collapsed="false">
      <c r="A2429" s="5" t="s">
        <v>231</v>
      </c>
      <c r="B2429" s="5" t="s">
        <v>171</v>
      </c>
      <c r="C2429" s="5" t="n">
        <v>15</v>
      </c>
      <c r="D2429" s="5" t="s">
        <v>3025</v>
      </c>
      <c r="E2429" s="5" t="n">
        <v>4</v>
      </c>
      <c r="F2429" s="20" t="n">
        <v>7.75465970222217</v>
      </c>
      <c r="G2429" s="20" t="n">
        <f aca="false">9-F2429</f>
        <v>1.24534029777783</v>
      </c>
      <c r="H2429" s="20" t="n">
        <f aca="false">IF(G2429&gt;=1,G2429,0)</f>
        <v>1.24534029777783</v>
      </c>
      <c r="I2429" s="5" t="s">
        <v>74</v>
      </c>
      <c r="J2429" s="5" t="s">
        <v>3034</v>
      </c>
    </row>
    <row r="2430" customFormat="false" ht="15" hidden="false" customHeight="false" outlineLevel="0" collapsed="false">
      <c r="A2430" s="5" t="s">
        <v>231</v>
      </c>
      <c r="B2430" s="5" t="s">
        <v>171</v>
      </c>
      <c r="C2430" s="5" t="n">
        <v>16</v>
      </c>
      <c r="D2430" s="5" t="s">
        <v>3025</v>
      </c>
      <c r="E2430" s="5" t="n">
        <v>4</v>
      </c>
      <c r="F2430" s="20" t="n">
        <v>7.75465970222217</v>
      </c>
      <c r="G2430" s="20" t="n">
        <f aca="false">9-F2430</f>
        <v>1.24534029777783</v>
      </c>
      <c r="H2430" s="20" t="n">
        <f aca="false">IF(G2430&gt;=1,G2430,0)</f>
        <v>1.24534029777783</v>
      </c>
      <c r="I2430" s="5" t="s">
        <v>74</v>
      </c>
      <c r="J2430" s="5" t="s">
        <v>3035</v>
      </c>
    </row>
    <row r="2431" customFormat="false" ht="15" hidden="false" customHeight="false" outlineLevel="0" collapsed="false">
      <c r="A2431" s="5" t="s">
        <v>231</v>
      </c>
      <c r="B2431" s="5" t="s">
        <v>171</v>
      </c>
      <c r="C2431" s="5" t="n">
        <v>17</v>
      </c>
      <c r="D2431" s="5" t="s">
        <v>3036</v>
      </c>
      <c r="E2431" s="5" t="n">
        <v>4</v>
      </c>
      <c r="F2431" s="20" t="n">
        <v>7.59890970222218</v>
      </c>
      <c r="G2431" s="20" t="n">
        <f aca="false">9-F2431</f>
        <v>1.40109029777782</v>
      </c>
      <c r="H2431" s="20" t="n">
        <f aca="false">IF(G2431&gt;=1,G2431,0)</f>
        <v>1.40109029777782</v>
      </c>
      <c r="I2431" s="5" t="s">
        <v>74</v>
      </c>
      <c r="J2431" s="5" t="s">
        <v>3037</v>
      </c>
    </row>
    <row r="2432" customFormat="false" ht="15" hidden="false" customHeight="false" outlineLevel="0" collapsed="false">
      <c r="A2432" s="5" t="s">
        <v>231</v>
      </c>
      <c r="B2432" s="5" t="s">
        <v>171</v>
      </c>
      <c r="C2432" s="5" t="n">
        <v>18</v>
      </c>
      <c r="D2432" s="5" t="s">
        <v>3036</v>
      </c>
      <c r="E2432" s="5" t="n">
        <v>4</v>
      </c>
      <c r="F2432" s="20" t="n">
        <v>7.59890970222218</v>
      </c>
      <c r="G2432" s="20" t="n">
        <f aca="false">9-F2432</f>
        <v>1.40109029777782</v>
      </c>
      <c r="H2432" s="20" t="n">
        <f aca="false">IF(G2432&gt;=1,G2432,0)</f>
        <v>1.40109029777782</v>
      </c>
      <c r="I2432" s="5" t="s">
        <v>74</v>
      </c>
      <c r="J2432" s="5" t="s">
        <v>3038</v>
      </c>
    </row>
    <row r="2433" customFormat="false" ht="15" hidden="false" customHeight="false" outlineLevel="0" collapsed="false">
      <c r="A2433" s="5" t="s">
        <v>231</v>
      </c>
      <c r="B2433" s="5" t="s">
        <v>171</v>
      </c>
      <c r="C2433" s="5" t="n">
        <v>19</v>
      </c>
      <c r="D2433" s="5" t="s">
        <v>3036</v>
      </c>
      <c r="E2433" s="5" t="n">
        <v>4</v>
      </c>
      <c r="F2433" s="20" t="n">
        <v>7.59890970222217</v>
      </c>
      <c r="G2433" s="20" t="n">
        <f aca="false">9-F2433</f>
        <v>1.40109029777783</v>
      </c>
      <c r="H2433" s="20" t="n">
        <f aca="false">IF(G2433&gt;=1,G2433,0)</f>
        <v>1.40109029777783</v>
      </c>
      <c r="I2433" s="5" t="s">
        <v>74</v>
      </c>
      <c r="J2433" s="5" t="s">
        <v>3039</v>
      </c>
    </row>
    <row r="2434" customFormat="false" ht="15" hidden="false" customHeight="false" outlineLevel="0" collapsed="false">
      <c r="A2434" s="5" t="s">
        <v>231</v>
      </c>
      <c r="B2434" s="5" t="s">
        <v>171</v>
      </c>
      <c r="C2434" s="5" t="n">
        <v>20</v>
      </c>
      <c r="D2434" s="5" t="s">
        <v>3036</v>
      </c>
      <c r="E2434" s="5" t="n">
        <v>4</v>
      </c>
      <c r="F2434" s="20" t="n">
        <v>7.59890970222215</v>
      </c>
      <c r="G2434" s="20" t="n">
        <f aca="false">9-F2434</f>
        <v>1.40109029777785</v>
      </c>
      <c r="H2434" s="20" t="n">
        <f aca="false">IF(G2434&gt;=1,G2434,0)</f>
        <v>1.40109029777785</v>
      </c>
      <c r="I2434" s="5" t="s">
        <v>74</v>
      </c>
      <c r="J2434" s="5" t="s">
        <v>3040</v>
      </c>
    </row>
    <row r="2435" customFormat="false" ht="15" hidden="false" customHeight="false" outlineLevel="0" collapsed="false">
      <c r="A2435" s="5" t="s">
        <v>231</v>
      </c>
      <c r="B2435" s="5" t="s">
        <v>171</v>
      </c>
      <c r="C2435" s="5" t="n">
        <v>21</v>
      </c>
      <c r="D2435" s="5" t="s">
        <v>3036</v>
      </c>
      <c r="E2435" s="5" t="n">
        <v>4</v>
      </c>
      <c r="F2435" s="20" t="n">
        <v>7.59890970222213</v>
      </c>
      <c r="G2435" s="20" t="n">
        <f aca="false">9-F2435</f>
        <v>1.40109029777787</v>
      </c>
      <c r="H2435" s="20" t="n">
        <f aca="false">IF(G2435&gt;=1,G2435,0)</f>
        <v>1.40109029777787</v>
      </c>
      <c r="I2435" s="5" t="s">
        <v>74</v>
      </c>
      <c r="J2435" s="5" t="s">
        <v>3041</v>
      </c>
    </row>
    <row r="2436" customFormat="false" ht="15" hidden="false" customHeight="false" outlineLevel="0" collapsed="false">
      <c r="A2436" s="5" t="s">
        <v>231</v>
      </c>
      <c r="B2436" s="5" t="s">
        <v>171</v>
      </c>
      <c r="C2436" s="5" t="n">
        <v>22</v>
      </c>
      <c r="D2436" s="5" t="s">
        <v>3036</v>
      </c>
      <c r="E2436" s="5" t="n">
        <v>4</v>
      </c>
      <c r="F2436" s="20" t="n">
        <v>7.59890970222213</v>
      </c>
      <c r="G2436" s="20" t="n">
        <f aca="false">9-F2436</f>
        <v>1.40109029777787</v>
      </c>
      <c r="H2436" s="20" t="n">
        <f aca="false">IF(G2436&gt;=1,G2436,0)</f>
        <v>1.40109029777787</v>
      </c>
      <c r="I2436" s="5" t="s">
        <v>74</v>
      </c>
      <c r="J2436" s="5" t="s">
        <v>3042</v>
      </c>
    </row>
    <row r="2437" customFormat="false" ht="15" hidden="false" customHeight="false" outlineLevel="0" collapsed="false">
      <c r="A2437" s="5" t="s">
        <v>231</v>
      </c>
      <c r="B2437" s="5" t="s">
        <v>171</v>
      </c>
      <c r="C2437" s="5" t="n">
        <v>23</v>
      </c>
      <c r="D2437" s="5" t="s">
        <v>3036</v>
      </c>
      <c r="E2437" s="5" t="n">
        <v>4</v>
      </c>
      <c r="F2437" s="20" t="n">
        <v>7.59890970222212</v>
      </c>
      <c r="G2437" s="20" t="n">
        <f aca="false">9-F2437</f>
        <v>1.40109029777788</v>
      </c>
      <c r="H2437" s="20" t="n">
        <f aca="false">IF(G2437&gt;=1,G2437,0)</f>
        <v>1.40109029777788</v>
      </c>
      <c r="I2437" s="5" t="s">
        <v>74</v>
      </c>
      <c r="J2437" s="5" t="s">
        <v>3043</v>
      </c>
    </row>
    <row r="2438" customFormat="false" ht="15" hidden="false" customHeight="false" outlineLevel="0" collapsed="false">
      <c r="A2438" s="5" t="s">
        <v>231</v>
      </c>
      <c r="B2438" s="5" t="s">
        <v>171</v>
      </c>
      <c r="C2438" s="5" t="n">
        <v>24</v>
      </c>
      <c r="D2438" s="5" t="s">
        <v>3036</v>
      </c>
      <c r="E2438" s="5" t="n">
        <v>4</v>
      </c>
      <c r="F2438" s="20" t="n">
        <v>7.5989097022221</v>
      </c>
      <c r="G2438" s="20" t="n">
        <f aca="false">9-F2438</f>
        <v>1.40109029777791</v>
      </c>
      <c r="H2438" s="20" t="n">
        <f aca="false">IF(G2438&gt;=1,G2438,0)</f>
        <v>1.40109029777791</v>
      </c>
      <c r="I2438" s="5" t="s">
        <v>74</v>
      </c>
      <c r="J2438" s="5" t="s">
        <v>3044</v>
      </c>
    </row>
    <row r="2439" customFormat="false" ht="15" hidden="false" customHeight="false" outlineLevel="0" collapsed="false">
      <c r="A2439" s="5" t="s">
        <v>231</v>
      </c>
      <c r="B2439" s="5" t="s">
        <v>171</v>
      </c>
      <c r="C2439" s="5" t="n">
        <v>25</v>
      </c>
      <c r="D2439" s="5" t="s">
        <v>3036</v>
      </c>
      <c r="E2439" s="5" t="n">
        <v>4</v>
      </c>
      <c r="F2439" s="20" t="n">
        <v>7.58315970222218</v>
      </c>
      <c r="G2439" s="20" t="n">
        <f aca="false">9-F2439</f>
        <v>1.41684029777782</v>
      </c>
      <c r="H2439" s="20" t="n">
        <f aca="false">IF(G2439&gt;=1,G2439,0)</f>
        <v>1.41684029777782</v>
      </c>
      <c r="I2439" s="5" t="s">
        <v>74</v>
      </c>
      <c r="J2439" s="5" t="s">
        <v>3045</v>
      </c>
    </row>
    <row r="2440" customFormat="false" ht="15" hidden="false" customHeight="false" outlineLevel="0" collapsed="false">
      <c r="A2440" s="5" t="s">
        <v>231</v>
      </c>
      <c r="B2440" s="5" t="s">
        <v>171</v>
      </c>
      <c r="C2440" s="5" t="n">
        <v>26</v>
      </c>
      <c r="D2440" s="5" t="s">
        <v>3036</v>
      </c>
      <c r="E2440" s="5" t="n">
        <v>4</v>
      </c>
      <c r="F2440" s="20" t="n">
        <v>7.58315970222218</v>
      </c>
      <c r="G2440" s="20" t="n">
        <f aca="false">9-F2440</f>
        <v>1.41684029777782</v>
      </c>
      <c r="H2440" s="20" t="n">
        <f aca="false">IF(G2440&gt;=1,G2440,0)</f>
        <v>1.41684029777782</v>
      </c>
      <c r="I2440" s="5" t="s">
        <v>74</v>
      </c>
      <c r="J2440" s="5" t="s">
        <v>3046</v>
      </c>
    </row>
    <row r="2441" customFormat="false" ht="15" hidden="false" customHeight="false" outlineLevel="0" collapsed="false">
      <c r="A2441" s="5" t="s">
        <v>231</v>
      </c>
      <c r="B2441" s="5" t="s">
        <v>171</v>
      </c>
      <c r="C2441" s="5" t="n">
        <v>27</v>
      </c>
      <c r="D2441" s="5" t="s">
        <v>3047</v>
      </c>
      <c r="E2441" s="5" t="n">
        <v>5</v>
      </c>
      <c r="F2441" s="20" t="n">
        <v>8.77718777324002</v>
      </c>
      <c r="G2441" s="20" t="n">
        <f aca="false">9-F2441</f>
        <v>0.222812226759981</v>
      </c>
      <c r="H2441" s="20" t="n">
        <f aca="false">IF(G2441&gt;=1,G2441,0)</f>
        <v>0</v>
      </c>
      <c r="I2441" s="5" t="s">
        <v>74</v>
      </c>
      <c r="J2441" s="5" t="s">
        <v>3048</v>
      </c>
    </row>
    <row r="2442" customFormat="false" ht="15" hidden="false" customHeight="false" outlineLevel="0" collapsed="false">
      <c r="A2442" s="5" t="s">
        <v>231</v>
      </c>
      <c r="B2442" s="5" t="s">
        <v>171</v>
      </c>
      <c r="C2442" s="5" t="n">
        <v>28</v>
      </c>
      <c r="D2442" s="5" t="s">
        <v>3047</v>
      </c>
      <c r="E2442" s="5" t="n">
        <v>5</v>
      </c>
      <c r="F2442" s="20" t="n">
        <v>8.77718777324002</v>
      </c>
      <c r="G2442" s="20" t="n">
        <f aca="false">9-F2442</f>
        <v>0.222812226759981</v>
      </c>
      <c r="H2442" s="20" t="n">
        <f aca="false">IF(G2442&gt;=1,G2442,0)</f>
        <v>0</v>
      </c>
      <c r="I2442" s="5" t="s">
        <v>74</v>
      </c>
      <c r="J2442" s="5" t="s">
        <v>3049</v>
      </c>
    </row>
    <row r="2443" customFormat="false" ht="15" hidden="false" customHeight="false" outlineLevel="0" collapsed="false">
      <c r="A2443" s="5" t="s">
        <v>231</v>
      </c>
      <c r="B2443" s="5" t="s">
        <v>171</v>
      </c>
      <c r="C2443" s="5" t="n">
        <v>29</v>
      </c>
      <c r="D2443" s="5" t="s">
        <v>3047</v>
      </c>
      <c r="E2443" s="5" t="n">
        <v>5</v>
      </c>
      <c r="F2443" s="20" t="n">
        <v>8.77718777324002</v>
      </c>
      <c r="G2443" s="20" t="n">
        <f aca="false">9-F2443</f>
        <v>0.222812226759984</v>
      </c>
      <c r="H2443" s="20" t="n">
        <f aca="false">IF(G2443&gt;=1,G2443,0)</f>
        <v>0</v>
      </c>
      <c r="I2443" s="5" t="s">
        <v>74</v>
      </c>
      <c r="J2443" s="5" t="s">
        <v>3050</v>
      </c>
    </row>
    <row r="2444" customFormat="false" ht="15" hidden="false" customHeight="false" outlineLevel="0" collapsed="false">
      <c r="A2444" s="5" t="s">
        <v>231</v>
      </c>
      <c r="B2444" s="5" t="s">
        <v>171</v>
      </c>
      <c r="C2444" s="5" t="n">
        <v>30</v>
      </c>
      <c r="D2444" s="5" t="s">
        <v>3047</v>
      </c>
      <c r="E2444" s="5" t="n">
        <v>5</v>
      </c>
      <c r="F2444" s="20" t="n">
        <v>8.77718777324001</v>
      </c>
      <c r="G2444" s="20" t="n">
        <f aca="false">9-F2444</f>
        <v>0.222812226759986</v>
      </c>
      <c r="H2444" s="20" t="n">
        <f aca="false">IF(G2444&gt;=1,G2444,0)</f>
        <v>0</v>
      </c>
      <c r="I2444" s="5" t="s">
        <v>74</v>
      </c>
      <c r="J2444" s="5" t="s">
        <v>3051</v>
      </c>
    </row>
    <row r="2445" customFormat="false" ht="15" hidden="false" customHeight="false" outlineLevel="0" collapsed="false">
      <c r="A2445" s="5" t="s">
        <v>231</v>
      </c>
      <c r="B2445" s="5" t="s">
        <v>171</v>
      </c>
      <c r="C2445" s="5" t="n">
        <v>31</v>
      </c>
      <c r="D2445" s="5" t="s">
        <v>3047</v>
      </c>
      <c r="E2445" s="5" t="n">
        <v>5</v>
      </c>
      <c r="F2445" s="20" t="n">
        <v>8.77718777324001</v>
      </c>
      <c r="G2445" s="20" t="n">
        <f aca="false">9-F2445</f>
        <v>0.222812226759986</v>
      </c>
      <c r="H2445" s="20" t="n">
        <f aca="false">IF(G2445&gt;=1,G2445,0)</f>
        <v>0</v>
      </c>
      <c r="I2445" s="5" t="s">
        <v>74</v>
      </c>
      <c r="J2445" s="5" t="s">
        <v>3052</v>
      </c>
    </row>
    <row r="2446" customFormat="false" ht="15" hidden="false" customHeight="false" outlineLevel="0" collapsed="false">
      <c r="A2446" s="5" t="s">
        <v>231</v>
      </c>
      <c r="B2446" s="5" t="s">
        <v>171</v>
      </c>
      <c r="C2446" s="5" t="n">
        <v>32</v>
      </c>
      <c r="D2446" s="5" t="s">
        <v>3047</v>
      </c>
      <c r="E2446" s="5" t="n">
        <v>5</v>
      </c>
      <c r="F2446" s="20" t="n">
        <v>8.77718777324001</v>
      </c>
      <c r="G2446" s="20" t="n">
        <f aca="false">9-F2446</f>
        <v>0.222812226759986</v>
      </c>
      <c r="H2446" s="20" t="n">
        <f aca="false">IF(G2446&gt;=1,G2446,0)</f>
        <v>0</v>
      </c>
      <c r="I2446" s="5" t="s">
        <v>74</v>
      </c>
      <c r="J2446" s="5" t="s">
        <v>3053</v>
      </c>
    </row>
    <row r="2447" customFormat="false" ht="15" hidden="false" customHeight="false" outlineLevel="0" collapsed="false">
      <c r="A2447" s="5" t="s">
        <v>231</v>
      </c>
      <c r="B2447" s="5" t="s">
        <v>171</v>
      </c>
      <c r="C2447" s="5" t="n">
        <v>33</v>
      </c>
      <c r="D2447" s="5" t="s">
        <v>3047</v>
      </c>
      <c r="E2447" s="5" t="n">
        <v>5</v>
      </c>
      <c r="F2447" s="20" t="n">
        <v>8.77718777324001</v>
      </c>
      <c r="G2447" s="20" t="n">
        <f aca="false">9-F2447</f>
        <v>0.222812226759986</v>
      </c>
      <c r="H2447" s="20" t="n">
        <f aca="false">IF(G2447&gt;=1,G2447,0)</f>
        <v>0</v>
      </c>
      <c r="I2447" s="5" t="s">
        <v>74</v>
      </c>
      <c r="J2447" s="5" t="s">
        <v>3054</v>
      </c>
    </row>
    <row r="2448" customFormat="false" ht="15" hidden="false" customHeight="false" outlineLevel="0" collapsed="false">
      <c r="A2448" s="5" t="s">
        <v>231</v>
      </c>
      <c r="B2448" s="5" t="s">
        <v>171</v>
      </c>
      <c r="C2448" s="5" t="n">
        <v>34</v>
      </c>
      <c r="D2448" s="5" t="s">
        <v>3047</v>
      </c>
      <c r="E2448" s="5" t="n">
        <v>5</v>
      </c>
      <c r="F2448" s="20" t="n">
        <v>8.77718777324001</v>
      </c>
      <c r="G2448" s="20" t="n">
        <f aca="false">9-F2448</f>
        <v>0.222812226759986</v>
      </c>
      <c r="H2448" s="20" t="n">
        <f aca="false">IF(G2448&gt;=1,G2448,0)</f>
        <v>0</v>
      </c>
      <c r="I2448" s="5" t="s">
        <v>74</v>
      </c>
      <c r="J2448" s="5" t="s">
        <v>3055</v>
      </c>
    </row>
    <row r="2449" customFormat="false" ht="15" hidden="false" customHeight="false" outlineLevel="0" collapsed="false">
      <c r="A2449" s="5" t="s">
        <v>231</v>
      </c>
      <c r="B2449" s="5" t="s">
        <v>171</v>
      </c>
      <c r="C2449" s="5" t="n">
        <v>35</v>
      </c>
      <c r="D2449" s="5" t="s">
        <v>3056</v>
      </c>
      <c r="E2449" s="5" t="n">
        <v>4</v>
      </c>
      <c r="F2449" s="20" t="n">
        <v>7.02175021859201</v>
      </c>
      <c r="G2449" s="20" t="n">
        <f aca="false">9-F2449</f>
        <v>1.97824978140799</v>
      </c>
      <c r="H2449" s="20" t="n">
        <f aca="false">IF(G2449&gt;=1,G2449,0)</f>
        <v>1.97824978140799</v>
      </c>
      <c r="I2449" s="5" t="s">
        <v>74</v>
      </c>
      <c r="J2449" s="5" t="s">
        <v>3057</v>
      </c>
    </row>
    <row r="2450" customFormat="false" ht="15" hidden="false" customHeight="false" outlineLevel="0" collapsed="false">
      <c r="A2450" s="5" t="s">
        <v>231</v>
      </c>
      <c r="B2450" s="5" t="s">
        <v>172</v>
      </c>
      <c r="C2450" s="5" t="n">
        <v>1</v>
      </c>
      <c r="D2450" s="5" t="s">
        <v>505</v>
      </c>
      <c r="E2450" s="5" t="n">
        <v>1</v>
      </c>
      <c r="F2450" s="20" t="n">
        <v>9</v>
      </c>
      <c r="G2450" s="20" t="n">
        <f aca="false">9-F2450</f>
        <v>0</v>
      </c>
      <c r="H2450" s="20" t="n">
        <f aca="false">IF(G2450&gt;=1,G2450,0)</f>
        <v>0</v>
      </c>
      <c r="I2450" s="5" t="s">
        <v>75</v>
      </c>
      <c r="J2450" s="5" t="s">
        <v>3058</v>
      </c>
    </row>
    <row r="2451" customFormat="false" ht="15" hidden="false" customHeight="false" outlineLevel="0" collapsed="false">
      <c r="A2451" s="5" t="s">
        <v>231</v>
      </c>
      <c r="B2451" s="5" t="s">
        <v>172</v>
      </c>
      <c r="C2451" s="5" t="n">
        <v>2</v>
      </c>
      <c r="D2451" s="5" t="s">
        <v>505</v>
      </c>
      <c r="E2451" s="5" t="n">
        <v>1</v>
      </c>
      <c r="F2451" s="20" t="n">
        <v>9</v>
      </c>
      <c r="G2451" s="20" t="n">
        <f aca="false">9-F2451</f>
        <v>0</v>
      </c>
      <c r="H2451" s="20" t="n">
        <f aca="false">IF(G2451&gt;=1,G2451,0)</f>
        <v>0</v>
      </c>
      <c r="I2451" s="5" t="s">
        <v>75</v>
      </c>
      <c r="J2451" s="5" t="s">
        <v>3059</v>
      </c>
    </row>
    <row r="2452" customFormat="false" ht="15" hidden="false" customHeight="false" outlineLevel="0" collapsed="false">
      <c r="A2452" s="5" t="s">
        <v>231</v>
      </c>
      <c r="B2452" s="5" t="s">
        <v>172</v>
      </c>
      <c r="C2452" s="5" t="n">
        <v>3</v>
      </c>
      <c r="D2452" s="5" t="s">
        <v>505</v>
      </c>
      <c r="E2452" s="5" t="n">
        <v>1</v>
      </c>
      <c r="F2452" s="20" t="n">
        <v>9</v>
      </c>
      <c r="G2452" s="20" t="n">
        <f aca="false">9-F2452</f>
        <v>0</v>
      </c>
      <c r="H2452" s="20" t="n">
        <f aca="false">IF(G2452&gt;=1,G2452,0)</f>
        <v>0</v>
      </c>
      <c r="I2452" s="5" t="s">
        <v>75</v>
      </c>
      <c r="J2452" s="5" t="s">
        <v>3060</v>
      </c>
    </row>
    <row r="2453" customFormat="false" ht="15" hidden="false" customHeight="false" outlineLevel="0" collapsed="false">
      <c r="A2453" s="5" t="s">
        <v>231</v>
      </c>
      <c r="B2453" s="5" t="s">
        <v>172</v>
      </c>
      <c r="C2453" s="5" t="n">
        <v>4</v>
      </c>
      <c r="D2453" s="5" t="s">
        <v>505</v>
      </c>
      <c r="E2453" s="5" t="n">
        <v>1</v>
      </c>
      <c r="F2453" s="20" t="n">
        <v>9</v>
      </c>
      <c r="G2453" s="20" t="n">
        <f aca="false">9-F2453</f>
        <v>0</v>
      </c>
      <c r="H2453" s="20" t="n">
        <f aca="false">IF(G2453&gt;=1,G2453,0)</f>
        <v>0</v>
      </c>
      <c r="I2453" s="5" t="s">
        <v>75</v>
      </c>
      <c r="J2453" s="5" t="s">
        <v>3061</v>
      </c>
    </row>
    <row r="2454" customFormat="false" ht="15" hidden="false" customHeight="false" outlineLevel="0" collapsed="false">
      <c r="A2454" s="5" t="s">
        <v>231</v>
      </c>
      <c r="B2454" s="5" t="s">
        <v>172</v>
      </c>
      <c r="C2454" s="5" t="n">
        <v>5</v>
      </c>
      <c r="D2454" s="5" t="s">
        <v>505</v>
      </c>
      <c r="E2454" s="5" t="n">
        <v>1</v>
      </c>
      <c r="F2454" s="20" t="n">
        <v>9</v>
      </c>
      <c r="G2454" s="20" t="n">
        <f aca="false">9-F2454</f>
        <v>0</v>
      </c>
      <c r="H2454" s="20" t="n">
        <f aca="false">IF(G2454&gt;=1,G2454,0)</f>
        <v>0</v>
      </c>
      <c r="I2454" s="5" t="s">
        <v>75</v>
      </c>
      <c r="J2454" s="5" t="s">
        <v>3062</v>
      </c>
    </row>
    <row r="2455" customFormat="false" ht="15" hidden="false" customHeight="false" outlineLevel="0" collapsed="false">
      <c r="A2455" s="5" t="s">
        <v>231</v>
      </c>
      <c r="B2455" s="5" t="s">
        <v>172</v>
      </c>
      <c r="C2455" s="5" t="n">
        <v>6</v>
      </c>
      <c r="D2455" s="5" t="s">
        <v>505</v>
      </c>
      <c r="E2455" s="5" t="n">
        <v>1</v>
      </c>
      <c r="F2455" s="20" t="n">
        <v>9</v>
      </c>
      <c r="G2455" s="20" t="n">
        <f aca="false">9-F2455</f>
        <v>0</v>
      </c>
      <c r="H2455" s="20" t="n">
        <f aca="false">IF(G2455&gt;=1,G2455,0)</f>
        <v>0</v>
      </c>
      <c r="I2455" s="5" t="s">
        <v>75</v>
      </c>
      <c r="J2455" s="5" t="s">
        <v>3063</v>
      </c>
    </row>
    <row r="2456" customFormat="false" ht="15" hidden="false" customHeight="false" outlineLevel="0" collapsed="false">
      <c r="A2456" s="5" t="s">
        <v>231</v>
      </c>
      <c r="B2456" s="5" t="s">
        <v>172</v>
      </c>
      <c r="C2456" s="5" t="n">
        <v>7</v>
      </c>
      <c r="D2456" s="5" t="s">
        <v>505</v>
      </c>
      <c r="E2456" s="5" t="n">
        <v>1</v>
      </c>
      <c r="F2456" s="20" t="n">
        <v>9</v>
      </c>
      <c r="G2456" s="20" t="n">
        <f aca="false">9-F2456</f>
        <v>0</v>
      </c>
      <c r="H2456" s="20" t="n">
        <f aca="false">IF(G2456&gt;=1,G2456,0)</f>
        <v>0</v>
      </c>
      <c r="I2456" s="5" t="s">
        <v>75</v>
      </c>
      <c r="J2456" s="5" t="s">
        <v>3064</v>
      </c>
    </row>
    <row r="2457" customFormat="false" ht="15" hidden="false" customHeight="false" outlineLevel="0" collapsed="false">
      <c r="A2457" s="5" t="s">
        <v>231</v>
      </c>
      <c r="B2457" s="5" t="s">
        <v>172</v>
      </c>
      <c r="C2457" s="5" t="n">
        <v>8</v>
      </c>
      <c r="D2457" s="5" t="s">
        <v>505</v>
      </c>
      <c r="E2457" s="5" t="n">
        <v>1</v>
      </c>
      <c r="F2457" s="20" t="n">
        <v>9</v>
      </c>
      <c r="G2457" s="20" t="n">
        <f aca="false">9-F2457</f>
        <v>0</v>
      </c>
      <c r="H2457" s="20" t="n">
        <f aca="false">IF(G2457&gt;=1,G2457,0)</f>
        <v>0</v>
      </c>
      <c r="I2457" s="5" t="s">
        <v>75</v>
      </c>
      <c r="J2457" s="5" t="s">
        <v>3065</v>
      </c>
    </row>
    <row r="2458" customFormat="false" ht="15" hidden="false" customHeight="false" outlineLevel="0" collapsed="false">
      <c r="A2458" s="5" t="s">
        <v>231</v>
      </c>
      <c r="B2458" s="5" t="s">
        <v>172</v>
      </c>
      <c r="C2458" s="5" t="n">
        <v>9</v>
      </c>
      <c r="D2458" s="5" t="s">
        <v>1370</v>
      </c>
      <c r="E2458" s="5" t="n">
        <v>1</v>
      </c>
      <c r="F2458" s="20" t="n">
        <v>8.96897480565453</v>
      </c>
      <c r="G2458" s="20" t="n">
        <f aca="false">9-F2458</f>
        <v>0.0310251943454727</v>
      </c>
      <c r="H2458" s="20" t="n">
        <f aca="false">IF(G2458&gt;=1,G2458,0)</f>
        <v>0</v>
      </c>
      <c r="I2458" s="5" t="s">
        <v>75</v>
      </c>
      <c r="J2458" s="5" t="s">
        <v>3066</v>
      </c>
    </row>
    <row r="2459" customFormat="false" ht="15" hidden="false" customHeight="false" outlineLevel="0" collapsed="false">
      <c r="A2459" s="5" t="s">
        <v>231</v>
      </c>
      <c r="B2459" s="5" t="s">
        <v>172</v>
      </c>
      <c r="C2459" s="5" t="n">
        <v>10</v>
      </c>
      <c r="D2459" s="5" t="s">
        <v>1376</v>
      </c>
      <c r="E2459" s="5" t="n">
        <v>1</v>
      </c>
      <c r="F2459" s="20" t="n">
        <v>8.92454196056548</v>
      </c>
      <c r="G2459" s="20" t="n">
        <f aca="false">9-F2459</f>
        <v>0.0754580394345226</v>
      </c>
      <c r="H2459" s="20" t="n">
        <f aca="false">IF(G2459&gt;=1,G2459,0)</f>
        <v>0</v>
      </c>
      <c r="I2459" s="5" t="s">
        <v>75</v>
      </c>
      <c r="J2459" s="5" t="s">
        <v>3067</v>
      </c>
    </row>
    <row r="2460" customFormat="false" ht="15" hidden="false" customHeight="false" outlineLevel="0" collapsed="false">
      <c r="A2460" s="5" t="s">
        <v>231</v>
      </c>
      <c r="B2460" s="5" t="s">
        <v>172</v>
      </c>
      <c r="C2460" s="5" t="n">
        <v>11</v>
      </c>
      <c r="D2460" s="5" t="s">
        <v>1376</v>
      </c>
      <c r="E2460" s="5" t="n">
        <v>1</v>
      </c>
      <c r="F2460" s="20" t="n">
        <v>8.92454196056548</v>
      </c>
      <c r="G2460" s="20" t="n">
        <f aca="false">9-F2460</f>
        <v>0.0754580394345243</v>
      </c>
      <c r="H2460" s="20" t="n">
        <f aca="false">IF(G2460&gt;=1,G2460,0)</f>
        <v>0</v>
      </c>
      <c r="I2460" s="5" t="s">
        <v>75</v>
      </c>
      <c r="J2460" s="5" t="s">
        <v>3068</v>
      </c>
    </row>
    <row r="2461" customFormat="false" ht="15" hidden="false" customHeight="false" outlineLevel="0" collapsed="false">
      <c r="A2461" s="5" t="s">
        <v>231</v>
      </c>
      <c r="B2461" s="5" t="s">
        <v>172</v>
      </c>
      <c r="C2461" s="5" t="n">
        <v>12</v>
      </c>
      <c r="D2461" s="5" t="s">
        <v>1376</v>
      </c>
      <c r="E2461" s="5" t="n">
        <v>1</v>
      </c>
      <c r="F2461" s="20" t="n">
        <v>8.92454196056547</v>
      </c>
      <c r="G2461" s="20" t="n">
        <f aca="false">9-F2461</f>
        <v>0.0754580394345332</v>
      </c>
      <c r="H2461" s="20" t="n">
        <f aca="false">IF(G2461&gt;=1,G2461,0)</f>
        <v>0</v>
      </c>
      <c r="I2461" s="5" t="s">
        <v>75</v>
      </c>
      <c r="J2461" s="5" t="s">
        <v>3069</v>
      </c>
    </row>
    <row r="2462" customFormat="false" ht="15" hidden="false" customHeight="false" outlineLevel="0" collapsed="false">
      <c r="A2462" s="5" t="s">
        <v>231</v>
      </c>
      <c r="B2462" s="5" t="s">
        <v>172</v>
      </c>
      <c r="C2462" s="5" t="n">
        <v>13</v>
      </c>
      <c r="D2462" s="5" t="s">
        <v>1376</v>
      </c>
      <c r="E2462" s="5" t="n">
        <v>1</v>
      </c>
      <c r="F2462" s="20" t="n">
        <v>8.92454196056547</v>
      </c>
      <c r="G2462" s="20" t="n">
        <f aca="false">9-F2462</f>
        <v>0.075458039434535</v>
      </c>
      <c r="H2462" s="20" t="n">
        <f aca="false">IF(G2462&gt;=1,G2462,0)</f>
        <v>0</v>
      </c>
      <c r="I2462" s="5" t="s">
        <v>75</v>
      </c>
      <c r="J2462" s="5" t="s">
        <v>3070</v>
      </c>
    </row>
    <row r="2463" customFormat="false" ht="15" hidden="false" customHeight="false" outlineLevel="0" collapsed="false">
      <c r="A2463" s="5" t="s">
        <v>231</v>
      </c>
      <c r="B2463" s="5" t="s">
        <v>172</v>
      </c>
      <c r="C2463" s="5" t="n">
        <v>14</v>
      </c>
      <c r="D2463" s="5" t="s">
        <v>3071</v>
      </c>
      <c r="E2463" s="5" t="n">
        <v>1</v>
      </c>
      <c r="F2463" s="20" t="n">
        <v>8.88897480565453</v>
      </c>
      <c r="G2463" s="20" t="n">
        <f aca="false">9-F2463</f>
        <v>0.111025194345469</v>
      </c>
      <c r="H2463" s="20" t="n">
        <f aca="false">IF(G2463&gt;=1,G2463,0)</f>
        <v>0</v>
      </c>
      <c r="I2463" s="5" t="s">
        <v>75</v>
      </c>
      <c r="J2463" s="5" t="s">
        <v>3072</v>
      </c>
    </row>
    <row r="2464" customFormat="false" ht="15" hidden="false" customHeight="false" outlineLevel="0" collapsed="false">
      <c r="A2464" s="5" t="s">
        <v>231</v>
      </c>
      <c r="B2464" s="5" t="s">
        <v>172</v>
      </c>
      <c r="C2464" s="5" t="n">
        <v>15</v>
      </c>
      <c r="D2464" s="5" t="s">
        <v>1381</v>
      </c>
      <c r="E2464" s="5" t="n">
        <v>1</v>
      </c>
      <c r="F2464" s="20" t="n">
        <v>8.77454196056538</v>
      </c>
      <c r="G2464" s="20" t="n">
        <f aca="false">9-F2464</f>
        <v>0.225458039434624</v>
      </c>
      <c r="H2464" s="20" t="n">
        <f aca="false">IF(G2464&gt;=1,G2464,0)</f>
        <v>0</v>
      </c>
      <c r="I2464" s="5" t="s">
        <v>75</v>
      </c>
      <c r="J2464" s="5" t="s">
        <v>3073</v>
      </c>
    </row>
    <row r="2465" customFormat="false" ht="15" hidden="false" customHeight="false" outlineLevel="0" collapsed="false">
      <c r="A2465" s="5" t="s">
        <v>231</v>
      </c>
      <c r="B2465" s="5" t="s">
        <v>172</v>
      </c>
      <c r="C2465" s="5" t="n">
        <v>16</v>
      </c>
      <c r="D2465" s="5" t="s">
        <v>1381</v>
      </c>
      <c r="E2465" s="5" t="n">
        <v>1</v>
      </c>
      <c r="F2465" s="20" t="n">
        <v>8.77454196056538</v>
      </c>
      <c r="G2465" s="20" t="n">
        <f aca="false">9-F2465</f>
        <v>0.225458039434624</v>
      </c>
      <c r="H2465" s="20" t="n">
        <f aca="false">IF(G2465&gt;=1,G2465,0)</f>
        <v>0</v>
      </c>
      <c r="I2465" s="5" t="s">
        <v>75</v>
      </c>
      <c r="J2465" s="5" t="s">
        <v>3074</v>
      </c>
    </row>
    <row r="2466" customFormat="false" ht="15" hidden="false" customHeight="false" outlineLevel="0" collapsed="false">
      <c r="A2466" s="5" t="s">
        <v>231</v>
      </c>
      <c r="B2466" s="5" t="s">
        <v>172</v>
      </c>
      <c r="C2466" s="5" t="n">
        <v>17</v>
      </c>
      <c r="D2466" s="5" t="s">
        <v>1384</v>
      </c>
      <c r="E2466" s="5" t="n">
        <v>1</v>
      </c>
      <c r="F2466" s="20" t="n">
        <v>8.38954196056548</v>
      </c>
      <c r="G2466" s="20" t="n">
        <f aca="false">9-F2466</f>
        <v>0.610458039434523</v>
      </c>
      <c r="H2466" s="20" t="n">
        <f aca="false">IF(G2466&gt;=1,G2466,0)</f>
        <v>0</v>
      </c>
      <c r="I2466" s="5" t="s">
        <v>75</v>
      </c>
      <c r="J2466" s="5" t="s">
        <v>3075</v>
      </c>
    </row>
    <row r="2467" customFormat="false" ht="15" hidden="false" customHeight="false" outlineLevel="0" collapsed="false">
      <c r="A2467" s="5" t="s">
        <v>231</v>
      </c>
      <c r="B2467" s="5" t="s">
        <v>172</v>
      </c>
      <c r="C2467" s="5" t="n">
        <v>18</v>
      </c>
      <c r="D2467" s="5" t="s">
        <v>1384</v>
      </c>
      <c r="E2467" s="5" t="n">
        <v>1</v>
      </c>
      <c r="F2467" s="20" t="n">
        <v>8.38954196056548</v>
      </c>
      <c r="G2467" s="20" t="n">
        <f aca="false">9-F2467</f>
        <v>0.610458039434523</v>
      </c>
      <c r="H2467" s="20" t="n">
        <f aca="false">IF(G2467&gt;=1,G2467,0)</f>
        <v>0</v>
      </c>
      <c r="I2467" s="5" t="s">
        <v>75</v>
      </c>
      <c r="J2467" s="5" t="s">
        <v>3076</v>
      </c>
    </row>
    <row r="2468" customFormat="false" ht="15" hidden="false" customHeight="false" outlineLevel="0" collapsed="false">
      <c r="A2468" s="5" t="s">
        <v>231</v>
      </c>
      <c r="B2468" s="5" t="s">
        <v>172</v>
      </c>
      <c r="C2468" s="5" t="n">
        <v>19</v>
      </c>
      <c r="D2468" s="5" t="s">
        <v>1384</v>
      </c>
      <c r="E2468" s="5" t="n">
        <v>1</v>
      </c>
      <c r="F2468" s="20" t="n">
        <v>8.38954196056548</v>
      </c>
      <c r="G2468" s="20" t="n">
        <f aca="false">9-F2468</f>
        <v>0.610458039434525</v>
      </c>
      <c r="H2468" s="20" t="n">
        <f aca="false">IF(G2468&gt;=1,G2468,0)</f>
        <v>0</v>
      </c>
      <c r="I2468" s="5" t="s">
        <v>75</v>
      </c>
      <c r="J2468" s="5" t="s">
        <v>3077</v>
      </c>
    </row>
    <row r="2469" customFormat="false" ht="15" hidden="false" customHeight="false" outlineLevel="0" collapsed="false">
      <c r="A2469" s="5" t="s">
        <v>231</v>
      </c>
      <c r="B2469" s="5" t="s">
        <v>172</v>
      </c>
      <c r="C2469" s="5" t="n">
        <v>20</v>
      </c>
      <c r="D2469" s="5" t="s">
        <v>1384</v>
      </c>
      <c r="E2469" s="5" t="n">
        <v>1</v>
      </c>
      <c r="F2469" s="20" t="n">
        <v>8.38954196056547</v>
      </c>
      <c r="G2469" s="20" t="n">
        <f aca="false">9-F2469</f>
        <v>0.610458039434526</v>
      </c>
      <c r="H2469" s="20" t="n">
        <f aca="false">IF(G2469&gt;=1,G2469,0)</f>
        <v>0</v>
      </c>
      <c r="I2469" s="5" t="s">
        <v>75</v>
      </c>
      <c r="J2469" s="5" t="s">
        <v>3078</v>
      </c>
    </row>
    <row r="2470" customFormat="false" ht="15" hidden="false" customHeight="false" outlineLevel="0" collapsed="false">
      <c r="A2470" s="5" t="s">
        <v>231</v>
      </c>
      <c r="B2470" s="5" t="s">
        <v>172</v>
      </c>
      <c r="C2470" s="5" t="n">
        <v>21</v>
      </c>
      <c r="D2470" s="5" t="s">
        <v>529</v>
      </c>
      <c r="E2470" s="5" t="n">
        <v>1</v>
      </c>
      <c r="F2470" s="20" t="n">
        <v>8.13902480565453</v>
      </c>
      <c r="G2470" s="20" t="n">
        <f aca="false">9-F2470</f>
        <v>0.860975194345468</v>
      </c>
      <c r="H2470" s="20" t="n">
        <f aca="false">IF(G2470&gt;=1,G2470,0)</f>
        <v>0</v>
      </c>
      <c r="I2470" s="5" t="s">
        <v>75</v>
      </c>
      <c r="J2470" s="5" t="s">
        <v>3079</v>
      </c>
    </row>
    <row r="2471" customFormat="false" ht="15" hidden="false" customHeight="false" outlineLevel="0" collapsed="false">
      <c r="A2471" s="5" t="s">
        <v>231</v>
      </c>
      <c r="B2471" s="5" t="s">
        <v>172</v>
      </c>
      <c r="C2471" s="5" t="n">
        <v>22</v>
      </c>
      <c r="D2471" s="5" t="s">
        <v>529</v>
      </c>
      <c r="E2471" s="5" t="n">
        <v>1</v>
      </c>
      <c r="F2471" s="20" t="n">
        <v>8.13902480565453</v>
      </c>
      <c r="G2471" s="20" t="n">
        <f aca="false">9-F2471</f>
        <v>0.860975194345468</v>
      </c>
      <c r="H2471" s="20" t="n">
        <f aca="false">IF(G2471&gt;=1,G2471,0)</f>
        <v>0</v>
      </c>
      <c r="I2471" s="5" t="s">
        <v>75</v>
      </c>
      <c r="J2471" s="5" t="s">
        <v>3080</v>
      </c>
    </row>
    <row r="2472" customFormat="false" ht="15" hidden="false" customHeight="false" outlineLevel="0" collapsed="false">
      <c r="A2472" s="5" t="s">
        <v>231</v>
      </c>
      <c r="B2472" s="5" t="s">
        <v>172</v>
      </c>
      <c r="C2472" s="5" t="n">
        <v>23</v>
      </c>
      <c r="D2472" s="5" t="s">
        <v>1396</v>
      </c>
      <c r="E2472" s="5" t="n">
        <v>1</v>
      </c>
      <c r="F2472" s="20" t="n">
        <v>7.83187480565453</v>
      </c>
      <c r="G2472" s="20" t="n">
        <f aca="false">9-F2472</f>
        <v>1.16812519434547</v>
      </c>
      <c r="H2472" s="20" t="n">
        <f aca="false">IF(G2472&gt;=1,G2472,0)</f>
        <v>1.16812519434547</v>
      </c>
      <c r="I2472" s="5" t="s">
        <v>75</v>
      </c>
      <c r="J2472" s="5" t="s">
        <v>3081</v>
      </c>
    </row>
    <row r="2473" customFormat="false" ht="15" hidden="false" customHeight="false" outlineLevel="0" collapsed="false">
      <c r="A2473" s="5" t="s">
        <v>231</v>
      </c>
      <c r="B2473" s="5" t="s">
        <v>172</v>
      </c>
      <c r="C2473" s="5" t="n">
        <v>24</v>
      </c>
      <c r="D2473" s="5" t="s">
        <v>1396</v>
      </c>
      <c r="E2473" s="5" t="n">
        <v>1</v>
      </c>
      <c r="F2473" s="20" t="n">
        <v>7.83187480565453</v>
      </c>
      <c r="G2473" s="20" t="n">
        <f aca="false">9-F2473</f>
        <v>1.16812519434547</v>
      </c>
      <c r="H2473" s="20" t="n">
        <f aca="false">IF(G2473&gt;=1,G2473,0)</f>
        <v>1.16812519434547</v>
      </c>
      <c r="I2473" s="5" t="s">
        <v>75</v>
      </c>
      <c r="J2473" s="5" t="s">
        <v>3082</v>
      </c>
    </row>
    <row r="2474" customFormat="false" ht="15" hidden="false" customHeight="false" outlineLevel="0" collapsed="false">
      <c r="A2474" s="5" t="s">
        <v>231</v>
      </c>
      <c r="B2474" s="5" t="s">
        <v>172</v>
      </c>
      <c r="C2474" s="5" t="n">
        <v>25</v>
      </c>
      <c r="D2474" s="5" t="s">
        <v>1399</v>
      </c>
      <c r="E2474" s="5" t="n">
        <v>1</v>
      </c>
      <c r="F2474" s="20" t="n">
        <v>7.78897480565453</v>
      </c>
      <c r="G2474" s="20" t="n">
        <f aca="false">9-F2474</f>
        <v>1.21102519434547</v>
      </c>
      <c r="H2474" s="20" t="n">
        <f aca="false">IF(G2474&gt;=1,G2474,0)</f>
        <v>1.21102519434547</v>
      </c>
      <c r="I2474" s="5" t="s">
        <v>75</v>
      </c>
      <c r="J2474" s="5" t="s">
        <v>3083</v>
      </c>
    </row>
    <row r="2475" customFormat="false" ht="15" hidden="false" customHeight="false" outlineLevel="0" collapsed="false">
      <c r="A2475" s="5" t="s">
        <v>231</v>
      </c>
      <c r="B2475" s="5" t="s">
        <v>172</v>
      </c>
      <c r="C2475" s="5" t="n">
        <v>26</v>
      </c>
      <c r="D2475" s="5" t="s">
        <v>1399</v>
      </c>
      <c r="E2475" s="5" t="n">
        <v>1</v>
      </c>
      <c r="F2475" s="20" t="n">
        <v>7.78897480565453</v>
      </c>
      <c r="G2475" s="20" t="n">
        <f aca="false">9-F2475</f>
        <v>1.21102519434548</v>
      </c>
      <c r="H2475" s="20" t="n">
        <f aca="false">IF(G2475&gt;=1,G2475,0)</f>
        <v>1.21102519434548</v>
      </c>
      <c r="I2475" s="5" t="s">
        <v>75</v>
      </c>
      <c r="J2475" s="5" t="s">
        <v>3084</v>
      </c>
    </row>
    <row r="2476" customFormat="false" ht="15" hidden="false" customHeight="false" outlineLevel="0" collapsed="false">
      <c r="A2476" s="5" t="s">
        <v>231</v>
      </c>
      <c r="B2476" s="5" t="s">
        <v>172</v>
      </c>
      <c r="C2476" s="5" t="n">
        <v>27</v>
      </c>
      <c r="D2476" s="5" t="s">
        <v>2004</v>
      </c>
      <c r="E2476" s="5" t="n">
        <v>1</v>
      </c>
      <c r="F2476" s="20" t="n">
        <v>7.73272480565453</v>
      </c>
      <c r="G2476" s="20" t="n">
        <f aca="false">9-F2476</f>
        <v>1.26727519434547</v>
      </c>
      <c r="H2476" s="20" t="n">
        <f aca="false">IF(G2476&gt;=1,G2476,0)</f>
        <v>1.26727519434547</v>
      </c>
      <c r="I2476" s="5" t="s">
        <v>75</v>
      </c>
      <c r="J2476" s="5" t="s">
        <v>3085</v>
      </c>
    </row>
    <row r="2477" customFormat="false" ht="15" hidden="false" customHeight="false" outlineLevel="0" collapsed="false">
      <c r="A2477" s="5" t="s">
        <v>231</v>
      </c>
      <c r="B2477" s="5" t="s">
        <v>172</v>
      </c>
      <c r="C2477" s="5" t="n">
        <v>28</v>
      </c>
      <c r="D2477" s="5" t="s">
        <v>3086</v>
      </c>
      <c r="E2477" s="5" t="n">
        <v>2</v>
      </c>
      <c r="F2477" s="20" t="n">
        <v>8.98064961130906</v>
      </c>
      <c r="G2477" s="20" t="n">
        <f aca="false">9-F2477</f>
        <v>0.0193503886909383</v>
      </c>
      <c r="H2477" s="20" t="n">
        <f aca="false">IF(G2477&gt;=1,G2477,0)</f>
        <v>0</v>
      </c>
      <c r="I2477" s="5" t="s">
        <v>75</v>
      </c>
      <c r="J2477" s="5" t="s">
        <v>3087</v>
      </c>
    </row>
    <row r="2478" customFormat="false" ht="15" hidden="false" customHeight="false" outlineLevel="0" collapsed="false">
      <c r="A2478" s="5" t="s">
        <v>231</v>
      </c>
      <c r="B2478" s="5" t="s">
        <v>172</v>
      </c>
      <c r="C2478" s="5" t="n">
        <v>29</v>
      </c>
      <c r="D2478" s="5" t="s">
        <v>1406</v>
      </c>
      <c r="E2478" s="5" t="n">
        <v>2</v>
      </c>
      <c r="F2478" s="20" t="n">
        <v>8.97513284508906</v>
      </c>
      <c r="G2478" s="20" t="n">
        <f aca="false">9-F2478</f>
        <v>0.0248671549109449</v>
      </c>
      <c r="H2478" s="20" t="n">
        <f aca="false">IF(G2478&gt;=1,G2478,0)</f>
        <v>0</v>
      </c>
      <c r="I2478" s="5" t="s">
        <v>75</v>
      </c>
      <c r="J2478" s="5" t="s">
        <v>3088</v>
      </c>
    </row>
    <row r="2479" customFormat="false" ht="15" hidden="false" customHeight="false" outlineLevel="0" collapsed="false">
      <c r="A2479" s="5" t="s">
        <v>231</v>
      </c>
      <c r="B2479" s="5" t="s">
        <v>172</v>
      </c>
      <c r="C2479" s="5" t="n">
        <v>30</v>
      </c>
      <c r="D2479" s="5" t="s">
        <v>1406</v>
      </c>
      <c r="E2479" s="5" t="n">
        <v>2</v>
      </c>
      <c r="F2479" s="20" t="n">
        <v>8.97513284508906</v>
      </c>
      <c r="G2479" s="20" t="n">
        <f aca="false">9-F2479</f>
        <v>0.0248671549109449</v>
      </c>
      <c r="H2479" s="20" t="n">
        <f aca="false">IF(G2479&gt;=1,G2479,0)</f>
        <v>0</v>
      </c>
      <c r="I2479" s="5" t="s">
        <v>75</v>
      </c>
      <c r="J2479" s="5" t="s">
        <v>3089</v>
      </c>
    </row>
    <row r="2480" customFormat="false" ht="15" hidden="false" customHeight="false" outlineLevel="0" collapsed="false">
      <c r="A2480" s="5" t="s">
        <v>231</v>
      </c>
      <c r="B2480" s="5" t="s">
        <v>172</v>
      </c>
      <c r="C2480" s="5" t="n">
        <v>31</v>
      </c>
      <c r="D2480" s="5" t="s">
        <v>1413</v>
      </c>
      <c r="E2480" s="5" t="n">
        <v>2</v>
      </c>
      <c r="F2480" s="20" t="n">
        <v>8.97856569017812</v>
      </c>
      <c r="G2480" s="20" t="n">
        <f aca="false">9-F2480</f>
        <v>0.0214343098218794</v>
      </c>
      <c r="H2480" s="20" t="n">
        <f aca="false">IF(G2480&gt;=1,G2480,0)</f>
        <v>0</v>
      </c>
      <c r="I2480" s="5" t="s">
        <v>75</v>
      </c>
      <c r="J2480" s="5" t="s">
        <v>3090</v>
      </c>
    </row>
    <row r="2481" customFormat="false" ht="15" hidden="false" customHeight="false" outlineLevel="0" collapsed="false">
      <c r="A2481" s="5" t="s">
        <v>231</v>
      </c>
      <c r="B2481" s="5" t="s">
        <v>172</v>
      </c>
      <c r="C2481" s="5" t="n">
        <v>32</v>
      </c>
      <c r="D2481" s="5" t="s">
        <v>1413</v>
      </c>
      <c r="E2481" s="5" t="n">
        <v>2</v>
      </c>
      <c r="F2481" s="20" t="n">
        <v>8.97856569017812</v>
      </c>
      <c r="G2481" s="20" t="n">
        <f aca="false">9-F2481</f>
        <v>0.0214343098218848</v>
      </c>
      <c r="H2481" s="20" t="n">
        <f aca="false">IF(G2481&gt;=1,G2481,0)</f>
        <v>0</v>
      </c>
      <c r="I2481" s="5" t="s">
        <v>75</v>
      </c>
      <c r="J2481" s="5" t="s">
        <v>3091</v>
      </c>
    </row>
    <row r="2482" customFormat="false" ht="15" hidden="false" customHeight="false" outlineLevel="0" collapsed="false">
      <c r="A2482" s="5" t="s">
        <v>231</v>
      </c>
      <c r="B2482" s="5" t="s">
        <v>172</v>
      </c>
      <c r="C2482" s="5" t="n">
        <v>33</v>
      </c>
      <c r="D2482" s="5" t="s">
        <v>1419</v>
      </c>
      <c r="E2482" s="5" t="n">
        <v>2</v>
      </c>
      <c r="F2482" s="20" t="n">
        <v>8.98025765074365</v>
      </c>
      <c r="G2482" s="20" t="n">
        <f aca="false">9-F2482</f>
        <v>0.0197423492563509</v>
      </c>
      <c r="H2482" s="20" t="n">
        <f aca="false">IF(G2482&gt;=1,G2482,0)</f>
        <v>0</v>
      </c>
      <c r="I2482" s="5" t="s">
        <v>75</v>
      </c>
      <c r="J2482" s="5" t="s">
        <v>3092</v>
      </c>
    </row>
    <row r="2483" customFormat="false" ht="15" hidden="false" customHeight="false" outlineLevel="0" collapsed="false">
      <c r="A2483" s="5" t="s">
        <v>231</v>
      </c>
      <c r="B2483" s="5" t="s">
        <v>172</v>
      </c>
      <c r="C2483" s="5" t="n">
        <v>34</v>
      </c>
      <c r="D2483" s="5" t="s">
        <v>3093</v>
      </c>
      <c r="E2483" s="5" t="n">
        <v>2</v>
      </c>
      <c r="F2483" s="20" t="n">
        <v>8.9682576507436</v>
      </c>
      <c r="G2483" s="20" t="n">
        <f aca="false">9-F2483</f>
        <v>0.0317423492563975</v>
      </c>
      <c r="H2483" s="20" t="n">
        <f aca="false">IF(G2483&gt;=1,G2483,0)</f>
        <v>0</v>
      </c>
      <c r="I2483" s="5" t="s">
        <v>75</v>
      </c>
      <c r="J2483" s="5" t="s">
        <v>3094</v>
      </c>
    </row>
    <row r="2484" customFormat="false" ht="15" hidden="false" customHeight="false" outlineLevel="0" collapsed="false">
      <c r="A2484" s="5" t="s">
        <v>231</v>
      </c>
      <c r="B2484" s="5" t="s">
        <v>172</v>
      </c>
      <c r="C2484" s="5" t="n">
        <v>35</v>
      </c>
      <c r="D2484" s="5" t="s">
        <v>3093</v>
      </c>
      <c r="E2484" s="5" t="n">
        <v>2</v>
      </c>
      <c r="F2484" s="20" t="n">
        <v>8.96425765074353</v>
      </c>
      <c r="G2484" s="20" t="n">
        <f aca="false">9-F2484</f>
        <v>0.0357423492564735</v>
      </c>
      <c r="H2484" s="20" t="n">
        <f aca="false">IF(G2484&gt;=1,G2484,0)</f>
        <v>0</v>
      </c>
      <c r="I2484" s="5" t="s">
        <v>75</v>
      </c>
      <c r="J2484" s="5" t="s">
        <v>3095</v>
      </c>
    </row>
    <row r="2485" customFormat="false" ht="15" hidden="false" customHeight="false" outlineLevel="0" collapsed="false">
      <c r="A2485" s="5" t="s">
        <v>231</v>
      </c>
      <c r="B2485" s="5" t="s">
        <v>172</v>
      </c>
      <c r="C2485" s="5" t="n">
        <v>36</v>
      </c>
      <c r="D2485" s="5" t="s">
        <v>3096</v>
      </c>
      <c r="E2485" s="5" t="n">
        <v>2</v>
      </c>
      <c r="F2485" s="20" t="n">
        <v>8.70113284508906</v>
      </c>
      <c r="G2485" s="20" t="n">
        <f aca="false">9-F2485</f>
        <v>0.298867154910942</v>
      </c>
      <c r="H2485" s="20" t="n">
        <f aca="false">IF(G2485&gt;=1,G2485,0)</f>
        <v>0</v>
      </c>
      <c r="I2485" s="5" t="s">
        <v>75</v>
      </c>
      <c r="J2485" s="5" t="s">
        <v>3097</v>
      </c>
    </row>
    <row r="2486" customFormat="false" ht="15" hidden="false" customHeight="false" outlineLevel="0" collapsed="false">
      <c r="A2486" s="5" t="s">
        <v>231</v>
      </c>
      <c r="B2486" s="5" t="s">
        <v>172</v>
      </c>
      <c r="C2486" s="5" t="n">
        <v>37</v>
      </c>
      <c r="D2486" s="5" t="s">
        <v>1432</v>
      </c>
      <c r="E2486" s="5" t="n">
        <v>2</v>
      </c>
      <c r="F2486" s="20" t="n">
        <v>8.57513284508906</v>
      </c>
      <c r="G2486" s="20" t="n">
        <f aca="false">9-F2486</f>
        <v>0.424867154910945</v>
      </c>
      <c r="H2486" s="20" t="n">
        <f aca="false">IF(G2486&gt;=1,G2486,0)</f>
        <v>0</v>
      </c>
      <c r="I2486" s="5" t="s">
        <v>75</v>
      </c>
      <c r="J2486" s="5" t="s">
        <v>3098</v>
      </c>
    </row>
    <row r="2487" customFormat="false" ht="15" hidden="false" customHeight="false" outlineLevel="0" collapsed="false">
      <c r="A2487" s="5" t="s">
        <v>231</v>
      </c>
      <c r="B2487" s="5" t="s">
        <v>172</v>
      </c>
      <c r="C2487" s="5" t="n">
        <v>38</v>
      </c>
      <c r="D2487" s="5" t="s">
        <v>1432</v>
      </c>
      <c r="E2487" s="5" t="n">
        <v>2</v>
      </c>
      <c r="F2487" s="20" t="n">
        <v>8.57513284508905</v>
      </c>
      <c r="G2487" s="20" t="n">
        <f aca="false">9-F2487</f>
        <v>0.424867154910949</v>
      </c>
      <c r="H2487" s="20" t="n">
        <f aca="false">IF(G2487&gt;=1,G2487,0)</f>
        <v>0</v>
      </c>
      <c r="I2487" s="5" t="s">
        <v>75</v>
      </c>
      <c r="J2487" s="5" t="s">
        <v>3099</v>
      </c>
    </row>
    <row r="2488" customFormat="false" ht="15" hidden="false" customHeight="false" outlineLevel="0" collapsed="false">
      <c r="A2488" s="5" t="s">
        <v>231</v>
      </c>
      <c r="B2488" s="5" t="s">
        <v>172</v>
      </c>
      <c r="C2488" s="5" t="n">
        <v>39</v>
      </c>
      <c r="D2488" s="5" t="s">
        <v>1432</v>
      </c>
      <c r="E2488" s="5" t="n">
        <v>2</v>
      </c>
      <c r="F2488" s="20" t="n">
        <v>8.57513284508905</v>
      </c>
      <c r="G2488" s="20" t="n">
        <f aca="false">9-F2488</f>
        <v>0.424867154910951</v>
      </c>
      <c r="H2488" s="20" t="n">
        <f aca="false">IF(G2488&gt;=1,G2488,0)</f>
        <v>0</v>
      </c>
      <c r="I2488" s="5" t="s">
        <v>75</v>
      </c>
      <c r="J2488" s="5" t="s">
        <v>3100</v>
      </c>
    </row>
    <row r="2489" customFormat="false" ht="15" hidden="false" customHeight="false" outlineLevel="0" collapsed="false">
      <c r="A2489" s="5" t="s">
        <v>231</v>
      </c>
      <c r="B2489" s="5" t="s">
        <v>172</v>
      </c>
      <c r="C2489" s="5" t="n">
        <v>40</v>
      </c>
      <c r="D2489" s="5" t="s">
        <v>1432</v>
      </c>
      <c r="E2489" s="5" t="n">
        <v>2</v>
      </c>
      <c r="F2489" s="20" t="n">
        <v>8.57513284508905</v>
      </c>
      <c r="G2489" s="20" t="n">
        <f aca="false">9-F2489</f>
        <v>0.424867154910952</v>
      </c>
      <c r="H2489" s="20" t="n">
        <f aca="false">IF(G2489&gt;=1,G2489,0)</f>
        <v>0</v>
      </c>
      <c r="I2489" s="5" t="s">
        <v>75</v>
      </c>
      <c r="J2489" s="5" t="s">
        <v>3101</v>
      </c>
    </row>
    <row r="2490" customFormat="false" ht="15" hidden="false" customHeight="false" outlineLevel="0" collapsed="false">
      <c r="A2490" s="5" t="s">
        <v>231</v>
      </c>
      <c r="B2490" s="5" t="s">
        <v>172</v>
      </c>
      <c r="C2490" s="5" t="n">
        <v>41</v>
      </c>
      <c r="D2490" s="5" t="s">
        <v>1437</v>
      </c>
      <c r="E2490" s="5" t="n">
        <v>2</v>
      </c>
      <c r="F2490" s="20" t="n">
        <v>8.46213284508905</v>
      </c>
      <c r="G2490" s="20" t="n">
        <f aca="false">9-F2490</f>
        <v>0.537867154910948</v>
      </c>
      <c r="H2490" s="20" t="n">
        <f aca="false">IF(G2490&gt;=1,G2490,0)</f>
        <v>0</v>
      </c>
      <c r="I2490" s="5" t="s">
        <v>75</v>
      </c>
      <c r="J2490" s="5" t="s">
        <v>3102</v>
      </c>
    </row>
    <row r="2491" customFormat="false" ht="15" hidden="false" customHeight="false" outlineLevel="0" collapsed="false">
      <c r="A2491" s="5" t="s">
        <v>231</v>
      </c>
      <c r="B2491" s="5" t="s">
        <v>172</v>
      </c>
      <c r="C2491" s="5" t="n">
        <v>42</v>
      </c>
      <c r="D2491" s="5" t="s">
        <v>1437</v>
      </c>
      <c r="E2491" s="5" t="n">
        <v>2</v>
      </c>
      <c r="F2491" s="20" t="n">
        <v>8.45813284508905</v>
      </c>
      <c r="G2491" s="20" t="n">
        <f aca="false">9-F2491</f>
        <v>0.541867154910953</v>
      </c>
      <c r="H2491" s="20" t="n">
        <f aca="false">IF(G2491&gt;=1,G2491,0)</f>
        <v>0</v>
      </c>
      <c r="I2491" s="5" t="s">
        <v>75</v>
      </c>
      <c r="J2491" s="5" t="s">
        <v>3103</v>
      </c>
    </row>
    <row r="2492" customFormat="false" ht="15" hidden="false" customHeight="false" outlineLevel="0" collapsed="false">
      <c r="A2492" s="5" t="s">
        <v>231</v>
      </c>
      <c r="B2492" s="5" t="s">
        <v>172</v>
      </c>
      <c r="C2492" s="5" t="n">
        <v>43</v>
      </c>
      <c r="D2492" s="5" t="s">
        <v>2024</v>
      </c>
      <c r="E2492" s="5" t="n">
        <v>2</v>
      </c>
      <c r="F2492" s="20" t="n">
        <v>8.41813284508904</v>
      </c>
      <c r="G2492" s="20" t="n">
        <f aca="false">9-F2492</f>
        <v>0.581867154910956</v>
      </c>
      <c r="H2492" s="20" t="n">
        <f aca="false">IF(G2492&gt;=1,G2492,0)</f>
        <v>0</v>
      </c>
      <c r="I2492" s="5" t="s">
        <v>75</v>
      </c>
      <c r="J2492" s="5" t="s">
        <v>3104</v>
      </c>
    </row>
    <row r="2493" customFormat="false" ht="15" hidden="false" customHeight="false" outlineLevel="0" collapsed="false">
      <c r="A2493" s="5" t="s">
        <v>231</v>
      </c>
      <c r="B2493" s="5" t="s">
        <v>172</v>
      </c>
      <c r="C2493" s="5" t="n">
        <v>44</v>
      </c>
      <c r="D2493" s="5" t="s">
        <v>3105</v>
      </c>
      <c r="E2493" s="5" t="n">
        <v>2</v>
      </c>
      <c r="F2493" s="20" t="n">
        <v>8.25956569017809</v>
      </c>
      <c r="G2493" s="20" t="n">
        <f aca="false">9-F2493</f>
        <v>0.740434309821911</v>
      </c>
      <c r="H2493" s="20" t="n">
        <f aca="false">IF(G2493&gt;=1,G2493,0)</f>
        <v>0</v>
      </c>
      <c r="I2493" s="5" t="s">
        <v>75</v>
      </c>
      <c r="J2493" s="5" t="s">
        <v>3106</v>
      </c>
    </row>
    <row r="2494" customFormat="false" ht="15" hidden="false" customHeight="false" outlineLevel="0" collapsed="false">
      <c r="A2494" s="5" t="s">
        <v>231</v>
      </c>
      <c r="B2494" s="5" t="s">
        <v>172</v>
      </c>
      <c r="C2494" s="5" t="n">
        <v>45</v>
      </c>
      <c r="D2494" s="5" t="s">
        <v>1446</v>
      </c>
      <c r="E2494" s="5" t="n">
        <v>2</v>
      </c>
      <c r="F2494" s="20" t="n">
        <v>8.08713284508902</v>
      </c>
      <c r="G2494" s="20" t="n">
        <f aca="false">9-F2494</f>
        <v>0.912867154910977</v>
      </c>
      <c r="H2494" s="20" t="n">
        <f aca="false">IF(G2494&gt;=1,G2494,0)</f>
        <v>0</v>
      </c>
      <c r="I2494" s="5" t="s">
        <v>75</v>
      </c>
      <c r="J2494" s="5" t="s">
        <v>3107</v>
      </c>
    </row>
    <row r="2495" customFormat="false" ht="15" hidden="false" customHeight="false" outlineLevel="0" collapsed="false">
      <c r="A2495" s="5" t="s">
        <v>231</v>
      </c>
      <c r="B2495" s="5" t="s">
        <v>172</v>
      </c>
      <c r="C2495" s="5" t="n">
        <v>46</v>
      </c>
      <c r="D2495" s="5" t="s">
        <v>1446</v>
      </c>
      <c r="E2495" s="5" t="n">
        <v>2</v>
      </c>
      <c r="F2495" s="20" t="n">
        <v>8.08713284508898</v>
      </c>
      <c r="G2495" s="20" t="n">
        <f aca="false">9-F2495</f>
        <v>0.912867154911016</v>
      </c>
      <c r="H2495" s="20" t="n">
        <f aca="false">IF(G2495&gt;=1,G2495,0)</f>
        <v>0</v>
      </c>
      <c r="I2495" s="5" t="s">
        <v>75</v>
      </c>
      <c r="J2495" s="5" t="s">
        <v>3108</v>
      </c>
    </row>
    <row r="2496" customFormat="false" ht="15" hidden="false" customHeight="false" outlineLevel="0" collapsed="false">
      <c r="A2496" s="5" t="s">
        <v>231</v>
      </c>
      <c r="B2496" s="5" t="s">
        <v>172</v>
      </c>
      <c r="C2496" s="5" t="n">
        <v>47</v>
      </c>
      <c r="D2496" s="5" t="s">
        <v>2591</v>
      </c>
      <c r="E2496" s="5" t="n">
        <v>2</v>
      </c>
      <c r="F2496" s="20" t="n">
        <v>7.94739196056538</v>
      </c>
      <c r="G2496" s="20" t="n">
        <f aca="false">9-F2496</f>
        <v>1.05260803943462</v>
      </c>
      <c r="H2496" s="20" t="n">
        <f aca="false">IF(G2496&gt;=1,G2496,0)</f>
        <v>1.05260803943462</v>
      </c>
      <c r="I2496" s="5" t="s">
        <v>75</v>
      </c>
      <c r="J2496" s="5" t="s">
        <v>3109</v>
      </c>
    </row>
    <row r="2497" customFormat="false" ht="15" hidden="false" customHeight="false" outlineLevel="0" collapsed="false">
      <c r="A2497" s="5" t="s">
        <v>231</v>
      </c>
      <c r="B2497" s="5" t="s">
        <v>172</v>
      </c>
      <c r="C2497" s="5" t="n">
        <v>48</v>
      </c>
      <c r="D2497" s="5" t="s">
        <v>2591</v>
      </c>
      <c r="E2497" s="5" t="n">
        <v>2</v>
      </c>
      <c r="F2497" s="20" t="n">
        <v>7.94739196056537</v>
      </c>
      <c r="G2497" s="20" t="n">
        <f aca="false">9-F2497</f>
        <v>1.05260803943463</v>
      </c>
      <c r="H2497" s="20" t="n">
        <f aca="false">IF(G2497&gt;=1,G2497,0)</f>
        <v>1.05260803943463</v>
      </c>
      <c r="I2497" s="5" t="s">
        <v>75</v>
      </c>
      <c r="J2497" s="5" t="s">
        <v>3110</v>
      </c>
    </row>
    <row r="2498" customFormat="false" ht="15" hidden="false" customHeight="false" outlineLevel="0" collapsed="false">
      <c r="A2498" s="5" t="s">
        <v>231</v>
      </c>
      <c r="B2498" s="5" t="s">
        <v>172</v>
      </c>
      <c r="C2498" s="5" t="n">
        <v>49</v>
      </c>
      <c r="D2498" s="5" t="s">
        <v>3111</v>
      </c>
      <c r="E2498" s="5" t="n">
        <v>2</v>
      </c>
      <c r="F2498" s="20" t="n">
        <v>7.79739196056547</v>
      </c>
      <c r="G2498" s="20" t="n">
        <f aca="false">9-F2498</f>
        <v>1.20260803943453</v>
      </c>
      <c r="H2498" s="20" t="n">
        <f aca="false">IF(G2498&gt;=1,G2498,0)</f>
        <v>1.20260803943453</v>
      </c>
      <c r="I2498" s="5" t="s">
        <v>75</v>
      </c>
      <c r="J2498" s="5" t="s">
        <v>3112</v>
      </c>
    </row>
    <row r="2499" customFormat="false" ht="15" hidden="false" customHeight="false" outlineLevel="0" collapsed="false">
      <c r="A2499" s="5" t="s">
        <v>231</v>
      </c>
      <c r="B2499" s="5" t="s">
        <v>172</v>
      </c>
      <c r="C2499" s="5" t="n">
        <v>50</v>
      </c>
      <c r="D2499" s="5" t="s">
        <v>3111</v>
      </c>
      <c r="E2499" s="5" t="n">
        <v>2</v>
      </c>
      <c r="F2499" s="20" t="n">
        <v>7.79739196056547</v>
      </c>
      <c r="G2499" s="20" t="n">
        <f aca="false">9-F2499</f>
        <v>1.20260803943453</v>
      </c>
      <c r="H2499" s="20" t="n">
        <f aca="false">IF(G2499&gt;=1,G2499,0)</f>
        <v>1.20260803943453</v>
      </c>
      <c r="I2499" s="5" t="s">
        <v>75</v>
      </c>
      <c r="J2499" s="5" t="s">
        <v>3113</v>
      </c>
    </row>
    <row r="2500" customFormat="false" ht="15" hidden="false" customHeight="false" outlineLevel="0" collapsed="false">
      <c r="A2500" s="5" t="s">
        <v>231</v>
      </c>
      <c r="B2500" s="5" t="s">
        <v>172</v>
      </c>
      <c r="C2500" s="5" t="n">
        <v>51</v>
      </c>
      <c r="D2500" s="5" t="s">
        <v>2594</v>
      </c>
      <c r="E2500" s="5" t="n">
        <v>3</v>
      </c>
      <c r="F2500" s="20" t="n">
        <v>8.86336676621996</v>
      </c>
      <c r="G2500" s="20" t="n">
        <f aca="false">9-F2500</f>
        <v>0.136633233780042</v>
      </c>
      <c r="H2500" s="20" t="n">
        <f aca="false">IF(G2500&gt;=1,G2500,0)</f>
        <v>0</v>
      </c>
      <c r="I2500" s="5" t="s">
        <v>75</v>
      </c>
      <c r="J2500" s="5" t="s">
        <v>3114</v>
      </c>
    </row>
    <row r="2501" customFormat="false" ht="15" hidden="false" customHeight="false" outlineLevel="0" collapsed="false">
      <c r="A2501" s="5" t="s">
        <v>231</v>
      </c>
      <c r="B2501" s="5" t="s">
        <v>172</v>
      </c>
      <c r="C2501" s="5" t="n">
        <v>52</v>
      </c>
      <c r="D2501" s="5" t="s">
        <v>2594</v>
      </c>
      <c r="E2501" s="5" t="n">
        <v>3</v>
      </c>
      <c r="F2501" s="20" t="n">
        <v>8.86336676621996</v>
      </c>
      <c r="G2501" s="20" t="n">
        <f aca="false">9-F2501</f>
        <v>0.136633233780044</v>
      </c>
      <c r="H2501" s="20" t="n">
        <f aca="false">IF(G2501&gt;=1,G2501,0)</f>
        <v>0</v>
      </c>
      <c r="I2501" s="5" t="s">
        <v>75</v>
      </c>
      <c r="J2501" s="5" t="s">
        <v>3115</v>
      </c>
    </row>
    <row r="2502" customFormat="false" ht="15" hidden="false" customHeight="false" outlineLevel="0" collapsed="false">
      <c r="A2502" s="5" t="s">
        <v>231</v>
      </c>
      <c r="B2502" s="5" t="s">
        <v>172</v>
      </c>
      <c r="C2502" s="5" t="n">
        <v>53</v>
      </c>
      <c r="D2502" s="5" t="s">
        <v>2599</v>
      </c>
      <c r="E2502" s="5" t="n">
        <v>3</v>
      </c>
      <c r="F2502" s="20" t="n">
        <v>8.99867480565455</v>
      </c>
      <c r="G2502" s="20" t="n">
        <f aca="false">9-F2502</f>
        <v>0.00132519434545131</v>
      </c>
      <c r="H2502" s="20" t="n">
        <f aca="false">IF(G2502&gt;=1,G2502,0)</f>
        <v>0</v>
      </c>
      <c r="I2502" s="5" t="s">
        <v>75</v>
      </c>
      <c r="J2502" s="5" t="s">
        <v>3116</v>
      </c>
    </row>
    <row r="2503" customFormat="false" ht="15" hidden="false" customHeight="false" outlineLevel="0" collapsed="false">
      <c r="A2503" s="5" t="s">
        <v>231</v>
      </c>
      <c r="B2503" s="5" t="s">
        <v>172</v>
      </c>
      <c r="C2503" s="5" t="n">
        <v>54</v>
      </c>
      <c r="D2503" s="5" t="s">
        <v>3117</v>
      </c>
      <c r="E2503" s="5" t="n">
        <v>3</v>
      </c>
      <c r="F2503" s="20" t="n">
        <v>8.96855</v>
      </c>
      <c r="G2503" s="20" t="n">
        <f aca="false">9-F2503</f>
        <v>0.0314499999999978</v>
      </c>
      <c r="H2503" s="20" t="n">
        <f aca="false">IF(G2503&gt;=1,G2503,0)</f>
        <v>0</v>
      </c>
      <c r="I2503" s="5" t="s">
        <v>75</v>
      </c>
      <c r="J2503" s="5" t="s">
        <v>3118</v>
      </c>
    </row>
    <row r="2504" customFormat="false" ht="15" hidden="false" customHeight="false" outlineLevel="0" collapsed="false">
      <c r="A2504" s="5" t="s">
        <v>231</v>
      </c>
      <c r="B2504" s="5" t="s">
        <v>172</v>
      </c>
      <c r="C2504" s="5" t="n">
        <v>55</v>
      </c>
      <c r="D2504" s="5" t="s">
        <v>3119</v>
      </c>
      <c r="E2504" s="5" t="n">
        <v>3</v>
      </c>
      <c r="F2504" s="20" t="n">
        <v>8.04879961130906</v>
      </c>
      <c r="G2504" s="20" t="n">
        <f aca="false">9-F2504</f>
        <v>0.951200388690939</v>
      </c>
      <c r="H2504" s="20" t="n">
        <f aca="false">IF(G2504&gt;=1,G2504,0)</f>
        <v>0</v>
      </c>
      <c r="I2504" s="5" t="s">
        <v>75</v>
      </c>
      <c r="J2504" s="5" t="s">
        <v>3120</v>
      </c>
    </row>
    <row r="2505" customFormat="false" ht="15" hidden="false" customHeight="false" outlineLevel="0" collapsed="false">
      <c r="A2505" s="5" t="s">
        <v>231</v>
      </c>
      <c r="B2505" s="5" t="s">
        <v>172</v>
      </c>
      <c r="C2505" s="5" t="n">
        <v>56</v>
      </c>
      <c r="D2505" s="5" t="s">
        <v>3121</v>
      </c>
      <c r="E2505" s="5" t="n">
        <v>3</v>
      </c>
      <c r="F2505" s="20" t="n">
        <v>7.93879961130905</v>
      </c>
      <c r="G2505" s="20" t="n">
        <f aca="false">9-F2505</f>
        <v>1.06120038869095</v>
      </c>
      <c r="H2505" s="20" t="n">
        <f aca="false">IF(G2505&gt;=1,G2505,0)</f>
        <v>1.06120038869095</v>
      </c>
      <c r="I2505" s="5" t="s">
        <v>75</v>
      </c>
      <c r="J2505" s="5" t="s">
        <v>3122</v>
      </c>
    </row>
    <row r="2506" customFormat="false" ht="15" hidden="false" customHeight="false" outlineLevel="0" collapsed="false">
      <c r="A2506" s="5" t="s">
        <v>231</v>
      </c>
      <c r="B2506" s="5" t="s">
        <v>172</v>
      </c>
      <c r="C2506" s="5" t="n">
        <v>57</v>
      </c>
      <c r="D2506" s="5" t="s">
        <v>2603</v>
      </c>
      <c r="E2506" s="5" t="n">
        <v>2</v>
      </c>
      <c r="F2506" s="20" t="n">
        <v>6.59582480565453</v>
      </c>
      <c r="G2506" s="20" t="n">
        <f aca="false">9-F2506</f>
        <v>2.40417519434548</v>
      </c>
      <c r="H2506" s="20" t="n">
        <f aca="false">IF(G2506&gt;=1,G2506,0)</f>
        <v>2.40417519434548</v>
      </c>
      <c r="I2506" s="5" t="s">
        <v>75</v>
      </c>
      <c r="J2506" s="5" t="s">
        <v>3123</v>
      </c>
    </row>
    <row r="2507" customFormat="false" ht="15" hidden="false" customHeight="false" outlineLevel="0" collapsed="false">
      <c r="A2507" s="5" t="s">
        <v>231</v>
      </c>
      <c r="B2507" s="5" t="s">
        <v>172</v>
      </c>
      <c r="C2507" s="5" t="n">
        <v>58</v>
      </c>
      <c r="D2507" s="5" t="s">
        <v>1480</v>
      </c>
      <c r="E2507" s="5" t="n">
        <v>1</v>
      </c>
      <c r="F2507" s="20" t="n">
        <v>5.22365153223588</v>
      </c>
      <c r="G2507" s="20" t="n">
        <f aca="false">9-F2507</f>
        <v>3.77634846776412</v>
      </c>
      <c r="H2507" s="20" t="n">
        <f aca="false">IF(G2507&gt;=1,G2507,0)</f>
        <v>3.77634846776412</v>
      </c>
      <c r="I2507" s="5" t="s">
        <v>75</v>
      </c>
      <c r="J2507" s="5" t="s">
        <v>3124</v>
      </c>
    </row>
    <row r="2508" customFormat="false" ht="15" hidden="false" customHeight="false" outlineLevel="0" collapsed="false">
      <c r="A2508" s="5" t="s">
        <v>231</v>
      </c>
      <c r="B2508" s="5" t="s">
        <v>172</v>
      </c>
      <c r="C2508" s="5" t="n">
        <v>59</v>
      </c>
      <c r="D2508" s="5" t="s">
        <v>1484</v>
      </c>
      <c r="E2508" s="5" t="n">
        <v>1</v>
      </c>
      <c r="F2508" s="20" t="n">
        <v>5.17285000000004</v>
      </c>
      <c r="G2508" s="20" t="n">
        <f aca="false">9-F2508</f>
        <v>3.82714999999996</v>
      </c>
      <c r="H2508" s="20" t="n">
        <f aca="false">IF(G2508&gt;=1,G2508,0)</f>
        <v>3.82714999999996</v>
      </c>
      <c r="I2508" s="5" t="s">
        <v>75</v>
      </c>
      <c r="J2508" s="5" t="s">
        <v>3125</v>
      </c>
    </row>
    <row r="2509" customFormat="false" ht="15" hidden="false" customHeight="false" outlineLevel="0" collapsed="false">
      <c r="A2509" s="5" t="s">
        <v>231</v>
      </c>
      <c r="B2509" s="5" t="s">
        <v>172</v>
      </c>
      <c r="C2509" s="5" t="n">
        <v>60</v>
      </c>
      <c r="D2509" s="5" t="s">
        <v>1484</v>
      </c>
      <c r="E2509" s="5" t="n">
        <v>1</v>
      </c>
      <c r="F2509" s="20" t="n">
        <v>5.17285000000004</v>
      </c>
      <c r="G2509" s="20" t="n">
        <f aca="false">9-F2509</f>
        <v>3.82714999999996</v>
      </c>
      <c r="H2509" s="20" t="n">
        <f aca="false">IF(G2509&gt;=1,G2509,0)</f>
        <v>3.82714999999996</v>
      </c>
      <c r="I2509" s="5" t="s">
        <v>75</v>
      </c>
      <c r="J2509" s="5" t="s">
        <v>3126</v>
      </c>
    </row>
    <row r="2510" customFormat="false" ht="15" hidden="false" customHeight="false" outlineLevel="0" collapsed="false">
      <c r="A2510" s="5" t="s">
        <v>231</v>
      </c>
      <c r="B2510" s="5" t="s">
        <v>172</v>
      </c>
      <c r="C2510" s="5" t="n">
        <v>61</v>
      </c>
      <c r="D2510" s="5" t="s">
        <v>1490</v>
      </c>
      <c r="E2510" s="5" t="n">
        <v>1</v>
      </c>
      <c r="F2510" s="20" t="n">
        <v>4.88954196056548</v>
      </c>
      <c r="G2510" s="20" t="n">
        <f aca="false">9-F2510</f>
        <v>4.11045803943452</v>
      </c>
      <c r="H2510" s="20" t="n">
        <f aca="false">IF(G2510&gt;=1,G2510,0)</f>
        <v>4.11045803943452</v>
      </c>
      <c r="I2510" s="5" t="s">
        <v>75</v>
      </c>
      <c r="J2510" s="5" t="s">
        <v>3127</v>
      </c>
    </row>
    <row r="2511" customFormat="false" ht="15" hidden="false" customHeight="false" outlineLevel="0" collapsed="false">
      <c r="A2511" s="5" t="s">
        <v>231</v>
      </c>
      <c r="B2511" s="5" t="s">
        <v>172</v>
      </c>
      <c r="C2511" s="5" t="n">
        <v>62</v>
      </c>
      <c r="D2511" s="5" t="s">
        <v>1490</v>
      </c>
      <c r="E2511" s="5" t="n">
        <v>1</v>
      </c>
      <c r="F2511" s="20" t="n">
        <v>4.88954196056548</v>
      </c>
      <c r="G2511" s="20" t="n">
        <f aca="false">9-F2511</f>
        <v>4.11045803943452</v>
      </c>
      <c r="H2511" s="20" t="n">
        <f aca="false">IF(G2511&gt;=1,G2511,0)</f>
        <v>4.11045803943452</v>
      </c>
      <c r="I2511" s="5" t="s">
        <v>75</v>
      </c>
      <c r="J2511" s="5" t="s">
        <v>3128</v>
      </c>
    </row>
    <row r="2512" customFormat="false" ht="15" hidden="false" customHeight="false" outlineLevel="0" collapsed="false">
      <c r="A2512" s="5" t="s">
        <v>231</v>
      </c>
      <c r="B2512" s="5" t="s">
        <v>172</v>
      </c>
      <c r="C2512" s="5" t="n">
        <v>63</v>
      </c>
      <c r="D2512" s="5" t="s">
        <v>1490</v>
      </c>
      <c r="E2512" s="5" t="n">
        <v>1</v>
      </c>
      <c r="F2512" s="20" t="n">
        <v>4.88954196056548</v>
      </c>
      <c r="G2512" s="20" t="n">
        <f aca="false">9-F2512</f>
        <v>4.11045803943452</v>
      </c>
      <c r="H2512" s="20" t="n">
        <f aca="false">IF(G2512&gt;=1,G2512,0)</f>
        <v>4.11045803943452</v>
      </c>
      <c r="I2512" s="5" t="s">
        <v>75</v>
      </c>
      <c r="J2512" s="5" t="s">
        <v>3129</v>
      </c>
    </row>
    <row r="2513" customFormat="false" ht="15" hidden="false" customHeight="false" outlineLevel="0" collapsed="false">
      <c r="A2513" s="5" t="s">
        <v>231</v>
      </c>
      <c r="B2513" s="5" t="s">
        <v>172</v>
      </c>
      <c r="C2513" s="5" t="n">
        <v>64</v>
      </c>
      <c r="D2513" s="5" t="s">
        <v>1490</v>
      </c>
      <c r="E2513" s="5" t="n">
        <v>1</v>
      </c>
      <c r="F2513" s="20" t="n">
        <v>4.88954196056548</v>
      </c>
      <c r="G2513" s="20" t="n">
        <f aca="false">9-F2513</f>
        <v>4.11045803943452</v>
      </c>
      <c r="H2513" s="20" t="n">
        <f aca="false">IF(G2513&gt;=1,G2513,0)</f>
        <v>4.11045803943452</v>
      </c>
      <c r="I2513" s="5" t="s">
        <v>75</v>
      </c>
      <c r="J2513" s="5" t="s">
        <v>3130</v>
      </c>
    </row>
    <row r="2514" customFormat="false" ht="15" hidden="false" customHeight="false" outlineLevel="0" collapsed="false">
      <c r="A2514" s="5" t="s">
        <v>231</v>
      </c>
      <c r="B2514" s="5" t="s">
        <v>172</v>
      </c>
      <c r="C2514" s="5" t="n">
        <v>65</v>
      </c>
      <c r="D2514" s="5" t="s">
        <v>1287</v>
      </c>
      <c r="E2514" s="5" t="n">
        <v>2</v>
      </c>
      <c r="F2514" s="20" t="n">
        <v>8.47174961130907</v>
      </c>
      <c r="G2514" s="20" t="n">
        <f aca="false">9-F2514</f>
        <v>0.528250388690928</v>
      </c>
      <c r="H2514" s="20" t="n">
        <f aca="false">IF(G2514&gt;=1,G2514,0)</f>
        <v>0</v>
      </c>
      <c r="I2514" s="5" t="s">
        <v>75</v>
      </c>
      <c r="J2514" s="5" t="s">
        <v>3131</v>
      </c>
    </row>
    <row r="2515" customFormat="false" ht="15" hidden="false" customHeight="false" outlineLevel="0" collapsed="false">
      <c r="A2515" s="5" t="s">
        <v>231</v>
      </c>
      <c r="B2515" s="5" t="s">
        <v>172</v>
      </c>
      <c r="C2515" s="5" t="n">
        <v>66</v>
      </c>
      <c r="D2515" s="5" t="s">
        <v>1495</v>
      </c>
      <c r="E2515" s="5" t="n">
        <v>2</v>
      </c>
      <c r="F2515" s="20" t="n">
        <v>8.45759961130906</v>
      </c>
      <c r="G2515" s="20" t="n">
        <f aca="false">9-F2515</f>
        <v>0.54240038869094</v>
      </c>
      <c r="H2515" s="20" t="n">
        <f aca="false">IF(G2515&gt;=1,G2515,0)</f>
        <v>0</v>
      </c>
      <c r="I2515" s="5" t="s">
        <v>75</v>
      </c>
      <c r="J2515" s="5" t="s">
        <v>3132</v>
      </c>
    </row>
    <row r="2516" customFormat="false" ht="15" hidden="false" customHeight="false" outlineLevel="0" collapsed="false">
      <c r="A2516" s="5" t="s">
        <v>231</v>
      </c>
      <c r="B2516" s="5" t="s">
        <v>172</v>
      </c>
      <c r="C2516" s="5" t="n">
        <v>67</v>
      </c>
      <c r="D2516" s="5" t="s">
        <v>3133</v>
      </c>
      <c r="E2516" s="5" t="n">
        <v>2</v>
      </c>
      <c r="F2516" s="20" t="n">
        <v>8.35039961130907</v>
      </c>
      <c r="G2516" s="20" t="n">
        <f aca="false">9-F2516</f>
        <v>0.649600388690931</v>
      </c>
      <c r="H2516" s="20" t="n">
        <f aca="false">IF(G2516&gt;=1,G2516,0)</f>
        <v>0</v>
      </c>
      <c r="I2516" s="5" t="s">
        <v>75</v>
      </c>
      <c r="J2516" s="5" t="s">
        <v>3134</v>
      </c>
    </row>
    <row r="2518" customFormat="false" ht="15" hidden="false" customHeight="false" outlineLevel="0" collapsed="false">
      <c r="A2518" s="3" t="s">
        <v>3135</v>
      </c>
    </row>
    <row r="2519" customFormat="false" ht="30" hidden="false" customHeight="true" outlineLevel="0" collapsed="false">
      <c r="A2519" s="4" t="s">
        <v>177</v>
      </c>
      <c r="B2519" s="4" t="s">
        <v>165</v>
      </c>
      <c r="C2519" s="4" t="s">
        <v>3136</v>
      </c>
      <c r="D2519" s="4" t="s">
        <v>3137</v>
      </c>
      <c r="E2519" s="4" t="s">
        <v>3138</v>
      </c>
      <c r="F2519" s="4" t="s">
        <v>3139</v>
      </c>
    </row>
    <row r="2520" customFormat="false" ht="15" hidden="false" customHeight="false" outlineLevel="0" collapsed="false">
      <c r="A2520" s="5" t="s">
        <v>176</v>
      </c>
      <c r="B2520" s="5" t="s">
        <v>172</v>
      </c>
      <c r="C2520" s="5" t="s">
        <v>3140</v>
      </c>
      <c r="D2520" s="20" t="n">
        <v>9.241</v>
      </c>
      <c r="E2520" s="20" t="n">
        <v>9</v>
      </c>
      <c r="F2520" s="20" t="n">
        <f aca="false">D2520-9+PARÁMETROS!$B$22</f>
        <v>1.391</v>
      </c>
    </row>
    <row r="2521" customFormat="false" ht="15" hidden="false" customHeight="false" outlineLevel="0" collapsed="false">
      <c r="A2521" s="5" t="s">
        <v>176</v>
      </c>
      <c r="B2521" s="5" t="s">
        <v>172</v>
      </c>
      <c r="C2521" s="5" t="s">
        <v>3141</v>
      </c>
      <c r="D2521" s="20" t="n">
        <v>9.221</v>
      </c>
      <c r="E2521" s="20" t="n">
        <v>9</v>
      </c>
      <c r="F2521" s="20" t="n">
        <f aca="false">D2521-9+PARÁMETROS!$B$22</f>
        <v>1.371</v>
      </c>
    </row>
    <row r="2522" customFormat="false" ht="15" hidden="false" customHeight="false" outlineLevel="0" collapsed="false">
      <c r="A2522" s="5" t="s">
        <v>176</v>
      </c>
      <c r="B2522" s="5" t="s">
        <v>172</v>
      </c>
      <c r="C2522" s="5" t="s">
        <v>3142</v>
      </c>
      <c r="D2522" s="20" t="n">
        <v>9.311</v>
      </c>
      <c r="E2522" s="20" t="n">
        <v>9</v>
      </c>
      <c r="F2522" s="20" t="n">
        <f aca="false">D2522-9+PARÁMETROS!$B$22</f>
        <v>1.461</v>
      </c>
    </row>
    <row r="2523" customFormat="false" ht="15" hidden="false" customHeight="false" outlineLevel="0" collapsed="false">
      <c r="A2523" s="5" t="s">
        <v>176</v>
      </c>
      <c r="B2523" s="5" t="s">
        <v>172</v>
      </c>
      <c r="C2523" s="5" t="s">
        <v>3143</v>
      </c>
      <c r="D2523" s="20" t="n">
        <v>9.304</v>
      </c>
      <c r="E2523" s="20" t="n">
        <v>9</v>
      </c>
      <c r="F2523" s="20" t="n">
        <f aca="false">D2523-9+PARÁMETROS!$B$22</f>
        <v>1.454</v>
      </c>
    </row>
    <row r="2524" customFormat="false" ht="15" hidden="false" customHeight="false" outlineLevel="0" collapsed="false">
      <c r="A2524" s="5" t="s">
        <v>176</v>
      </c>
      <c r="B2524" s="5" t="s">
        <v>172</v>
      </c>
      <c r="C2524" s="5" t="s">
        <v>3144</v>
      </c>
      <c r="D2524" s="20" t="n">
        <v>9.241</v>
      </c>
      <c r="E2524" s="20" t="n">
        <v>9</v>
      </c>
      <c r="F2524" s="20" t="n">
        <f aca="false">D2524-9+PARÁMETROS!$B$22</f>
        <v>1.391</v>
      </c>
    </row>
    <row r="2525" customFormat="false" ht="15" hidden="false" customHeight="false" outlineLevel="0" collapsed="false">
      <c r="A2525" s="5" t="s">
        <v>176</v>
      </c>
      <c r="B2525" s="5" t="s">
        <v>172</v>
      </c>
      <c r="C2525" s="5" t="s">
        <v>3145</v>
      </c>
      <c r="D2525" s="20" t="n">
        <v>9.189</v>
      </c>
      <c r="E2525" s="20" t="n">
        <v>9</v>
      </c>
      <c r="F2525" s="20" t="n">
        <f aca="false">D2525-9+PARÁMETROS!$B$22</f>
        <v>1.339</v>
      </c>
    </row>
    <row r="2526" customFormat="false" ht="15" hidden="false" customHeight="false" outlineLevel="0" collapsed="false">
      <c r="A2526" s="5" t="s">
        <v>216</v>
      </c>
      <c r="B2526" s="5" t="s">
        <v>172</v>
      </c>
      <c r="C2526" s="5" t="s">
        <v>3146</v>
      </c>
      <c r="D2526" s="20" t="n">
        <v>9.241</v>
      </c>
      <c r="E2526" s="20" t="n">
        <v>9</v>
      </c>
      <c r="F2526" s="20" t="n">
        <f aca="false">D2526-9+PARÁMETROS!$B$22</f>
        <v>1.391</v>
      </c>
    </row>
    <row r="2527" customFormat="false" ht="15" hidden="false" customHeight="false" outlineLevel="0" collapsed="false">
      <c r="A2527" s="5" t="s">
        <v>216</v>
      </c>
      <c r="B2527" s="5" t="s">
        <v>172</v>
      </c>
      <c r="C2527" s="5" t="s">
        <v>3147</v>
      </c>
      <c r="D2527" s="20" t="n">
        <v>9.209</v>
      </c>
      <c r="E2527" s="20" t="n">
        <v>9</v>
      </c>
      <c r="F2527" s="20" t="n">
        <f aca="false">D2527-9+PARÁMETROS!$B$22</f>
        <v>1.359</v>
      </c>
    </row>
    <row r="2528" customFormat="false" ht="15" hidden="false" customHeight="false" outlineLevel="0" collapsed="false">
      <c r="A2528" s="5" t="s">
        <v>216</v>
      </c>
      <c r="B2528" s="5" t="s">
        <v>172</v>
      </c>
      <c r="C2528" s="5" t="s">
        <v>3148</v>
      </c>
      <c r="D2528" s="20" t="n">
        <v>9.225</v>
      </c>
      <c r="E2528" s="20" t="n">
        <v>9</v>
      </c>
      <c r="F2528" s="20" t="n">
        <f aca="false">D2528-9+PARÁMETROS!$B$22</f>
        <v>1.375</v>
      </c>
    </row>
    <row r="2529" customFormat="false" ht="15" hidden="false" customHeight="false" outlineLevel="0" collapsed="false">
      <c r="A2529" s="5" t="s">
        <v>216</v>
      </c>
      <c r="B2529" s="5" t="s">
        <v>172</v>
      </c>
      <c r="C2529" s="5" t="s">
        <v>3149</v>
      </c>
      <c r="D2529" s="20" t="n">
        <v>9.316</v>
      </c>
      <c r="E2529" s="20" t="n">
        <v>9</v>
      </c>
      <c r="F2529" s="20" t="n">
        <f aca="false">D2529-9+PARÁMETROS!$B$22</f>
        <v>1.466</v>
      </c>
    </row>
    <row r="2530" customFormat="false" ht="15" hidden="false" customHeight="false" outlineLevel="0" collapsed="false">
      <c r="A2530" s="5" t="s">
        <v>216</v>
      </c>
      <c r="B2530" s="5" t="s">
        <v>172</v>
      </c>
      <c r="C2530" s="5" t="s">
        <v>3150</v>
      </c>
      <c r="D2530" s="20" t="n">
        <v>9.316</v>
      </c>
      <c r="E2530" s="20" t="n">
        <v>9</v>
      </c>
      <c r="F2530" s="20" t="n">
        <f aca="false">D2530-9+PARÁMETROS!$B$22</f>
        <v>1.466</v>
      </c>
    </row>
    <row r="2531" customFormat="false" ht="15" hidden="false" customHeight="false" outlineLevel="0" collapsed="false">
      <c r="A2531" s="5" t="s">
        <v>216</v>
      </c>
      <c r="B2531" s="5" t="s">
        <v>172</v>
      </c>
      <c r="C2531" s="5" t="s">
        <v>3151</v>
      </c>
      <c r="D2531" s="20" t="n">
        <v>9.244</v>
      </c>
      <c r="E2531" s="20" t="n">
        <v>9</v>
      </c>
      <c r="F2531" s="20" t="n">
        <f aca="false">D2531-9+PARÁMETROS!$B$22</f>
        <v>1.394</v>
      </c>
    </row>
    <row r="2532" customFormat="false" ht="15" hidden="false" customHeight="false" outlineLevel="0" collapsed="false">
      <c r="A2532" s="5" t="s">
        <v>216</v>
      </c>
      <c r="B2532" s="5" t="s">
        <v>172</v>
      </c>
      <c r="C2532" s="5" t="s">
        <v>3152</v>
      </c>
      <c r="D2532" s="20" t="n">
        <v>9.197</v>
      </c>
      <c r="E2532" s="20" t="n">
        <v>9</v>
      </c>
      <c r="F2532" s="20" t="n">
        <f aca="false">D2532-9+PARÁMETROS!$B$22</f>
        <v>1.347</v>
      </c>
    </row>
    <row r="2533" customFormat="false" ht="15" hidden="false" customHeight="false" outlineLevel="0" collapsed="false">
      <c r="A2533" s="5" t="s">
        <v>216</v>
      </c>
      <c r="B2533" s="5" t="s">
        <v>172</v>
      </c>
      <c r="C2533" s="5" t="s">
        <v>3153</v>
      </c>
      <c r="D2533" s="20" t="n">
        <v>9.241</v>
      </c>
      <c r="E2533" s="20" t="n">
        <v>9</v>
      </c>
      <c r="F2533" s="20" t="n">
        <f aca="false">D2533-9+PARÁMETROS!$B$22</f>
        <v>1.391</v>
      </c>
    </row>
    <row r="2534" customFormat="false" ht="15" hidden="false" customHeight="false" outlineLevel="0" collapsed="false">
      <c r="A2534" s="5" t="s">
        <v>216</v>
      </c>
      <c r="B2534" s="5" t="s">
        <v>172</v>
      </c>
      <c r="C2534" s="5" t="s">
        <v>3154</v>
      </c>
      <c r="D2534" s="20" t="n">
        <v>9.177</v>
      </c>
      <c r="E2534" s="20" t="n">
        <v>9</v>
      </c>
      <c r="F2534" s="20" t="n">
        <f aca="false">D2534-9+PARÁMETROS!$B$22</f>
        <v>1.327</v>
      </c>
    </row>
    <row r="2535" customFormat="false" ht="15" hidden="false" customHeight="false" outlineLevel="0" collapsed="false">
      <c r="A2535" s="5" t="s">
        <v>216</v>
      </c>
      <c r="B2535" s="5" t="s">
        <v>172</v>
      </c>
      <c r="C2535" s="5" t="s">
        <v>3155</v>
      </c>
      <c r="D2535" s="20" t="n">
        <v>9.123</v>
      </c>
      <c r="E2535" s="20" t="n">
        <v>9</v>
      </c>
      <c r="F2535" s="20" t="n">
        <f aca="false">D2535-9+PARÁMETROS!$B$22</f>
        <v>1.273</v>
      </c>
    </row>
    <row r="2536" customFormat="false" ht="15" hidden="false" customHeight="false" outlineLevel="0" collapsed="false">
      <c r="A2536" s="5" t="s">
        <v>216</v>
      </c>
      <c r="B2536" s="5" t="s">
        <v>172</v>
      </c>
      <c r="C2536" s="5" t="s">
        <v>3156</v>
      </c>
      <c r="D2536" s="20" t="n">
        <v>9.119</v>
      </c>
      <c r="E2536" s="20" t="n">
        <v>9</v>
      </c>
      <c r="F2536" s="20" t="n">
        <f aca="false">D2536-9+PARÁMETROS!$B$22</f>
        <v>1.269</v>
      </c>
    </row>
    <row r="2537" customFormat="false" ht="15" hidden="false" customHeight="false" outlineLevel="0" collapsed="false">
      <c r="A2537" s="5" t="s">
        <v>216</v>
      </c>
      <c r="B2537" s="5" t="s">
        <v>172</v>
      </c>
      <c r="C2537" s="5" t="s">
        <v>3157</v>
      </c>
      <c r="D2537" s="20" t="n">
        <v>9.103</v>
      </c>
      <c r="E2537" s="20" t="n">
        <v>9</v>
      </c>
      <c r="F2537" s="20" t="n">
        <f aca="false">D2537-9+PARÁMETROS!$B$22</f>
        <v>1.253</v>
      </c>
    </row>
    <row r="2538" customFormat="false" ht="15" hidden="false" customHeight="false" outlineLevel="0" collapsed="false">
      <c r="A2538" s="5" t="s">
        <v>227</v>
      </c>
      <c r="B2538" s="5" t="s">
        <v>172</v>
      </c>
      <c r="C2538" s="5" t="s">
        <v>3158</v>
      </c>
      <c r="D2538" s="20" t="n">
        <v>9.241</v>
      </c>
      <c r="E2538" s="20" t="n">
        <v>9</v>
      </c>
      <c r="F2538" s="20" t="n">
        <f aca="false">D2538-9+PARÁMETROS!$B$22</f>
        <v>1.391</v>
      </c>
    </row>
    <row r="2539" customFormat="false" ht="15" hidden="false" customHeight="false" outlineLevel="0" collapsed="false">
      <c r="A2539" s="5" t="s">
        <v>227</v>
      </c>
      <c r="B2539" s="5" t="s">
        <v>172</v>
      </c>
      <c r="C2539" s="5" t="s">
        <v>3159</v>
      </c>
      <c r="D2539" s="20" t="n">
        <v>9.197</v>
      </c>
      <c r="E2539" s="20" t="n">
        <v>9</v>
      </c>
      <c r="F2539" s="20" t="n">
        <f aca="false">D2539-9+PARÁMETROS!$B$22</f>
        <v>1.347</v>
      </c>
    </row>
    <row r="2540" customFormat="false" ht="15" hidden="false" customHeight="false" outlineLevel="0" collapsed="false">
      <c r="A2540" s="5" t="s">
        <v>227</v>
      </c>
      <c r="B2540" s="5" t="s">
        <v>172</v>
      </c>
      <c r="C2540" s="5" t="s">
        <v>3160</v>
      </c>
      <c r="D2540" s="20" t="n">
        <v>9.316</v>
      </c>
      <c r="E2540" s="20" t="n">
        <v>9</v>
      </c>
      <c r="F2540" s="20" t="n">
        <f aca="false">D2540-9+PARÁMETROS!$B$22</f>
        <v>1.466</v>
      </c>
    </row>
    <row r="2541" customFormat="false" ht="15" hidden="false" customHeight="false" outlineLevel="0" collapsed="false">
      <c r="A2541" s="5" t="s">
        <v>227</v>
      </c>
      <c r="B2541" s="5" t="s">
        <v>172</v>
      </c>
      <c r="C2541" s="5" t="s">
        <v>3161</v>
      </c>
      <c r="D2541" s="20" t="n">
        <v>9.316</v>
      </c>
      <c r="E2541" s="20" t="n">
        <v>9</v>
      </c>
      <c r="F2541" s="20" t="n">
        <f aca="false">D2541-9+PARÁMETROS!$B$22</f>
        <v>1.466</v>
      </c>
    </row>
    <row r="2542" customFormat="false" ht="15" hidden="false" customHeight="false" outlineLevel="0" collapsed="false">
      <c r="A2542" s="5" t="s">
        <v>227</v>
      </c>
      <c r="B2542" s="5" t="s">
        <v>172</v>
      </c>
      <c r="C2542" s="5" t="s">
        <v>3162</v>
      </c>
      <c r="D2542" s="20" t="n">
        <v>9.197</v>
      </c>
      <c r="E2542" s="20" t="n">
        <v>9</v>
      </c>
      <c r="F2542" s="20" t="n">
        <f aca="false">D2542-9+PARÁMETROS!$B$22</f>
        <v>1.347</v>
      </c>
    </row>
    <row r="2543" customFormat="false" ht="15" hidden="false" customHeight="false" outlineLevel="0" collapsed="false">
      <c r="A2543" s="5" t="s">
        <v>227</v>
      </c>
      <c r="B2543" s="5" t="s">
        <v>172</v>
      </c>
      <c r="C2543" s="5" t="s">
        <v>3163</v>
      </c>
      <c r="D2543" s="20" t="n">
        <v>9.241</v>
      </c>
      <c r="E2543" s="20" t="n">
        <v>9</v>
      </c>
      <c r="F2543" s="20" t="n">
        <f aca="false">D2543-9+PARÁMETROS!$B$22</f>
        <v>1.391</v>
      </c>
    </row>
    <row r="2544" customFormat="false" ht="15" hidden="false" customHeight="false" outlineLevel="0" collapsed="false">
      <c r="A2544" s="5" t="s">
        <v>227</v>
      </c>
      <c r="B2544" s="5" t="s">
        <v>172</v>
      </c>
      <c r="C2544" s="5" t="s">
        <v>3164</v>
      </c>
      <c r="D2544" s="20" t="n">
        <v>9.123</v>
      </c>
      <c r="E2544" s="20" t="n">
        <v>9</v>
      </c>
      <c r="F2544" s="20" t="n">
        <f aca="false">D2544-9+PARÁMETROS!$B$22</f>
        <v>1.273</v>
      </c>
    </row>
    <row r="2545" customFormat="false" ht="15" hidden="false" customHeight="false" outlineLevel="0" collapsed="false">
      <c r="A2545" s="5" t="s">
        <v>227</v>
      </c>
      <c r="B2545" s="5" t="s">
        <v>172</v>
      </c>
      <c r="C2545" s="5" t="s">
        <v>3165</v>
      </c>
      <c r="D2545" s="20" t="n">
        <v>9.119</v>
      </c>
      <c r="E2545" s="20" t="n">
        <v>9</v>
      </c>
      <c r="F2545" s="20" t="n">
        <f aca="false">D2545-9+PARÁMETROS!$B$22</f>
        <v>1.269</v>
      </c>
    </row>
    <row r="2546" customFormat="false" ht="15" hidden="false" customHeight="false" outlineLevel="0" collapsed="false">
      <c r="A2546" s="5" t="s">
        <v>229</v>
      </c>
      <c r="B2546" s="5" t="s">
        <v>172</v>
      </c>
      <c r="C2546" s="5" t="s">
        <v>3166</v>
      </c>
      <c r="D2546" s="20" t="n">
        <v>9.241</v>
      </c>
      <c r="E2546" s="20" t="n">
        <v>9</v>
      </c>
      <c r="F2546" s="20" t="n">
        <f aca="false">D2546-9+PARÁMETROS!$B$22</f>
        <v>1.391</v>
      </c>
    </row>
    <row r="2547" customFormat="false" ht="15" hidden="false" customHeight="false" outlineLevel="0" collapsed="false">
      <c r="A2547" s="5" t="s">
        <v>229</v>
      </c>
      <c r="B2547" s="5" t="s">
        <v>172</v>
      </c>
      <c r="C2547" s="5" t="s">
        <v>3167</v>
      </c>
      <c r="D2547" s="20" t="n">
        <v>9.197</v>
      </c>
      <c r="E2547" s="20" t="n">
        <v>9</v>
      </c>
      <c r="F2547" s="20" t="n">
        <f aca="false">D2547-9+PARÁMETROS!$B$22</f>
        <v>1.347</v>
      </c>
    </row>
    <row r="2548" customFormat="false" ht="15" hidden="false" customHeight="false" outlineLevel="0" collapsed="false">
      <c r="A2548" s="5" t="s">
        <v>229</v>
      </c>
      <c r="B2548" s="5" t="s">
        <v>172</v>
      </c>
      <c r="C2548" s="5" t="s">
        <v>3168</v>
      </c>
      <c r="D2548" s="20" t="n">
        <v>9.316</v>
      </c>
      <c r="E2548" s="20" t="n">
        <v>9</v>
      </c>
      <c r="F2548" s="20" t="n">
        <f aca="false">D2548-9+PARÁMETROS!$B$22</f>
        <v>1.466</v>
      </c>
    </row>
    <row r="2549" customFormat="false" ht="15" hidden="false" customHeight="false" outlineLevel="0" collapsed="false">
      <c r="A2549" s="5" t="s">
        <v>229</v>
      </c>
      <c r="B2549" s="5" t="s">
        <v>172</v>
      </c>
      <c r="C2549" s="5" t="s">
        <v>3169</v>
      </c>
      <c r="D2549" s="20" t="n">
        <v>9.316</v>
      </c>
      <c r="E2549" s="20" t="n">
        <v>9</v>
      </c>
      <c r="F2549" s="20" t="n">
        <f aca="false">D2549-9+PARÁMETROS!$B$22</f>
        <v>1.466</v>
      </c>
    </row>
    <row r="2550" customFormat="false" ht="15" hidden="false" customHeight="false" outlineLevel="0" collapsed="false">
      <c r="A2550" s="5" t="s">
        <v>229</v>
      </c>
      <c r="B2550" s="5" t="s">
        <v>172</v>
      </c>
      <c r="C2550" s="5" t="s">
        <v>3170</v>
      </c>
      <c r="D2550" s="20" t="n">
        <v>9.197</v>
      </c>
      <c r="E2550" s="20" t="n">
        <v>9</v>
      </c>
      <c r="F2550" s="20" t="n">
        <f aca="false">D2550-9+PARÁMETROS!$B$22</f>
        <v>1.347</v>
      </c>
    </row>
    <row r="2551" customFormat="false" ht="15" hidden="false" customHeight="false" outlineLevel="0" collapsed="false">
      <c r="A2551" s="5" t="s">
        <v>229</v>
      </c>
      <c r="B2551" s="5" t="s">
        <v>172</v>
      </c>
      <c r="C2551" s="5" t="s">
        <v>3171</v>
      </c>
      <c r="D2551" s="20" t="n">
        <v>9.241</v>
      </c>
      <c r="E2551" s="20" t="n">
        <v>9</v>
      </c>
      <c r="F2551" s="20" t="n">
        <f aca="false">D2551-9+PARÁMETROS!$B$22</f>
        <v>1.391</v>
      </c>
    </row>
    <row r="2552" customFormat="false" ht="15" hidden="false" customHeight="false" outlineLevel="0" collapsed="false">
      <c r="A2552" s="5" t="s">
        <v>229</v>
      </c>
      <c r="B2552" s="5" t="s">
        <v>172</v>
      </c>
      <c r="C2552" s="5" t="s">
        <v>3172</v>
      </c>
      <c r="D2552" s="20" t="n">
        <v>9.123</v>
      </c>
      <c r="E2552" s="20" t="n">
        <v>9</v>
      </c>
      <c r="F2552" s="20" t="n">
        <f aca="false">D2552-9+PARÁMETROS!$B$22</f>
        <v>1.273</v>
      </c>
    </row>
    <row r="2553" customFormat="false" ht="15" hidden="false" customHeight="false" outlineLevel="0" collapsed="false">
      <c r="A2553" s="5" t="s">
        <v>229</v>
      </c>
      <c r="B2553" s="5" t="s">
        <v>172</v>
      </c>
      <c r="C2553" s="5" t="s">
        <v>3173</v>
      </c>
      <c r="D2553" s="20" t="n">
        <v>9.119</v>
      </c>
      <c r="E2553" s="20" t="n">
        <v>9</v>
      </c>
      <c r="F2553" s="20" t="n">
        <f aca="false">D2553-9+PARÁMETROS!$B$22</f>
        <v>1.269</v>
      </c>
    </row>
    <row r="2554" customFormat="false" ht="15" hidden="false" customHeight="false" outlineLevel="0" collapsed="false">
      <c r="A2554" s="5" t="s">
        <v>231</v>
      </c>
      <c r="B2554" s="5" t="s">
        <v>172</v>
      </c>
      <c r="C2554" s="5" t="s">
        <v>3174</v>
      </c>
      <c r="D2554" s="20" t="n">
        <v>9.229</v>
      </c>
      <c r="E2554" s="20" t="n">
        <v>9</v>
      </c>
      <c r="F2554" s="20" t="n">
        <f aca="false">D2554-9+PARÁMETROS!$B$22</f>
        <v>1.379</v>
      </c>
    </row>
    <row r="2555" customFormat="false" ht="15" hidden="false" customHeight="false" outlineLevel="0" collapsed="false">
      <c r="A2555" s="5" t="s">
        <v>231</v>
      </c>
      <c r="B2555" s="5" t="s">
        <v>172</v>
      </c>
      <c r="C2555" s="5" t="s">
        <v>3175</v>
      </c>
      <c r="D2555" s="20" t="n">
        <v>9.197</v>
      </c>
      <c r="E2555" s="20" t="n">
        <v>9</v>
      </c>
      <c r="F2555" s="20" t="n">
        <f aca="false">D2555-9+PARÁMETROS!$B$22</f>
        <v>1.347</v>
      </c>
    </row>
    <row r="2556" customFormat="false" ht="15" hidden="false" customHeight="false" outlineLevel="0" collapsed="false">
      <c r="A2556" s="5" t="s">
        <v>231</v>
      </c>
      <c r="B2556" s="5" t="s">
        <v>172</v>
      </c>
      <c r="C2556" s="5" t="s">
        <v>3176</v>
      </c>
      <c r="D2556" s="20" t="n">
        <v>9.316</v>
      </c>
      <c r="E2556" s="20" t="n">
        <v>9</v>
      </c>
      <c r="F2556" s="20" t="n">
        <f aca="false">D2556-9+PARÁMETROS!$B$22</f>
        <v>1.466</v>
      </c>
    </row>
    <row r="2557" customFormat="false" ht="15" hidden="false" customHeight="false" outlineLevel="0" collapsed="false">
      <c r="A2557" s="5" t="s">
        <v>231</v>
      </c>
      <c r="B2557" s="5" t="s">
        <v>172</v>
      </c>
      <c r="C2557" s="5" t="s">
        <v>3177</v>
      </c>
      <c r="D2557" s="20" t="n">
        <v>9.316</v>
      </c>
      <c r="E2557" s="20" t="n">
        <v>9</v>
      </c>
      <c r="F2557" s="20" t="n">
        <f aca="false">D2557-9+PARÁMETROS!$B$22</f>
        <v>1.466</v>
      </c>
    </row>
    <row r="2558" customFormat="false" ht="15" hidden="false" customHeight="false" outlineLevel="0" collapsed="false">
      <c r="A2558" s="5" t="s">
        <v>231</v>
      </c>
      <c r="B2558" s="5" t="s">
        <v>172</v>
      </c>
      <c r="C2558" s="5" t="s">
        <v>3178</v>
      </c>
      <c r="D2558" s="20" t="n">
        <v>9.197</v>
      </c>
      <c r="E2558" s="20" t="n">
        <v>9</v>
      </c>
      <c r="F2558" s="20" t="n">
        <f aca="false">D2558-9+PARÁMETROS!$B$22</f>
        <v>1.347</v>
      </c>
    </row>
    <row r="2559" customFormat="false" ht="15" hidden="false" customHeight="false" outlineLevel="0" collapsed="false">
      <c r="A2559" s="5" t="s">
        <v>231</v>
      </c>
      <c r="B2559" s="5" t="s">
        <v>172</v>
      </c>
      <c r="C2559" s="5" t="s">
        <v>3179</v>
      </c>
      <c r="D2559" s="20" t="n">
        <v>9.193</v>
      </c>
      <c r="E2559" s="20" t="n">
        <v>9</v>
      </c>
      <c r="F2559" s="20" t="n">
        <f aca="false">D2559-9+PARÁMETROS!$B$22</f>
        <v>1.343</v>
      </c>
    </row>
    <row r="2560" customFormat="false" ht="15" hidden="false" customHeight="false" outlineLevel="0" collapsed="false">
      <c r="A2560" s="5" t="s">
        <v>231</v>
      </c>
      <c r="B2560" s="5" t="s">
        <v>172</v>
      </c>
      <c r="C2560" s="5" t="s">
        <v>3180</v>
      </c>
      <c r="D2560" s="20" t="n">
        <v>9.123</v>
      </c>
      <c r="E2560" s="20" t="n">
        <v>9</v>
      </c>
      <c r="F2560" s="20" t="n">
        <f aca="false">D2560-9+PARÁMETROS!$B$22</f>
        <v>1.273</v>
      </c>
    </row>
    <row r="2561" customFormat="false" ht="15" hidden="false" customHeight="false" outlineLevel="0" collapsed="false">
      <c r="A2561" s="5" t="s">
        <v>231</v>
      </c>
      <c r="B2561" s="5" t="s">
        <v>172</v>
      </c>
      <c r="C2561" s="5" t="s">
        <v>3181</v>
      </c>
      <c r="D2561" s="20" t="n">
        <v>9.123</v>
      </c>
      <c r="E2561" s="20" t="n">
        <v>9</v>
      </c>
      <c r="F2561" s="20" t="n">
        <f aca="false">D2561-9+PARÁMETROS!$B$22</f>
        <v>1.273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8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34"/>
    <col collapsed="false" customWidth="true" hidden="false" outlineLevel="0" max="5" min="5" style="0" width="52"/>
    <col collapsed="false" customWidth="true" hidden="false" outlineLevel="0" max="10" min="6" style="0" width="12"/>
    <col collapsed="false" customWidth="true" hidden="false" outlineLevel="0" max="12" min="11" style="0" width="11"/>
  </cols>
  <sheetData>
    <row r="1" customFormat="false" ht="17.35" hidden="false" customHeight="false" outlineLevel="0" collapsed="false">
      <c r="A1" s="1" t="s">
        <v>3182</v>
      </c>
    </row>
    <row r="2" customFormat="false" ht="15" hidden="false" customHeight="false" outlineLevel="0" collapsed="false">
      <c r="A2" s="2" t="s">
        <v>3183</v>
      </c>
    </row>
    <row r="4" customFormat="false" ht="30" hidden="false" customHeight="true" outlineLevel="0" collapsed="false">
      <c r="A4" s="4" t="s">
        <v>3136</v>
      </c>
      <c r="B4" s="4" t="s">
        <v>177</v>
      </c>
      <c r="C4" s="4" t="s">
        <v>68</v>
      </c>
      <c r="D4" s="4" t="s">
        <v>3184</v>
      </c>
      <c r="E4" s="4" t="s">
        <v>3185</v>
      </c>
      <c r="F4" s="4" t="s">
        <v>3186</v>
      </c>
      <c r="G4" s="4" t="s">
        <v>3187</v>
      </c>
      <c r="H4" s="4" t="s">
        <v>3188</v>
      </c>
      <c r="I4" s="4" t="s">
        <v>3189</v>
      </c>
      <c r="J4" s="4" t="s">
        <v>3190</v>
      </c>
      <c r="K4" s="4" t="s">
        <v>3191</v>
      </c>
      <c r="L4" s="4" t="s">
        <v>3192</v>
      </c>
    </row>
    <row r="5" customFormat="false" ht="15" hidden="false" customHeight="false" outlineLevel="0" collapsed="false">
      <c r="A5" s="5" t="s">
        <v>3193</v>
      </c>
      <c r="B5" s="5" t="s">
        <v>176</v>
      </c>
      <c r="C5" s="5" t="s">
        <v>73</v>
      </c>
      <c r="D5" s="5" t="s">
        <v>3194</v>
      </c>
      <c r="E5" s="5" t="s">
        <v>3195</v>
      </c>
      <c r="F5" s="20" t="n">
        <v>0.624999977648258</v>
      </c>
      <c r="G5" s="20" t="n">
        <v>2.93554679048248</v>
      </c>
      <c r="H5" s="20" t="n">
        <v>0</v>
      </c>
      <c r="I5" s="20" t="n">
        <v>0.313110340364801</v>
      </c>
      <c r="J5" s="20" t="n">
        <v>2.93554679048248</v>
      </c>
      <c r="K5" s="20"/>
      <c r="L5" s="20"/>
    </row>
    <row r="6" customFormat="false" ht="15" hidden="false" customHeight="false" outlineLevel="0" collapsed="false">
      <c r="A6" s="5" t="s">
        <v>3196</v>
      </c>
      <c r="B6" s="5" t="s">
        <v>176</v>
      </c>
      <c r="C6" s="5" t="s">
        <v>72</v>
      </c>
      <c r="D6" s="5" t="s">
        <v>3197</v>
      </c>
      <c r="E6" s="5" t="s">
        <v>3198</v>
      </c>
      <c r="F6" s="20" t="n">
        <v>0.290000078678126</v>
      </c>
      <c r="G6" s="20" t="n">
        <v>1.95750053107735</v>
      </c>
      <c r="H6" s="20" t="n">
        <v>0</v>
      </c>
      <c r="I6" s="20" t="n">
        <v>0.611718770116552</v>
      </c>
      <c r="J6" s="20" t="n">
        <v>1.95750053107735</v>
      </c>
      <c r="K6" s="20"/>
      <c r="L6" s="20"/>
    </row>
    <row r="7" customFormat="false" ht="15" hidden="false" customHeight="false" outlineLevel="0" collapsed="false">
      <c r="A7" s="5" t="s">
        <v>3199</v>
      </c>
      <c r="B7" s="5" t="s">
        <v>176</v>
      </c>
      <c r="C7" s="5" t="s">
        <v>72</v>
      </c>
      <c r="D7" s="5" t="s">
        <v>3197</v>
      </c>
      <c r="E7" s="5" t="s">
        <v>3200</v>
      </c>
      <c r="F7" s="20" t="n">
        <v>0.260000052452085</v>
      </c>
      <c r="G7" s="20" t="n">
        <v>2.08000041961668</v>
      </c>
      <c r="H7" s="20" t="n">
        <v>0</v>
      </c>
      <c r="I7" s="20" t="n">
        <v>0.649999976158142</v>
      </c>
      <c r="J7" s="20" t="n">
        <v>2.08000041961668</v>
      </c>
      <c r="K7" s="20"/>
      <c r="L7" s="20"/>
    </row>
    <row r="8" customFormat="false" ht="15" hidden="false" customHeight="false" outlineLevel="0" collapsed="false">
      <c r="A8" s="5" t="s">
        <v>3201</v>
      </c>
      <c r="B8" s="5" t="s">
        <v>176</v>
      </c>
      <c r="C8" s="5" t="s">
        <v>72</v>
      </c>
      <c r="D8" s="5" t="s">
        <v>3197</v>
      </c>
      <c r="E8" s="5" t="s">
        <v>3202</v>
      </c>
      <c r="F8" s="20" t="n">
        <v>0.330000097751622</v>
      </c>
      <c r="G8" s="20" t="n">
        <v>2.2687506720424</v>
      </c>
      <c r="H8" s="20" t="n">
        <v>0</v>
      </c>
      <c r="I8" s="20" t="n">
        <v>0.708984415978193</v>
      </c>
      <c r="J8" s="20" t="n">
        <v>2.2687506720424</v>
      </c>
      <c r="K8" s="20"/>
      <c r="L8" s="20"/>
    </row>
    <row r="9" customFormat="false" ht="15" hidden="false" customHeight="false" outlineLevel="0" collapsed="false">
      <c r="A9" s="5" t="s">
        <v>3203</v>
      </c>
      <c r="B9" s="5" t="s">
        <v>176</v>
      </c>
      <c r="C9" s="5" t="s">
        <v>72</v>
      </c>
      <c r="D9" s="5" t="s">
        <v>3197</v>
      </c>
      <c r="E9" s="5" t="s">
        <v>3204</v>
      </c>
      <c r="F9" s="20" t="n">
        <v>0.290000063776969</v>
      </c>
      <c r="G9" s="20" t="n">
        <v>2.32000051021575</v>
      </c>
      <c r="H9" s="20" t="n">
        <v>0</v>
      </c>
      <c r="I9" s="20" t="n">
        <v>0.724999986588955</v>
      </c>
      <c r="J9" s="20" t="n">
        <v>2.32000051021575</v>
      </c>
      <c r="K9" s="20"/>
      <c r="L9" s="20"/>
    </row>
    <row r="10" customFormat="false" ht="15" hidden="false" customHeight="false" outlineLevel="0" collapsed="false">
      <c r="A10" s="5" t="s">
        <v>3205</v>
      </c>
      <c r="B10" s="5" t="s">
        <v>176</v>
      </c>
      <c r="C10" s="5" t="s">
        <v>72</v>
      </c>
      <c r="D10" s="5" t="s">
        <v>3197</v>
      </c>
      <c r="E10" s="5" t="s">
        <v>3206</v>
      </c>
      <c r="F10" s="20" t="n">
        <v>0.290000078678133</v>
      </c>
      <c r="G10" s="20" t="n">
        <v>2.32000062942507</v>
      </c>
      <c r="H10" s="20" t="n">
        <v>0</v>
      </c>
      <c r="I10" s="20" t="n">
        <v>0.725000023841858</v>
      </c>
      <c r="J10" s="20" t="n">
        <v>2.32000062942507</v>
      </c>
      <c r="K10" s="20"/>
      <c r="L10" s="20"/>
    </row>
    <row r="11" customFormat="false" ht="15" hidden="false" customHeight="false" outlineLevel="0" collapsed="false">
      <c r="A11" s="5" t="s">
        <v>3207</v>
      </c>
      <c r="B11" s="5" t="s">
        <v>176</v>
      </c>
      <c r="C11" s="5" t="s">
        <v>72</v>
      </c>
      <c r="D11" s="5" t="s">
        <v>3197</v>
      </c>
      <c r="E11" s="5" t="s">
        <v>3208</v>
      </c>
      <c r="F11" s="20" t="n">
        <v>0.330000097751622</v>
      </c>
      <c r="G11" s="20" t="n">
        <v>2.64000078201298</v>
      </c>
      <c r="H11" s="20" t="n">
        <v>0</v>
      </c>
      <c r="I11" s="20" t="n">
        <v>0.825000047683716</v>
      </c>
      <c r="J11" s="20" t="n">
        <v>2.64000078201298</v>
      </c>
      <c r="K11" s="20"/>
      <c r="L11" s="20"/>
    </row>
    <row r="12" customFormat="false" ht="15" hidden="false" customHeight="false" outlineLevel="0" collapsed="false">
      <c r="A12" s="5" t="s">
        <v>3209</v>
      </c>
      <c r="B12" s="5" t="s">
        <v>176</v>
      </c>
      <c r="C12" s="5" t="s">
        <v>72</v>
      </c>
      <c r="D12" s="5" t="s">
        <v>3197</v>
      </c>
      <c r="E12" s="5" t="s">
        <v>3210</v>
      </c>
      <c r="F12" s="20" t="n">
        <v>0.290000078678126</v>
      </c>
      <c r="G12" s="20" t="n">
        <v>1.95750053107735</v>
      </c>
      <c r="H12" s="20" t="n">
        <v>0</v>
      </c>
      <c r="I12" s="20" t="n">
        <v>0.611718770116552</v>
      </c>
      <c r="J12" s="20" t="n">
        <v>1.95750053107735</v>
      </c>
      <c r="K12" s="20"/>
      <c r="L12" s="20"/>
    </row>
    <row r="13" customFormat="false" ht="15" hidden="false" customHeight="false" outlineLevel="0" collapsed="false">
      <c r="A13" s="5" t="s">
        <v>3211</v>
      </c>
      <c r="B13" s="5" t="s">
        <v>176</v>
      </c>
      <c r="C13" s="5" t="s">
        <v>72</v>
      </c>
      <c r="D13" s="5" t="s">
        <v>3197</v>
      </c>
      <c r="E13" s="5" t="s">
        <v>3212</v>
      </c>
      <c r="F13" s="20" t="n">
        <v>0.260000052452085</v>
      </c>
      <c r="G13" s="20" t="n">
        <v>2.08000041961668</v>
      </c>
      <c r="H13" s="20" t="n">
        <v>0</v>
      </c>
      <c r="I13" s="20" t="n">
        <v>0.649999976158142</v>
      </c>
      <c r="J13" s="20" t="n">
        <v>2.08000041961668</v>
      </c>
      <c r="K13" s="20"/>
      <c r="L13" s="20"/>
    </row>
    <row r="14" customFormat="false" ht="15" hidden="false" customHeight="false" outlineLevel="0" collapsed="false">
      <c r="A14" s="5" t="s">
        <v>3213</v>
      </c>
      <c r="B14" s="5" t="s">
        <v>176</v>
      </c>
      <c r="C14" s="5" t="s">
        <v>72</v>
      </c>
      <c r="D14" s="5" t="s">
        <v>3197</v>
      </c>
      <c r="E14" s="5" t="s">
        <v>3214</v>
      </c>
      <c r="F14" s="20" t="n">
        <v>0.330000097751622</v>
      </c>
      <c r="G14" s="20" t="n">
        <v>2.2687506720424</v>
      </c>
      <c r="H14" s="20" t="n">
        <v>0</v>
      </c>
      <c r="I14" s="20" t="n">
        <v>0.708984415978193</v>
      </c>
      <c r="J14" s="20" t="n">
        <v>2.2687506720424</v>
      </c>
      <c r="K14" s="20"/>
      <c r="L14" s="20"/>
    </row>
    <row r="15" customFormat="false" ht="15" hidden="false" customHeight="false" outlineLevel="0" collapsed="false">
      <c r="A15" s="5" t="s">
        <v>3215</v>
      </c>
      <c r="B15" s="5" t="s">
        <v>176</v>
      </c>
      <c r="C15" s="5" t="s">
        <v>72</v>
      </c>
      <c r="D15" s="5" t="s">
        <v>3197</v>
      </c>
      <c r="E15" s="5" t="s">
        <v>3216</v>
      </c>
      <c r="F15" s="20" t="n">
        <v>0.338750109374534</v>
      </c>
      <c r="G15" s="20" t="n">
        <v>2.40203202564274</v>
      </c>
      <c r="H15" s="20" t="n">
        <v>0</v>
      </c>
      <c r="I15" s="20" t="n">
        <v>0.752050845432677</v>
      </c>
      <c r="J15" s="20" t="n">
        <v>2.40203202564274</v>
      </c>
      <c r="K15" s="20"/>
      <c r="L15" s="20"/>
    </row>
    <row r="16" customFormat="false" ht="15" hidden="false" customHeight="false" outlineLevel="0" collapsed="false">
      <c r="A16" s="5" t="s">
        <v>3217</v>
      </c>
      <c r="B16" s="5" t="s">
        <v>176</v>
      </c>
      <c r="C16" s="5" t="s">
        <v>72</v>
      </c>
      <c r="D16" s="5" t="s">
        <v>3197</v>
      </c>
      <c r="E16" s="5" t="s">
        <v>3218</v>
      </c>
      <c r="F16" s="20" t="n">
        <v>0.338750061690807</v>
      </c>
      <c r="G16" s="20" t="n">
        <v>2.4020316873863</v>
      </c>
      <c r="H16" s="20" t="n">
        <v>0</v>
      </c>
      <c r="I16" s="20" t="n">
        <v>0.752050738461548</v>
      </c>
      <c r="J16" s="20" t="n">
        <v>2.4020316873863</v>
      </c>
      <c r="K16" s="20"/>
      <c r="L16" s="20"/>
    </row>
    <row r="17" customFormat="false" ht="15" hidden="false" customHeight="false" outlineLevel="0" collapsed="false">
      <c r="A17" s="5" t="s">
        <v>3219</v>
      </c>
      <c r="B17" s="5" t="s">
        <v>176</v>
      </c>
      <c r="C17" s="5" t="s">
        <v>72</v>
      </c>
      <c r="D17" s="5" t="s">
        <v>3197</v>
      </c>
      <c r="E17" s="5" t="s">
        <v>3220</v>
      </c>
      <c r="F17" s="20" t="n">
        <v>0.330000145435349</v>
      </c>
      <c r="G17" s="20" t="n">
        <v>2.64000116348279</v>
      </c>
      <c r="H17" s="20" t="n">
        <v>0</v>
      </c>
      <c r="I17" s="20" t="n">
        <v>0.825000166893005</v>
      </c>
      <c r="J17" s="20" t="n">
        <v>2.64000116348279</v>
      </c>
      <c r="K17" s="20"/>
      <c r="L17" s="20"/>
    </row>
    <row r="18" customFormat="false" ht="15" hidden="false" customHeight="false" outlineLevel="0" collapsed="false">
      <c r="A18" s="5" t="s">
        <v>3221</v>
      </c>
      <c r="B18" s="5" t="s">
        <v>176</v>
      </c>
      <c r="C18" s="5" t="s">
        <v>72</v>
      </c>
      <c r="D18" s="5" t="s">
        <v>3197</v>
      </c>
      <c r="E18" s="5" t="s">
        <v>3222</v>
      </c>
      <c r="F18" s="20" t="n">
        <v>0.330000073909758</v>
      </c>
      <c r="G18" s="20" t="n">
        <v>2.64000059127807</v>
      </c>
      <c r="H18" s="20" t="n">
        <v>0</v>
      </c>
      <c r="I18" s="20" t="n">
        <v>0.824999988079071</v>
      </c>
      <c r="J18" s="20" t="n">
        <v>2.64000059127807</v>
      </c>
      <c r="K18" s="20"/>
      <c r="L18" s="20"/>
    </row>
    <row r="19" customFormat="false" ht="15" hidden="false" customHeight="false" outlineLevel="0" collapsed="false">
      <c r="A19" s="5" t="s">
        <v>3223</v>
      </c>
      <c r="B19" s="5" t="s">
        <v>176</v>
      </c>
      <c r="C19" s="5" t="s">
        <v>72</v>
      </c>
      <c r="D19" s="5" t="s">
        <v>3197</v>
      </c>
      <c r="E19" s="5" t="s">
        <v>3224</v>
      </c>
      <c r="F19" s="20" t="n">
        <v>0.330000145435349</v>
      </c>
      <c r="G19" s="20" t="n">
        <v>2.64000116348279</v>
      </c>
      <c r="H19" s="20" t="n">
        <v>0</v>
      </c>
      <c r="I19" s="20" t="n">
        <v>0.825000166893005</v>
      </c>
      <c r="J19" s="20" t="n">
        <v>2.64000116348279</v>
      </c>
      <c r="K19" s="20"/>
      <c r="L19" s="20"/>
    </row>
    <row r="20" customFormat="false" ht="15" hidden="false" customHeight="false" outlineLevel="0" collapsed="false">
      <c r="A20" s="5" t="s">
        <v>3225</v>
      </c>
      <c r="B20" s="5" t="s">
        <v>176</v>
      </c>
      <c r="C20" s="5" t="s">
        <v>72</v>
      </c>
      <c r="D20" s="5" t="s">
        <v>3197</v>
      </c>
      <c r="E20" s="5" t="s">
        <v>3226</v>
      </c>
      <c r="F20" s="20" t="n">
        <v>0.330000073909758</v>
      </c>
      <c r="G20" s="20" t="n">
        <v>2.64000059127807</v>
      </c>
      <c r="H20" s="20" t="n">
        <v>0</v>
      </c>
      <c r="I20" s="20" t="n">
        <v>0.824999988079071</v>
      </c>
      <c r="J20" s="20" t="n">
        <v>2.64000059127807</v>
      </c>
      <c r="K20" s="20"/>
      <c r="L20" s="20"/>
    </row>
    <row r="21" customFormat="false" ht="15" hidden="false" customHeight="false" outlineLevel="0" collapsed="false">
      <c r="A21" s="5" t="s">
        <v>3227</v>
      </c>
      <c r="B21" s="5" t="s">
        <v>176</v>
      </c>
      <c r="C21" s="5" t="s">
        <v>72</v>
      </c>
      <c r="D21" s="5" t="s">
        <v>3197</v>
      </c>
      <c r="E21" s="5" t="s">
        <v>3228</v>
      </c>
      <c r="F21" s="20" t="n">
        <v>0.33875010937453</v>
      </c>
      <c r="G21" s="20" t="n">
        <v>2.40203202564274</v>
      </c>
      <c r="H21" s="20" t="n">
        <v>0</v>
      </c>
      <c r="I21" s="20" t="n">
        <v>0.752050845432677</v>
      </c>
      <c r="J21" s="20" t="n">
        <v>2.40203202564274</v>
      </c>
      <c r="K21" s="20"/>
      <c r="L21" s="20"/>
    </row>
    <row r="22" customFormat="false" ht="15" hidden="false" customHeight="false" outlineLevel="0" collapsed="false">
      <c r="A22" s="5" t="s">
        <v>3229</v>
      </c>
      <c r="B22" s="5" t="s">
        <v>176</v>
      </c>
      <c r="C22" s="5" t="s">
        <v>72</v>
      </c>
      <c r="D22" s="5" t="s">
        <v>3197</v>
      </c>
      <c r="E22" s="5" t="s">
        <v>3230</v>
      </c>
      <c r="F22" s="20" t="n">
        <v>0.338750061690803</v>
      </c>
      <c r="G22" s="20" t="n">
        <v>2.4020316873863</v>
      </c>
      <c r="H22" s="20" t="n">
        <v>0</v>
      </c>
      <c r="I22" s="20" t="n">
        <v>0.752050738461549</v>
      </c>
      <c r="J22" s="20" t="n">
        <v>2.4020316873863</v>
      </c>
      <c r="K22" s="20"/>
      <c r="L22" s="20"/>
    </row>
    <row r="23" customFormat="false" ht="15" hidden="false" customHeight="false" outlineLevel="0" collapsed="false">
      <c r="A23" s="5" t="s">
        <v>3231</v>
      </c>
      <c r="B23" s="5" t="s">
        <v>176</v>
      </c>
      <c r="C23" s="5" t="s">
        <v>70</v>
      </c>
      <c r="D23" s="5" t="s">
        <v>3232</v>
      </c>
      <c r="E23" s="5" t="s">
        <v>3233</v>
      </c>
      <c r="F23" s="20" t="n">
        <v>1.40799942159655</v>
      </c>
      <c r="G23" s="20" t="n">
        <v>3.51999912440782</v>
      </c>
      <c r="H23" s="20" t="n">
        <v>0</v>
      </c>
      <c r="I23" s="20" t="n">
        <v>1.78999941986052</v>
      </c>
      <c r="J23" s="20" t="n">
        <v>3.51999912440782</v>
      </c>
      <c r="K23" s="20"/>
      <c r="L23" s="20"/>
    </row>
    <row r="24" customFormat="false" ht="15" hidden="false" customHeight="false" outlineLevel="0" collapsed="false">
      <c r="A24" s="5" t="s">
        <v>3234</v>
      </c>
      <c r="B24" s="5" t="s">
        <v>176</v>
      </c>
      <c r="C24" s="5" t="s">
        <v>70</v>
      </c>
      <c r="D24" s="5" t="s">
        <v>3235</v>
      </c>
      <c r="E24" s="5" t="s">
        <v>3236</v>
      </c>
      <c r="F24" s="20" t="n">
        <v>1.78199927902219</v>
      </c>
      <c r="G24" s="20" t="n">
        <v>3.95999902725225</v>
      </c>
      <c r="H24" s="20" t="n">
        <v>0</v>
      </c>
      <c r="I24" s="20" t="n">
        <v>2.4410734427533</v>
      </c>
      <c r="J24" s="20" t="n">
        <v>3.95999902725225</v>
      </c>
      <c r="K24" s="20"/>
      <c r="L24" s="20"/>
    </row>
    <row r="25" customFormat="false" ht="15" hidden="false" customHeight="false" outlineLevel="0" collapsed="false">
      <c r="A25" s="5" t="s">
        <v>3237</v>
      </c>
      <c r="B25" s="5" t="s">
        <v>176</v>
      </c>
      <c r="C25" s="5" t="s">
        <v>70</v>
      </c>
      <c r="D25" s="5" t="s">
        <v>3232</v>
      </c>
      <c r="E25" s="5" t="s">
        <v>3238</v>
      </c>
      <c r="F25" s="20" t="n">
        <v>1.40799887084988</v>
      </c>
      <c r="G25" s="20" t="n">
        <v>3.51999843597423</v>
      </c>
      <c r="H25" s="20" t="n">
        <v>0</v>
      </c>
      <c r="I25" s="20" t="n">
        <v>1.78999871969246</v>
      </c>
      <c r="J25" s="20" t="n">
        <v>3.51999843597423</v>
      </c>
      <c r="K25" s="20"/>
      <c r="L25" s="20"/>
    </row>
    <row r="26" customFormat="false" ht="15" hidden="false" customHeight="false" outlineLevel="0" collapsed="false">
      <c r="A26" s="5" t="s">
        <v>3239</v>
      </c>
      <c r="B26" s="5" t="s">
        <v>176</v>
      </c>
      <c r="C26" s="5" t="s">
        <v>70</v>
      </c>
      <c r="D26" s="5" t="s">
        <v>3232</v>
      </c>
      <c r="E26" s="5" t="s">
        <v>3240</v>
      </c>
      <c r="F26" s="20" t="n">
        <v>1.40799984121323</v>
      </c>
      <c r="G26" s="20" t="n">
        <v>3.51999964892865</v>
      </c>
      <c r="H26" s="20" t="n">
        <v>0</v>
      </c>
      <c r="I26" s="20" t="n">
        <v>1.78999995332211</v>
      </c>
      <c r="J26" s="20" t="n">
        <v>3.51999964892865</v>
      </c>
      <c r="K26" s="20"/>
      <c r="L26" s="20"/>
    </row>
    <row r="27" customFormat="false" ht="15" hidden="false" customHeight="false" outlineLevel="0" collapsed="false">
      <c r="A27" s="5" t="s">
        <v>3241</v>
      </c>
      <c r="B27" s="5" t="s">
        <v>176</v>
      </c>
      <c r="C27" s="5" t="s">
        <v>70</v>
      </c>
      <c r="D27" s="5" t="s">
        <v>3242</v>
      </c>
      <c r="E27" s="5" t="s">
        <v>3243</v>
      </c>
      <c r="F27" s="20" t="n">
        <v>0.719999878406526</v>
      </c>
      <c r="G27" s="20" t="n">
        <v>2.39999979734421</v>
      </c>
      <c r="H27" s="20" t="n">
        <v>0</v>
      </c>
      <c r="I27" s="20" t="n">
        <v>1.25999978721142</v>
      </c>
      <c r="J27" s="20" t="n">
        <v>2.39999979734421</v>
      </c>
      <c r="K27" s="20"/>
      <c r="L27" s="20"/>
    </row>
    <row r="28" customFormat="false" ht="15" hidden="false" customHeight="false" outlineLevel="0" collapsed="false">
      <c r="A28" s="5" t="s">
        <v>3244</v>
      </c>
      <c r="B28" s="5" t="s">
        <v>176</v>
      </c>
      <c r="C28" s="5" t="s">
        <v>70</v>
      </c>
      <c r="D28" s="5" t="s">
        <v>3242</v>
      </c>
      <c r="E28" s="5" t="s">
        <v>3245</v>
      </c>
      <c r="F28" s="20" t="n">
        <v>0.719999878406526</v>
      </c>
      <c r="G28" s="20" t="n">
        <v>2.39999979734421</v>
      </c>
      <c r="H28" s="20" t="n">
        <v>0</v>
      </c>
      <c r="I28" s="20" t="n">
        <v>1.25999978721142</v>
      </c>
      <c r="J28" s="20" t="n">
        <v>2.39999979734421</v>
      </c>
      <c r="K28" s="20"/>
      <c r="L28" s="20"/>
    </row>
    <row r="29" customFormat="false" ht="15" hidden="false" customHeight="false" outlineLevel="0" collapsed="false">
      <c r="A29" s="5" t="s">
        <v>3246</v>
      </c>
      <c r="B29" s="5" t="s">
        <v>176</v>
      </c>
      <c r="C29" s="5" t="s">
        <v>70</v>
      </c>
      <c r="D29" s="5" t="s">
        <v>3235</v>
      </c>
      <c r="E29" s="5" t="s">
        <v>3247</v>
      </c>
      <c r="F29" s="20" t="n">
        <v>1.78199904298791</v>
      </c>
      <c r="G29" s="20" t="n">
        <v>3.95999876499184</v>
      </c>
      <c r="H29" s="20" t="n">
        <v>0</v>
      </c>
      <c r="I29" s="20" t="n">
        <v>2.43316296673383</v>
      </c>
      <c r="J29" s="20" t="n">
        <v>3.95999876499184</v>
      </c>
      <c r="K29" s="20"/>
      <c r="L29" s="20"/>
    </row>
    <row r="30" customFormat="false" ht="15" hidden="false" customHeight="false" outlineLevel="0" collapsed="false">
      <c r="A30" s="5" t="s">
        <v>3248</v>
      </c>
      <c r="B30" s="5" t="s">
        <v>176</v>
      </c>
      <c r="C30" s="5" t="s">
        <v>70</v>
      </c>
      <c r="D30" s="5" t="s">
        <v>3249</v>
      </c>
      <c r="E30" s="5" t="s">
        <v>3250</v>
      </c>
      <c r="F30" s="20" t="n">
        <v>2.19999984204769</v>
      </c>
      <c r="G30" s="20" t="n">
        <v>4.39999965131283</v>
      </c>
      <c r="H30" s="20" t="n">
        <v>0</v>
      </c>
      <c r="I30" s="20" t="n">
        <v>3.04687504540198</v>
      </c>
      <c r="J30" s="20" t="n">
        <v>4.39999965131283</v>
      </c>
      <c r="K30" s="20"/>
      <c r="L30" s="20"/>
    </row>
    <row r="31" customFormat="false" ht="15" hidden="false" customHeight="false" outlineLevel="0" collapsed="false">
      <c r="A31" s="5" t="s">
        <v>3251</v>
      </c>
      <c r="B31" s="5" t="s">
        <v>176</v>
      </c>
      <c r="C31" s="5" t="s">
        <v>70</v>
      </c>
      <c r="D31" s="5" t="s">
        <v>3249</v>
      </c>
      <c r="E31" s="5" t="s">
        <v>3252</v>
      </c>
      <c r="F31" s="20" t="n">
        <v>2.19999954700472</v>
      </c>
      <c r="G31" s="20" t="n">
        <v>4.39999935626986</v>
      </c>
      <c r="H31" s="20" t="n">
        <v>0</v>
      </c>
      <c r="I31" s="20" t="n">
        <v>3.05078088631854</v>
      </c>
      <c r="J31" s="20" t="n">
        <v>4.39999935626986</v>
      </c>
      <c r="K31" s="20"/>
      <c r="L31" s="20"/>
    </row>
    <row r="32" customFormat="false" ht="15" hidden="false" customHeight="false" outlineLevel="0" collapsed="false">
      <c r="A32" s="5" t="s">
        <v>3253</v>
      </c>
      <c r="B32" s="5" t="s">
        <v>176</v>
      </c>
      <c r="C32" s="5" t="s">
        <v>70</v>
      </c>
      <c r="D32" s="5" t="s">
        <v>3249</v>
      </c>
      <c r="E32" s="5" t="s">
        <v>3254</v>
      </c>
      <c r="F32" s="20" t="n">
        <v>2.19999980926514</v>
      </c>
      <c r="G32" s="20" t="n">
        <v>4.39999961853027</v>
      </c>
      <c r="H32" s="20" t="n">
        <v>0</v>
      </c>
      <c r="I32" s="20" t="n">
        <v>3.05078125</v>
      </c>
      <c r="J32" s="20" t="n">
        <v>4.39999961853027</v>
      </c>
      <c r="K32" s="20"/>
      <c r="L32" s="20"/>
    </row>
    <row r="33" customFormat="false" ht="15" hidden="false" customHeight="false" outlineLevel="0" collapsed="false">
      <c r="A33" s="5" t="s">
        <v>3255</v>
      </c>
      <c r="B33" s="5" t="s">
        <v>176</v>
      </c>
      <c r="C33" s="5" t="s">
        <v>70</v>
      </c>
      <c r="D33" s="5" t="s">
        <v>3235</v>
      </c>
      <c r="E33" s="5" t="s">
        <v>3256</v>
      </c>
      <c r="F33" s="20" t="n">
        <v>1.78199927902219</v>
      </c>
      <c r="G33" s="20" t="n">
        <v>3.95999902725225</v>
      </c>
      <c r="H33" s="20" t="n">
        <v>0</v>
      </c>
      <c r="I33" s="20" t="n">
        <v>2.4410734427533</v>
      </c>
      <c r="J33" s="20" t="n">
        <v>3.95999902725225</v>
      </c>
      <c r="K33" s="20"/>
      <c r="L33" s="20"/>
    </row>
    <row r="34" customFormat="false" ht="15" hidden="false" customHeight="false" outlineLevel="0" collapsed="false">
      <c r="A34" s="5" t="s">
        <v>3257</v>
      </c>
      <c r="B34" s="5" t="s">
        <v>176</v>
      </c>
      <c r="C34" s="5" t="s">
        <v>70</v>
      </c>
      <c r="D34" s="5" t="s">
        <v>3249</v>
      </c>
      <c r="E34" s="5" t="s">
        <v>3258</v>
      </c>
      <c r="F34" s="20" t="n">
        <v>2.19999954700472</v>
      </c>
      <c r="G34" s="20" t="n">
        <v>4.39999935626986</v>
      </c>
      <c r="H34" s="20" t="n">
        <v>0</v>
      </c>
      <c r="I34" s="20" t="n">
        <v>3.0468746367842</v>
      </c>
      <c r="J34" s="20" t="n">
        <v>4.39999935626986</v>
      </c>
      <c r="K34" s="20"/>
      <c r="L34" s="20"/>
    </row>
    <row r="35" customFormat="false" ht="15" hidden="false" customHeight="false" outlineLevel="0" collapsed="false">
      <c r="A35" s="5" t="s">
        <v>3259</v>
      </c>
      <c r="B35" s="5" t="s">
        <v>176</v>
      </c>
      <c r="C35" s="5" t="s">
        <v>70</v>
      </c>
      <c r="D35" s="5" t="s">
        <v>3249</v>
      </c>
      <c r="E35" s="5" t="s">
        <v>3260</v>
      </c>
      <c r="F35" s="20" t="n">
        <v>2.19999980926514</v>
      </c>
      <c r="G35" s="20" t="n">
        <v>4.39999961853027</v>
      </c>
      <c r="H35" s="20" t="n">
        <v>0</v>
      </c>
      <c r="I35" s="20" t="n">
        <v>3.046875</v>
      </c>
      <c r="J35" s="20" t="n">
        <v>4.39999961853027</v>
      </c>
      <c r="K35" s="20"/>
      <c r="L35" s="20"/>
    </row>
    <row r="36" customFormat="false" ht="15" hidden="false" customHeight="false" outlineLevel="0" collapsed="false">
      <c r="A36" s="5" t="s">
        <v>3261</v>
      </c>
      <c r="B36" s="5" t="s">
        <v>176</v>
      </c>
      <c r="C36" s="5" t="s">
        <v>70</v>
      </c>
      <c r="D36" s="5" t="s">
        <v>3235</v>
      </c>
      <c r="E36" s="5" t="s">
        <v>3262</v>
      </c>
      <c r="F36" s="20" t="n">
        <v>1.78199927902219</v>
      </c>
      <c r="G36" s="20" t="n">
        <v>3.95999902725225</v>
      </c>
      <c r="H36" s="20" t="n">
        <v>0</v>
      </c>
      <c r="I36" s="20" t="n">
        <v>2.37304612062861</v>
      </c>
      <c r="J36" s="20" t="n">
        <v>3.95999902725225</v>
      </c>
      <c r="K36" s="20"/>
      <c r="L36" s="20"/>
    </row>
    <row r="37" customFormat="false" ht="15" hidden="false" customHeight="false" outlineLevel="0" collapsed="false">
      <c r="A37" s="5" t="s">
        <v>3263</v>
      </c>
      <c r="B37" s="5" t="s">
        <v>212</v>
      </c>
      <c r="C37" s="5" t="s">
        <v>74</v>
      </c>
      <c r="D37" s="5" t="s">
        <v>3264</v>
      </c>
      <c r="E37" s="5" t="s">
        <v>3265</v>
      </c>
      <c r="F37" s="20" t="n">
        <v>0.260999303340994</v>
      </c>
      <c r="G37" s="20" t="n">
        <v>2.19538835503153</v>
      </c>
      <c r="H37" s="20" t="n">
        <v>0</v>
      </c>
      <c r="I37" s="20" t="n">
        <v>0</v>
      </c>
      <c r="J37" s="20" t="n">
        <v>2.19538835503153</v>
      </c>
      <c r="K37" s="20"/>
      <c r="L37" s="20"/>
    </row>
    <row r="38" customFormat="false" ht="15" hidden="false" customHeight="false" outlineLevel="0" collapsed="false">
      <c r="A38" s="5" t="s">
        <v>3266</v>
      </c>
      <c r="B38" s="5" t="s">
        <v>212</v>
      </c>
      <c r="C38" s="5" t="s">
        <v>74</v>
      </c>
      <c r="D38" s="5" t="s">
        <v>3267</v>
      </c>
      <c r="E38" s="5" t="s">
        <v>3268</v>
      </c>
      <c r="F38" s="20" t="n">
        <v>0.260999977469442</v>
      </c>
      <c r="G38" s="20" t="n">
        <v>2.19539046168327</v>
      </c>
      <c r="H38" s="20" t="n">
        <v>0</v>
      </c>
      <c r="I38" s="20" t="n">
        <v>0</v>
      </c>
      <c r="J38" s="20" t="n">
        <v>2.19539046168327</v>
      </c>
      <c r="K38" s="20"/>
      <c r="L38" s="20"/>
    </row>
    <row r="39" customFormat="false" ht="15" hidden="false" customHeight="false" outlineLevel="0" collapsed="false">
      <c r="A39" s="5" t="s">
        <v>3269</v>
      </c>
      <c r="B39" s="5" t="s">
        <v>212</v>
      </c>
      <c r="C39" s="5" t="s">
        <v>74</v>
      </c>
      <c r="D39" s="5" t="s">
        <v>3267</v>
      </c>
      <c r="E39" s="5" t="s">
        <v>3270</v>
      </c>
      <c r="F39" s="20" t="n">
        <v>0.261000133037545</v>
      </c>
      <c r="G39" s="20" t="n">
        <v>2.03906282633544</v>
      </c>
      <c r="H39" s="20" t="n">
        <v>0</v>
      </c>
      <c r="I39" s="20" t="n">
        <v>0</v>
      </c>
      <c r="J39" s="20" t="n">
        <v>2.03906282633544</v>
      </c>
      <c r="K39" s="20"/>
      <c r="L39" s="20"/>
    </row>
    <row r="40" customFormat="false" ht="15" hidden="false" customHeight="false" outlineLevel="0" collapsed="false">
      <c r="A40" s="5" t="s">
        <v>3271</v>
      </c>
      <c r="B40" s="5" t="s">
        <v>212</v>
      </c>
      <c r="C40" s="5" t="s">
        <v>74</v>
      </c>
      <c r="D40" s="5" t="s">
        <v>3267</v>
      </c>
      <c r="E40" s="5" t="s">
        <v>3272</v>
      </c>
      <c r="F40" s="20" t="n">
        <v>0.260999303340995</v>
      </c>
      <c r="G40" s="20" t="n">
        <v>2.19538835503153</v>
      </c>
      <c r="H40" s="20" t="n">
        <v>0</v>
      </c>
      <c r="I40" s="20" t="n">
        <v>0</v>
      </c>
      <c r="J40" s="20" t="n">
        <v>2.19538835503153</v>
      </c>
      <c r="K40" s="20"/>
      <c r="L40" s="20"/>
    </row>
    <row r="41" customFormat="false" ht="15" hidden="false" customHeight="false" outlineLevel="0" collapsed="false">
      <c r="A41" s="5" t="s">
        <v>3273</v>
      </c>
      <c r="B41" s="5" t="s">
        <v>212</v>
      </c>
      <c r="C41" s="5" t="s">
        <v>74</v>
      </c>
      <c r="D41" s="5" t="s">
        <v>3264</v>
      </c>
      <c r="E41" s="5" t="s">
        <v>3274</v>
      </c>
      <c r="F41" s="20" t="n">
        <v>0.260999925613408</v>
      </c>
      <c r="G41" s="20" t="n">
        <v>2.14101530648767</v>
      </c>
      <c r="H41" s="20" t="n">
        <v>0</v>
      </c>
      <c r="I41" s="20" t="n">
        <v>0</v>
      </c>
      <c r="J41" s="20" t="n">
        <v>2.14101530648767</v>
      </c>
      <c r="K41" s="20"/>
      <c r="L41" s="20"/>
    </row>
    <row r="42" customFormat="false" ht="15" hidden="false" customHeight="false" outlineLevel="0" collapsed="false">
      <c r="A42" s="5" t="s">
        <v>3275</v>
      </c>
      <c r="B42" s="5" t="s">
        <v>212</v>
      </c>
      <c r="C42" s="5" t="s">
        <v>74</v>
      </c>
      <c r="D42" s="5" t="s">
        <v>3264</v>
      </c>
      <c r="E42" s="5" t="s">
        <v>3276</v>
      </c>
      <c r="F42" s="20" t="n">
        <v>0.269999954402447</v>
      </c>
      <c r="G42" s="20" t="n">
        <v>2.26538062922191</v>
      </c>
      <c r="H42" s="20" t="n">
        <v>0</v>
      </c>
      <c r="I42" s="20" t="n">
        <v>0</v>
      </c>
      <c r="J42" s="20" t="n">
        <v>2.26538062922191</v>
      </c>
      <c r="K42" s="20"/>
      <c r="L42" s="20"/>
    </row>
    <row r="43" customFormat="false" ht="15" hidden="false" customHeight="false" outlineLevel="0" collapsed="false">
      <c r="A43" s="5" t="s">
        <v>3277</v>
      </c>
      <c r="B43" s="5" t="s">
        <v>212</v>
      </c>
      <c r="C43" s="5" t="s">
        <v>74</v>
      </c>
      <c r="D43" s="5" t="s">
        <v>3264</v>
      </c>
      <c r="E43" s="5" t="s">
        <v>3278</v>
      </c>
      <c r="F43" s="20" t="n">
        <v>0.269999739825728</v>
      </c>
      <c r="G43" s="20" t="n">
        <v>2.61562332836911</v>
      </c>
      <c r="H43" s="20" t="n">
        <v>0</v>
      </c>
      <c r="I43" s="20" t="n">
        <v>0</v>
      </c>
      <c r="J43" s="20" t="n">
        <v>2.61562332836911</v>
      </c>
      <c r="K43" s="20"/>
      <c r="L43" s="20"/>
    </row>
    <row r="44" customFormat="false" ht="15" hidden="false" customHeight="false" outlineLevel="0" collapsed="false">
      <c r="A44" s="5" t="s">
        <v>3279</v>
      </c>
      <c r="B44" s="5" t="s">
        <v>212</v>
      </c>
      <c r="C44" s="5" t="s">
        <v>74</v>
      </c>
      <c r="D44" s="5" t="s">
        <v>3264</v>
      </c>
      <c r="E44" s="5" t="s">
        <v>3280</v>
      </c>
      <c r="F44" s="20" t="n">
        <v>0.260999303340994</v>
      </c>
      <c r="G44" s="20" t="n">
        <v>2.19538835503153</v>
      </c>
      <c r="H44" s="20" t="n">
        <v>0</v>
      </c>
      <c r="I44" s="20" t="n">
        <v>0</v>
      </c>
      <c r="J44" s="20" t="n">
        <v>2.19538835503153</v>
      </c>
      <c r="K44" s="20"/>
      <c r="L44" s="20"/>
    </row>
    <row r="45" customFormat="false" ht="15" hidden="false" customHeight="false" outlineLevel="0" collapsed="false">
      <c r="A45" s="5" t="s">
        <v>3281</v>
      </c>
      <c r="B45" s="5" t="s">
        <v>212</v>
      </c>
      <c r="C45" s="5" t="s">
        <v>74</v>
      </c>
      <c r="D45" s="5" t="s">
        <v>3267</v>
      </c>
      <c r="E45" s="5" t="s">
        <v>3282</v>
      </c>
      <c r="F45" s="20" t="n">
        <v>0.260999925613407</v>
      </c>
      <c r="G45" s="20" t="n">
        <v>2.03906217813491</v>
      </c>
      <c r="H45" s="20" t="n">
        <v>0</v>
      </c>
      <c r="I45" s="20" t="n">
        <v>0</v>
      </c>
      <c r="J45" s="20" t="n">
        <v>2.03906217813491</v>
      </c>
      <c r="K45" s="20"/>
      <c r="L45" s="20"/>
    </row>
    <row r="46" customFormat="false" ht="15" hidden="false" customHeight="false" outlineLevel="0" collapsed="false">
      <c r="A46" s="5" t="s">
        <v>3283</v>
      </c>
      <c r="B46" s="5" t="s">
        <v>212</v>
      </c>
      <c r="C46" s="5" t="s">
        <v>74</v>
      </c>
      <c r="D46" s="5" t="s">
        <v>3264</v>
      </c>
      <c r="E46" s="5" t="s">
        <v>3284</v>
      </c>
      <c r="F46" s="20" t="n">
        <v>0.260999925613407</v>
      </c>
      <c r="G46" s="20" t="n">
        <v>2.19539029963313</v>
      </c>
      <c r="H46" s="20" t="n">
        <v>0</v>
      </c>
      <c r="I46" s="20" t="n">
        <v>0</v>
      </c>
      <c r="J46" s="20" t="n">
        <v>2.19539029963313</v>
      </c>
      <c r="K46" s="20"/>
      <c r="L46" s="20"/>
    </row>
    <row r="47" customFormat="false" ht="15" hidden="false" customHeight="false" outlineLevel="0" collapsed="false">
      <c r="A47" s="5" t="s">
        <v>3285</v>
      </c>
      <c r="B47" s="5" t="s">
        <v>212</v>
      </c>
      <c r="C47" s="5" t="s">
        <v>74</v>
      </c>
      <c r="D47" s="5" t="s">
        <v>3286</v>
      </c>
      <c r="E47" s="5" t="s">
        <v>3287</v>
      </c>
      <c r="F47" s="20" t="n">
        <v>0.391499434679738</v>
      </c>
      <c r="G47" s="20" t="n">
        <v>3.16734248510558</v>
      </c>
      <c r="H47" s="20" t="n">
        <v>0</v>
      </c>
      <c r="I47" s="20" t="n">
        <v>0</v>
      </c>
      <c r="J47" s="20" t="n">
        <v>3.16734248510558</v>
      </c>
      <c r="K47" s="20"/>
      <c r="L47" s="20"/>
    </row>
    <row r="48" customFormat="false" ht="15" hidden="false" customHeight="false" outlineLevel="0" collapsed="false">
      <c r="A48" s="5" t="s">
        <v>3288</v>
      </c>
      <c r="B48" s="5" t="s">
        <v>212</v>
      </c>
      <c r="C48" s="5" t="s">
        <v>74</v>
      </c>
      <c r="D48" s="5" t="s">
        <v>3286</v>
      </c>
      <c r="E48" s="5" t="s">
        <v>3289</v>
      </c>
      <c r="F48" s="20" t="n">
        <v>0.391498851299671</v>
      </c>
      <c r="G48" s="20" t="n">
        <v>3.1673411576449</v>
      </c>
      <c r="H48" s="20" t="n">
        <v>0</v>
      </c>
      <c r="I48" s="20" t="n">
        <v>0</v>
      </c>
      <c r="J48" s="20" t="n">
        <v>3.1673411576449</v>
      </c>
      <c r="K48" s="20"/>
      <c r="L48" s="20"/>
    </row>
    <row r="49" customFormat="false" ht="15" hidden="false" customHeight="false" outlineLevel="0" collapsed="false">
      <c r="A49" s="5" t="s">
        <v>3290</v>
      </c>
      <c r="B49" s="5" t="s">
        <v>212</v>
      </c>
      <c r="C49" s="5" t="s">
        <v>74</v>
      </c>
      <c r="D49" s="5" t="s">
        <v>3286</v>
      </c>
      <c r="E49" s="5" t="s">
        <v>3291</v>
      </c>
      <c r="F49" s="20" t="n">
        <v>0.391499953240154</v>
      </c>
      <c r="G49" s="20" t="n">
        <v>3.16734358164481</v>
      </c>
      <c r="H49" s="20" t="n">
        <v>0</v>
      </c>
      <c r="I49" s="20" t="n">
        <v>0</v>
      </c>
      <c r="J49" s="20" t="n">
        <v>3.16734358164481</v>
      </c>
      <c r="K49" s="20"/>
      <c r="L49" s="20"/>
    </row>
    <row r="50" customFormat="false" ht="15" hidden="false" customHeight="false" outlineLevel="0" collapsed="false">
      <c r="A50" s="5" t="s">
        <v>3292</v>
      </c>
      <c r="B50" s="5" t="s">
        <v>212</v>
      </c>
      <c r="C50" s="5" t="s">
        <v>74</v>
      </c>
      <c r="D50" s="5" t="s">
        <v>3286</v>
      </c>
      <c r="E50" s="5" t="s">
        <v>3293</v>
      </c>
      <c r="F50" s="20" t="n">
        <v>0.391499369859766</v>
      </c>
      <c r="G50" s="20" t="n">
        <v>3.11296730425204</v>
      </c>
      <c r="H50" s="20" t="n">
        <v>0</v>
      </c>
      <c r="I50" s="20" t="n">
        <v>0</v>
      </c>
      <c r="J50" s="20" t="n">
        <v>3.11296730425204</v>
      </c>
      <c r="K50" s="20"/>
      <c r="L50" s="20"/>
    </row>
    <row r="51" customFormat="false" ht="15" hidden="false" customHeight="false" outlineLevel="0" collapsed="false">
      <c r="A51" s="5" t="s">
        <v>3294</v>
      </c>
      <c r="B51" s="5" t="s">
        <v>212</v>
      </c>
      <c r="C51" s="5" t="s">
        <v>78</v>
      </c>
      <c r="D51" s="5" t="s">
        <v>3295</v>
      </c>
      <c r="E51" s="5" t="s">
        <v>3296</v>
      </c>
      <c r="F51" s="20" t="n">
        <v>9.05257446956299</v>
      </c>
      <c r="G51" s="20" t="n">
        <v>0</v>
      </c>
      <c r="H51" s="20" t="n">
        <v>0</v>
      </c>
      <c r="I51" s="20" t="n">
        <v>87.3208319500451</v>
      </c>
      <c r="J51" s="20" t="n">
        <v>3.99724992509559</v>
      </c>
      <c r="K51" s="20"/>
      <c r="L51" s="20"/>
    </row>
    <row r="52" customFormat="false" ht="15" hidden="false" customHeight="false" outlineLevel="0" collapsed="false">
      <c r="A52" s="5" t="s">
        <v>3297</v>
      </c>
      <c r="B52" s="5" t="s">
        <v>216</v>
      </c>
      <c r="C52" s="5" t="s">
        <v>74</v>
      </c>
      <c r="D52" s="5" t="s">
        <v>3264</v>
      </c>
      <c r="E52" s="5" t="s">
        <v>3298</v>
      </c>
      <c r="F52" s="20" t="n">
        <v>0.539998540878515</v>
      </c>
      <c r="G52" s="20" t="n">
        <v>5.12999536514275</v>
      </c>
      <c r="H52" s="20" t="n">
        <v>0</v>
      </c>
      <c r="I52" s="20" t="n">
        <v>0</v>
      </c>
      <c r="J52" s="20" t="n">
        <v>5.12999536514275</v>
      </c>
      <c r="K52" s="20"/>
      <c r="L52" s="20"/>
    </row>
    <row r="53" customFormat="false" ht="15" hidden="false" customHeight="false" outlineLevel="0" collapsed="false">
      <c r="A53" s="5" t="s">
        <v>3299</v>
      </c>
      <c r="B53" s="5" t="s">
        <v>216</v>
      </c>
      <c r="C53" s="5" t="s">
        <v>74</v>
      </c>
      <c r="D53" s="5" t="s">
        <v>3264</v>
      </c>
      <c r="E53" s="5" t="s">
        <v>3300</v>
      </c>
      <c r="F53" s="20" t="n">
        <v>0.55799984121324</v>
      </c>
      <c r="G53" s="20" t="n">
        <v>5.05499923944473</v>
      </c>
      <c r="H53" s="20" t="n">
        <v>0</v>
      </c>
      <c r="I53" s="20" t="n">
        <v>0</v>
      </c>
      <c r="J53" s="20" t="n">
        <v>5.05499923944473</v>
      </c>
      <c r="K53" s="20"/>
      <c r="L53" s="20"/>
    </row>
    <row r="54" customFormat="false" ht="15" hidden="false" customHeight="false" outlineLevel="0" collapsed="false">
      <c r="A54" s="5" t="s">
        <v>3301</v>
      </c>
      <c r="B54" s="5" t="s">
        <v>216</v>
      </c>
      <c r="C54" s="5" t="s">
        <v>74</v>
      </c>
      <c r="D54" s="5" t="s">
        <v>3267</v>
      </c>
      <c r="E54" s="5" t="s">
        <v>3302</v>
      </c>
      <c r="F54" s="20" t="n">
        <v>0.53999993562698</v>
      </c>
      <c r="G54" s="20" t="n">
        <v>5.12999954938888</v>
      </c>
      <c r="H54" s="20" t="n">
        <v>0</v>
      </c>
      <c r="I54" s="20" t="n">
        <v>0</v>
      </c>
      <c r="J54" s="20" t="n">
        <v>5.12999954938888</v>
      </c>
      <c r="K54" s="20"/>
      <c r="L54" s="20"/>
    </row>
    <row r="55" customFormat="false" ht="15" hidden="false" customHeight="false" outlineLevel="0" collapsed="false">
      <c r="A55" s="5" t="s">
        <v>3303</v>
      </c>
      <c r="B55" s="5" t="s">
        <v>216</v>
      </c>
      <c r="C55" s="5" t="s">
        <v>74</v>
      </c>
      <c r="D55" s="5" t="s">
        <v>3267</v>
      </c>
      <c r="E55" s="5" t="s">
        <v>3304</v>
      </c>
      <c r="F55" s="20" t="n">
        <v>0.539998540878515</v>
      </c>
      <c r="G55" s="20" t="n">
        <v>5.12999536514275</v>
      </c>
      <c r="H55" s="20" t="n">
        <v>0</v>
      </c>
      <c r="I55" s="20" t="n">
        <v>0</v>
      </c>
      <c r="J55" s="20" t="n">
        <v>5.12999536514275</v>
      </c>
      <c r="K55" s="20"/>
      <c r="L55" s="20"/>
    </row>
    <row r="56" customFormat="false" ht="15" hidden="false" customHeight="false" outlineLevel="0" collapsed="false">
      <c r="A56" s="5" t="s">
        <v>3305</v>
      </c>
      <c r="B56" s="5" t="s">
        <v>216</v>
      </c>
      <c r="C56" s="5" t="s">
        <v>74</v>
      </c>
      <c r="D56" s="5" t="s">
        <v>3267</v>
      </c>
      <c r="E56" s="5" t="s">
        <v>3306</v>
      </c>
      <c r="F56" s="20" t="n">
        <v>0.540000257492011</v>
      </c>
      <c r="G56" s="20" t="n">
        <v>5.04000054359437</v>
      </c>
      <c r="H56" s="20" t="n">
        <v>0</v>
      </c>
      <c r="I56" s="20" t="n">
        <v>0</v>
      </c>
      <c r="J56" s="20" t="n">
        <v>5.04000054359437</v>
      </c>
      <c r="K56" s="20"/>
      <c r="L56" s="20"/>
    </row>
    <row r="57" customFormat="false" ht="15" hidden="false" customHeight="false" outlineLevel="0" collapsed="false">
      <c r="A57" s="5" t="s">
        <v>3307</v>
      </c>
      <c r="B57" s="5" t="s">
        <v>216</v>
      </c>
      <c r="C57" s="5" t="s">
        <v>74</v>
      </c>
      <c r="D57" s="5" t="s">
        <v>3264</v>
      </c>
      <c r="E57" s="5" t="s">
        <v>3308</v>
      </c>
      <c r="F57" s="20" t="n">
        <v>0.575999911308288</v>
      </c>
      <c r="G57" s="20" t="n">
        <v>5.27029728360917</v>
      </c>
      <c r="H57" s="20" t="n">
        <v>0</v>
      </c>
      <c r="I57" s="20" t="n">
        <v>0</v>
      </c>
      <c r="J57" s="20" t="n">
        <v>5.27029728360917</v>
      </c>
      <c r="K57" s="20"/>
      <c r="L57" s="20"/>
    </row>
    <row r="58" customFormat="false" ht="15" hidden="false" customHeight="false" outlineLevel="0" collapsed="false">
      <c r="A58" s="5" t="s">
        <v>3309</v>
      </c>
      <c r="B58" s="5" t="s">
        <v>216</v>
      </c>
      <c r="C58" s="5" t="s">
        <v>74</v>
      </c>
      <c r="D58" s="5" t="s">
        <v>3264</v>
      </c>
      <c r="E58" s="5" t="s">
        <v>3310</v>
      </c>
      <c r="F58" s="20" t="n">
        <v>0.575999453544614</v>
      </c>
      <c r="G58" s="20" t="n">
        <v>5.36999662920828</v>
      </c>
      <c r="H58" s="20" t="n">
        <v>0</v>
      </c>
      <c r="I58" s="20" t="n">
        <v>0</v>
      </c>
      <c r="J58" s="20" t="n">
        <v>5.36999662920828</v>
      </c>
      <c r="K58" s="20"/>
      <c r="L58" s="20"/>
    </row>
    <row r="59" customFormat="false" ht="15" hidden="false" customHeight="false" outlineLevel="0" collapsed="false">
      <c r="A59" s="5" t="s">
        <v>3311</v>
      </c>
      <c r="B59" s="5" t="s">
        <v>216</v>
      </c>
      <c r="C59" s="5" t="s">
        <v>74</v>
      </c>
      <c r="D59" s="5" t="s">
        <v>3264</v>
      </c>
      <c r="E59" s="5" t="s">
        <v>3312</v>
      </c>
      <c r="F59" s="20" t="n">
        <v>0.539998540878514</v>
      </c>
      <c r="G59" s="20" t="n">
        <v>5.12999536514275</v>
      </c>
      <c r="H59" s="20" t="n">
        <v>0</v>
      </c>
      <c r="I59" s="20" t="n">
        <v>0</v>
      </c>
      <c r="J59" s="20" t="n">
        <v>5.12999536514275</v>
      </c>
      <c r="K59" s="20"/>
      <c r="L59" s="20"/>
    </row>
    <row r="60" customFormat="false" ht="15" hidden="false" customHeight="false" outlineLevel="0" collapsed="false">
      <c r="A60" s="5" t="s">
        <v>3313</v>
      </c>
      <c r="B60" s="5" t="s">
        <v>216</v>
      </c>
      <c r="C60" s="5" t="s">
        <v>74</v>
      </c>
      <c r="D60" s="5" t="s">
        <v>3267</v>
      </c>
      <c r="E60" s="5" t="s">
        <v>3314</v>
      </c>
      <c r="F60" s="20" t="n">
        <v>0.539999828338636</v>
      </c>
      <c r="G60" s="20" t="n">
        <v>5.03999925613402</v>
      </c>
      <c r="H60" s="20" t="n">
        <v>0</v>
      </c>
      <c r="I60" s="20" t="n">
        <v>0</v>
      </c>
      <c r="J60" s="20" t="n">
        <v>5.03999925613402</v>
      </c>
      <c r="K60" s="20"/>
      <c r="L60" s="20"/>
    </row>
    <row r="61" customFormat="false" ht="15" hidden="false" customHeight="false" outlineLevel="0" collapsed="false">
      <c r="A61" s="5" t="s">
        <v>3315</v>
      </c>
      <c r="B61" s="5" t="s">
        <v>216</v>
      </c>
      <c r="C61" s="5" t="s">
        <v>74</v>
      </c>
      <c r="D61" s="5" t="s">
        <v>3264</v>
      </c>
      <c r="E61" s="5" t="s">
        <v>3316</v>
      </c>
      <c r="F61" s="20" t="n">
        <v>0.539999828338637</v>
      </c>
      <c r="G61" s="20" t="n">
        <v>5.03999925613402</v>
      </c>
      <c r="H61" s="20" t="n">
        <v>0</v>
      </c>
      <c r="I61" s="20" t="n">
        <v>0</v>
      </c>
      <c r="J61" s="20" t="n">
        <v>5.03999925613402</v>
      </c>
      <c r="K61" s="20"/>
      <c r="L61" s="20"/>
    </row>
    <row r="62" customFormat="false" ht="15" hidden="false" customHeight="false" outlineLevel="0" collapsed="false">
      <c r="A62" s="5" t="s">
        <v>3317</v>
      </c>
      <c r="B62" s="5" t="s">
        <v>216</v>
      </c>
      <c r="C62" s="5" t="s">
        <v>74</v>
      </c>
      <c r="D62" s="5" t="s">
        <v>3286</v>
      </c>
      <c r="E62" s="5" t="s">
        <v>3318</v>
      </c>
      <c r="F62" s="20" t="n">
        <v>0.863998736858371</v>
      </c>
      <c r="G62" s="20" t="n">
        <v>7.13999686151738</v>
      </c>
      <c r="H62" s="20" t="n">
        <v>0</v>
      </c>
      <c r="I62" s="20" t="n">
        <v>0</v>
      </c>
      <c r="J62" s="20" t="n">
        <v>7.13999686151738</v>
      </c>
      <c r="K62" s="20"/>
      <c r="L62" s="20"/>
    </row>
    <row r="63" customFormat="false" ht="15" hidden="false" customHeight="false" outlineLevel="0" collapsed="false">
      <c r="A63" s="5" t="s">
        <v>3319</v>
      </c>
      <c r="B63" s="5" t="s">
        <v>216</v>
      </c>
      <c r="C63" s="5" t="s">
        <v>74</v>
      </c>
      <c r="D63" s="5" t="s">
        <v>3286</v>
      </c>
      <c r="E63" s="5" t="s">
        <v>3320</v>
      </c>
      <c r="F63" s="20" t="n">
        <v>0.863997449398935</v>
      </c>
      <c r="G63" s="20" t="n">
        <v>7.25999347060909</v>
      </c>
      <c r="H63" s="20" t="n">
        <v>0</v>
      </c>
      <c r="I63" s="20" t="n">
        <v>0</v>
      </c>
      <c r="J63" s="20" t="n">
        <v>7.25999347060909</v>
      </c>
      <c r="K63" s="20"/>
      <c r="L63" s="20"/>
    </row>
    <row r="64" customFormat="false" ht="15" hidden="false" customHeight="false" outlineLevel="0" collapsed="false">
      <c r="A64" s="5" t="s">
        <v>3321</v>
      </c>
      <c r="B64" s="5" t="s">
        <v>216</v>
      </c>
      <c r="C64" s="5" t="s">
        <v>74</v>
      </c>
      <c r="D64" s="5" t="s">
        <v>3286</v>
      </c>
      <c r="E64" s="5" t="s">
        <v>3322</v>
      </c>
      <c r="F64" s="20" t="n">
        <v>0.863999881267545</v>
      </c>
      <c r="G64" s="20" t="n">
        <v>6.92999950692057</v>
      </c>
      <c r="H64" s="20" t="n">
        <v>0</v>
      </c>
      <c r="I64" s="20" t="n">
        <v>0</v>
      </c>
      <c r="J64" s="20" t="n">
        <v>6.92999950692057</v>
      </c>
      <c r="K64" s="20"/>
      <c r="L64" s="20"/>
    </row>
    <row r="65" customFormat="false" ht="15" hidden="false" customHeight="false" outlineLevel="0" collapsed="false">
      <c r="A65" s="5" t="s">
        <v>3323</v>
      </c>
      <c r="B65" s="5" t="s">
        <v>216</v>
      </c>
      <c r="C65" s="5" t="s">
        <v>74</v>
      </c>
      <c r="D65" s="5" t="s">
        <v>3286</v>
      </c>
      <c r="E65" s="5" t="s">
        <v>3324</v>
      </c>
      <c r="F65" s="20" t="n">
        <v>0.863998593807403</v>
      </c>
      <c r="G65" s="20" t="n">
        <v>7.01999643772835</v>
      </c>
      <c r="H65" s="20" t="n">
        <v>0</v>
      </c>
      <c r="I65" s="20" t="n">
        <v>0</v>
      </c>
      <c r="J65" s="20" t="n">
        <v>7.01999643772835</v>
      </c>
      <c r="K65" s="20"/>
      <c r="L65" s="20"/>
    </row>
    <row r="66" customFormat="false" ht="15" hidden="false" customHeight="false" outlineLevel="0" collapsed="false">
      <c r="A66" s="5" t="s">
        <v>3325</v>
      </c>
      <c r="B66" s="5" t="s">
        <v>216</v>
      </c>
      <c r="C66" s="5" t="s">
        <v>77</v>
      </c>
      <c r="D66" s="5" t="s">
        <v>3326</v>
      </c>
      <c r="E66" s="5" t="s">
        <v>3327</v>
      </c>
      <c r="F66" s="20" t="n">
        <v>0.553973562065759</v>
      </c>
      <c r="G66" s="20" t="n">
        <v>0.872530494458472</v>
      </c>
      <c r="H66" s="20" t="n">
        <v>3.31807123252906</v>
      </c>
      <c r="I66" s="20" t="n">
        <v>0.403939103600945</v>
      </c>
      <c r="J66" s="20" t="n">
        <v>0.872530494458472</v>
      </c>
      <c r="K66" s="20"/>
      <c r="L66" s="20"/>
    </row>
    <row r="67" customFormat="false" ht="15" hidden="false" customHeight="false" outlineLevel="0" collapsed="false">
      <c r="A67" s="5" t="s">
        <v>3328</v>
      </c>
      <c r="B67" s="5" t="s">
        <v>216</v>
      </c>
      <c r="C67" s="5" t="s">
        <v>77</v>
      </c>
      <c r="D67" s="5" t="s">
        <v>3326</v>
      </c>
      <c r="E67" s="5" t="s">
        <v>3329</v>
      </c>
      <c r="F67" s="20" t="n">
        <v>0.312245388035227</v>
      </c>
      <c r="G67" s="20" t="n">
        <v>0.499664663457033</v>
      </c>
      <c r="H67" s="20" t="n">
        <v>2.081635339968</v>
      </c>
      <c r="I67" s="20" t="n">
        <v>0.260204426248829</v>
      </c>
      <c r="J67" s="20" t="n">
        <v>0.499664663457033</v>
      </c>
      <c r="K67" s="20"/>
      <c r="L67" s="20"/>
    </row>
    <row r="68" customFormat="false" ht="15" hidden="false" customHeight="false" outlineLevel="0" collapsed="false">
      <c r="A68" s="5" t="s">
        <v>3330</v>
      </c>
      <c r="B68" s="5" t="s">
        <v>216</v>
      </c>
      <c r="C68" s="5" t="s">
        <v>77</v>
      </c>
      <c r="D68" s="5" t="s">
        <v>3326</v>
      </c>
      <c r="E68" s="5" t="s">
        <v>3331</v>
      </c>
      <c r="F68" s="20" t="n">
        <v>0.415312431864441</v>
      </c>
      <c r="G68" s="20" t="n">
        <v>0.691734262503684</v>
      </c>
      <c r="H68" s="20" t="n">
        <v>2.07656248938292</v>
      </c>
      <c r="I68" s="20" t="n">
        <v>2.7687499858439</v>
      </c>
      <c r="J68" s="20" t="n">
        <v>0.691734262503684</v>
      </c>
      <c r="K68" s="20"/>
      <c r="L68" s="20"/>
    </row>
    <row r="69" customFormat="false" ht="15" hidden="false" customHeight="false" outlineLevel="0" collapsed="false">
      <c r="A69" s="5" t="s">
        <v>3332</v>
      </c>
      <c r="B69" s="5" t="s">
        <v>216</v>
      </c>
      <c r="C69" s="5" t="s">
        <v>77</v>
      </c>
      <c r="D69" s="5" t="s">
        <v>3326</v>
      </c>
      <c r="E69" s="5" t="s">
        <v>3333</v>
      </c>
      <c r="F69" s="20" t="n">
        <v>0.3987003465057</v>
      </c>
      <c r="G69" s="20" t="n">
        <v>0.269953295251354</v>
      </c>
      <c r="H69" s="20" t="n">
        <v>1.6612503875792</v>
      </c>
      <c r="I69" s="20" t="n">
        <v>2.65800062012672</v>
      </c>
      <c r="J69" s="20" t="n">
        <v>0.269953295251354</v>
      </c>
      <c r="K69" s="20"/>
      <c r="L69" s="20"/>
    </row>
    <row r="70" customFormat="false" ht="15" hidden="false" customHeight="false" outlineLevel="0" collapsed="false">
      <c r="A70" s="5" t="s">
        <v>3334</v>
      </c>
      <c r="B70" s="5" t="s">
        <v>216</v>
      </c>
      <c r="C70" s="5" t="s">
        <v>77</v>
      </c>
      <c r="D70" s="5"/>
      <c r="E70" s="5" t="s">
        <v>3335</v>
      </c>
      <c r="F70" s="20" t="n">
        <v>0.320967862383159</v>
      </c>
      <c r="G70" s="20" t="n">
        <v>2.55321324676895</v>
      </c>
      <c r="H70" s="20" t="n">
        <v>0</v>
      </c>
      <c r="I70" s="20" t="n">
        <v>3.07999962687493</v>
      </c>
      <c r="J70" s="20" t="n">
        <v>2.55321324676895</v>
      </c>
      <c r="K70" s="20"/>
      <c r="L70" s="20"/>
    </row>
    <row r="71" customFormat="false" ht="15" hidden="false" customHeight="false" outlineLevel="0" collapsed="false">
      <c r="A71" s="5" t="s">
        <v>3336</v>
      </c>
      <c r="B71" s="5" t="s">
        <v>216</v>
      </c>
      <c r="C71" s="5" t="s">
        <v>77</v>
      </c>
      <c r="D71" s="5"/>
      <c r="E71" s="5" t="s">
        <v>3337</v>
      </c>
      <c r="F71" s="20" t="n">
        <v>0.183410587933311</v>
      </c>
      <c r="G71" s="20" t="n">
        <v>1.38999477493221</v>
      </c>
      <c r="H71" s="20" t="n">
        <v>0</v>
      </c>
      <c r="I71" s="20" t="n">
        <v>1.75999940872191</v>
      </c>
      <c r="J71" s="20" t="n">
        <v>1.38999477493221</v>
      </c>
      <c r="K71" s="20"/>
      <c r="L71" s="20"/>
    </row>
    <row r="72" customFormat="false" ht="15" hidden="false" customHeight="false" outlineLevel="0" collapsed="false">
      <c r="A72" s="5" t="s">
        <v>3338</v>
      </c>
      <c r="B72" s="5" t="s">
        <v>216</v>
      </c>
      <c r="C72" s="5" t="s">
        <v>77</v>
      </c>
      <c r="D72" s="5"/>
      <c r="E72" s="5" t="s">
        <v>3339</v>
      </c>
      <c r="F72" s="20" t="n">
        <v>0.114933320843277</v>
      </c>
      <c r="G72" s="20" t="n">
        <v>0.582285026942847</v>
      </c>
      <c r="H72" s="20" t="n">
        <v>0.330000203549858</v>
      </c>
      <c r="I72" s="20" t="n">
        <v>0.330000203549858</v>
      </c>
      <c r="J72" s="20" t="n">
        <v>0.582285026942847</v>
      </c>
      <c r="K72" s="20"/>
      <c r="L72" s="20"/>
    </row>
    <row r="73" customFormat="false" ht="15" hidden="false" customHeight="false" outlineLevel="0" collapsed="false">
      <c r="A73" s="5" t="s">
        <v>3340</v>
      </c>
      <c r="B73" s="5" t="s">
        <v>216</v>
      </c>
      <c r="C73" s="5" t="s">
        <v>77</v>
      </c>
      <c r="D73" s="5"/>
      <c r="E73" s="5" t="s">
        <v>3341</v>
      </c>
      <c r="F73" s="20" t="n">
        <v>0.0585460487473159</v>
      </c>
      <c r="G73" s="20" t="n">
        <v>0.10284364807343</v>
      </c>
      <c r="H73" s="20" t="n">
        <v>0.330000216960912</v>
      </c>
      <c r="I73" s="20" t="n">
        <v>0.330000216960912</v>
      </c>
      <c r="J73" s="20" t="n">
        <v>0.10284364807343</v>
      </c>
      <c r="K73" s="20"/>
      <c r="L73" s="20"/>
    </row>
    <row r="74" customFormat="false" ht="15" hidden="false" customHeight="false" outlineLevel="0" collapsed="false">
      <c r="A74" s="5" t="s">
        <v>3342</v>
      </c>
      <c r="B74" s="5" t="s">
        <v>216</v>
      </c>
      <c r="C74" s="5" t="s">
        <v>77</v>
      </c>
      <c r="D74" s="5"/>
      <c r="E74" s="5" t="s">
        <v>3343</v>
      </c>
      <c r="F74" s="20" t="n">
        <v>0.0646250005264809</v>
      </c>
      <c r="G74" s="20" t="n">
        <v>0.290995947189291</v>
      </c>
      <c r="H74" s="20" t="n">
        <v>0.330000216960912</v>
      </c>
      <c r="I74" s="20" t="n">
        <v>0</v>
      </c>
      <c r="J74" s="20" t="n">
        <v>0.290995947189291</v>
      </c>
      <c r="K74" s="20"/>
      <c r="L74" s="20"/>
    </row>
    <row r="75" customFormat="false" ht="15" hidden="false" customHeight="false" outlineLevel="0" collapsed="false">
      <c r="A75" s="5" t="s">
        <v>3344</v>
      </c>
      <c r="B75" s="5" t="s">
        <v>216</v>
      </c>
      <c r="C75" s="5" t="s">
        <v>76</v>
      </c>
      <c r="D75" s="5" t="s">
        <v>3345</v>
      </c>
      <c r="E75" s="5" t="s">
        <v>3346</v>
      </c>
      <c r="F75" s="20" t="n">
        <v>18.4725031301376</v>
      </c>
      <c r="G75" s="20" t="n">
        <v>6.92002843247899</v>
      </c>
      <c r="H75" s="20" t="n">
        <v>74.5240335650718</v>
      </c>
      <c r="I75" s="20" t="n">
        <v>90.0327120175927</v>
      </c>
      <c r="J75" s="20" t="n">
        <v>6.92002843247899</v>
      </c>
      <c r="K75" s="20" t="n">
        <v>92.362</v>
      </c>
      <c r="L75" s="20" t="n">
        <v>69.476</v>
      </c>
    </row>
    <row r="76" customFormat="false" ht="15" hidden="false" customHeight="false" outlineLevel="0" collapsed="false">
      <c r="A76" s="5" t="s">
        <v>3347</v>
      </c>
      <c r="B76" s="5" t="s">
        <v>216</v>
      </c>
      <c r="C76" s="5" t="s">
        <v>75</v>
      </c>
      <c r="D76" s="5" t="s">
        <v>3348</v>
      </c>
      <c r="E76" s="5" t="s">
        <v>3349</v>
      </c>
      <c r="F76" s="20" t="n">
        <v>0.260999303340988</v>
      </c>
      <c r="G76" s="20" t="n">
        <v>1.69921853579576</v>
      </c>
      <c r="H76" s="20" t="n">
        <v>0.734060657322327</v>
      </c>
      <c r="I76" s="20" t="n">
        <v>0</v>
      </c>
      <c r="J76" s="20" t="n">
        <v>1.69921853579576</v>
      </c>
      <c r="K76" s="20"/>
      <c r="L76" s="20"/>
    </row>
    <row r="77" customFormat="false" ht="15" hidden="false" customHeight="false" outlineLevel="0" collapsed="false">
      <c r="A77" s="5" t="s">
        <v>3350</v>
      </c>
      <c r="B77" s="5" t="s">
        <v>216</v>
      </c>
      <c r="C77" s="5" t="s">
        <v>75</v>
      </c>
      <c r="D77" s="5" t="s">
        <v>3348</v>
      </c>
      <c r="E77" s="5" t="s">
        <v>3351</v>
      </c>
      <c r="F77" s="20" t="n">
        <v>0.233999359130977</v>
      </c>
      <c r="G77" s="20" t="n">
        <v>1.55999969482423</v>
      </c>
      <c r="H77" s="20" t="n">
        <v>0.779997987747265</v>
      </c>
      <c r="I77" s="20" t="n">
        <v>0</v>
      </c>
      <c r="J77" s="20" t="n">
        <v>1.55999969482423</v>
      </c>
      <c r="K77" s="20"/>
      <c r="L77" s="20"/>
    </row>
    <row r="78" customFormat="false" ht="15" hidden="false" customHeight="false" outlineLevel="0" collapsed="false">
      <c r="A78" s="5" t="s">
        <v>3352</v>
      </c>
      <c r="B78" s="5" t="s">
        <v>216</v>
      </c>
      <c r="C78" s="5" t="s">
        <v>75</v>
      </c>
      <c r="D78" s="5" t="s">
        <v>3348</v>
      </c>
      <c r="E78" s="5" t="s">
        <v>3353</v>
      </c>
      <c r="F78" s="20" t="n">
        <v>0.296999214649274</v>
      </c>
      <c r="G78" s="20" t="n">
        <v>1.93359355442224</v>
      </c>
      <c r="H78" s="20" t="n">
        <v>0.850779135525102</v>
      </c>
      <c r="I78" s="20" t="n">
        <v>0</v>
      </c>
      <c r="J78" s="20" t="n">
        <v>1.93359355442224</v>
      </c>
      <c r="K78" s="20"/>
      <c r="L78" s="20"/>
    </row>
    <row r="79" customFormat="false" ht="15" hidden="false" customHeight="false" outlineLevel="0" collapsed="false">
      <c r="A79" s="5" t="s">
        <v>3354</v>
      </c>
      <c r="B79" s="5" t="s">
        <v>216</v>
      </c>
      <c r="C79" s="5" t="s">
        <v>75</v>
      </c>
      <c r="D79" s="5" t="s">
        <v>3348</v>
      </c>
      <c r="E79" s="5" t="s">
        <v>3355</v>
      </c>
      <c r="F79" s="20" t="n">
        <v>0.261000119626493</v>
      </c>
      <c r="G79" s="20" t="n">
        <v>1.73999969124795</v>
      </c>
      <c r="H79" s="20" t="n">
        <v>0.870000537037839</v>
      </c>
      <c r="I79" s="20" t="n">
        <v>0</v>
      </c>
      <c r="J79" s="20" t="n">
        <v>1.73999969124795</v>
      </c>
      <c r="K79" s="20"/>
      <c r="L79" s="20"/>
    </row>
    <row r="80" customFormat="false" ht="15" hidden="false" customHeight="false" outlineLevel="0" collapsed="false">
      <c r="A80" s="5" t="s">
        <v>3356</v>
      </c>
      <c r="B80" s="5" t="s">
        <v>216</v>
      </c>
      <c r="C80" s="5" t="s">
        <v>75</v>
      </c>
      <c r="D80" s="5" t="s">
        <v>3348</v>
      </c>
      <c r="E80" s="5" t="s">
        <v>3357</v>
      </c>
      <c r="F80" s="20" t="n">
        <v>0.261000133037545</v>
      </c>
      <c r="G80" s="20" t="n">
        <v>1.7399997806549</v>
      </c>
      <c r="H80" s="20" t="n">
        <v>0.870000581741351</v>
      </c>
      <c r="I80" s="20" t="n">
        <v>0</v>
      </c>
      <c r="J80" s="20" t="n">
        <v>1.7399997806549</v>
      </c>
      <c r="K80" s="20"/>
      <c r="L80" s="20"/>
    </row>
    <row r="81" customFormat="false" ht="15" hidden="false" customHeight="false" outlineLevel="0" collapsed="false">
      <c r="A81" s="5" t="s">
        <v>3358</v>
      </c>
      <c r="B81" s="5" t="s">
        <v>216</v>
      </c>
      <c r="C81" s="5" t="s">
        <v>75</v>
      </c>
      <c r="D81" s="5" t="s">
        <v>3348</v>
      </c>
      <c r="E81" s="5" t="s">
        <v>3359</v>
      </c>
      <c r="F81" s="20" t="n">
        <v>0.297000158786752</v>
      </c>
      <c r="G81" s="20" t="n">
        <v>1.97999979972838</v>
      </c>
      <c r="H81" s="20" t="n">
        <v>0.990000686645544</v>
      </c>
      <c r="I81" s="20" t="n">
        <v>0</v>
      </c>
      <c r="J81" s="20" t="n">
        <v>1.97999979972838</v>
      </c>
      <c r="K81" s="20"/>
      <c r="L81" s="20"/>
    </row>
    <row r="82" customFormat="false" ht="15" hidden="false" customHeight="false" outlineLevel="0" collapsed="false">
      <c r="A82" s="5" t="s">
        <v>3360</v>
      </c>
      <c r="B82" s="5" t="s">
        <v>216</v>
      </c>
      <c r="C82" s="5" t="s">
        <v>75</v>
      </c>
      <c r="D82" s="5" t="s">
        <v>3348</v>
      </c>
      <c r="E82" s="5" t="s">
        <v>3361</v>
      </c>
      <c r="F82" s="20" t="n">
        <v>0.2609999256134</v>
      </c>
      <c r="G82" s="20" t="n">
        <v>1.65843729093666</v>
      </c>
      <c r="H82" s="20" t="n">
        <v>0.734062407463766</v>
      </c>
      <c r="I82" s="20" t="n">
        <v>0</v>
      </c>
      <c r="J82" s="20" t="n">
        <v>1.65843729093666</v>
      </c>
      <c r="K82" s="20"/>
      <c r="L82" s="20"/>
    </row>
    <row r="83" customFormat="false" ht="15" hidden="false" customHeight="false" outlineLevel="0" collapsed="false">
      <c r="A83" s="5" t="s">
        <v>3362</v>
      </c>
      <c r="B83" s="5" t="s">
        <v>216</v>
      </c>
      <c r="C83" s="5" t="s">
        <v>75</v>
      </c>
      <c r="D83" s="5" t="s">
        <v>3348</v>
      </c>
      <c r="E83" s="5" t="s">
        <v>3363</v>
      </c>
      <c r="F83" s="20" t="n">
        <v>0.233999917030343</v>
      </c>
      <c r="G83" s="20" t="n">
        <v>1.55999969482423</v>
      </c>
      <c r="H83" s="20" t="n">
        <v>0.779999847412114</v>
      </c>
      <c r="I83" s="20" t="n">
        <v>0</v>
      </c>
      <c r="J83" s="20" t="n">
        <v>1.55999969482423</v>
      </c>
      <c r="K83" s="20"/>
      <c r="L83" s="20"/>
    </row>
    <row r="84" customFormat="false" ht="15" hidden="false" customHeight="false" outlineLevel="0" collapsed="false">
      <c r="A84" s="5" t="s">
        <v>3364</v>
      </c>
      <c r="B84" s="5" t="s">
        <v>216</v>
      </c>
      <c r="C84" s="5" t="s">
        <v>75</v>
      </c>
      <c r="D84" s="5" t="s">
        <v>3348</v>
      </c>
      <c r="E84" s="5" t="s">
        <v>3365</v>
      </c>
      <c r="F84" s="20" t="n">
        <v>0.396000015020393</v>
      </c>
      <c r="G84" s="20" t="n">
        <v>2.25481199206318</v>
      </c>
      <c r="H84" s="20" t="n">
        <v>0.850781163945786</v>
      </c>
      <c r="I84" s="20" t="n">
        <v>0.425390920043007</v>
      </c>
      <c r="J84" s="20" t="n">
        <v>2.25481199206318</v>
      </c>
      <c r="K84" s="20"/>
      <c r="L84" s="20"/>
    </row>
    <row r="85" customFormat="false" ht="15" hidden="false" customHeight="false" outlineLevel="0" collapsed="false">
      <c r="A85" s="5" t="s">
        <v>3366</v>
      </c>
      <c r="B85" s="5" t="s">
        <v>216</v>
      </c>
      <c r="C85" s="5" t="s">
        <v>75</v>
      </c>
      <c r="D85" s="5" t="s">
        <v>3348</v>
      </c>
      <c r="E85" s="5" t="s">
        <v>3367</v>
      </c>
      <c r="F85" s="20" t="n">
        <v>0.303750006705519</v>
      </c>
      <c r="G85" s="20" t="n">
        <v>2.02499996423717</v>
      </c>
      <c r="H85" s="20" t="n">
        <v>0.898467600267257</v>
      </c>
      <c r="I85" s="20" t="n">
        <v>0</v>
      </c>
      <c r="J85" s="20" t="n">
        <v>2.02499996423717</v>
      </c>
      <c r="K85" s="20"/>
      <c r="L85" s="20"/>
    </row>
    <row r="86" customFormat="false" ht="15" hidden="false" customHeight="false" outlineLevel="0" collapsed="false">
      <c r="A86" s="5" t="s">
        <v>3368</v>
      </c>
      <c r="B86" s="5" t="s">
        <v>216</v>
      </c>
      <c r="C86" s="5" t="s">
        <v>75</v>
      </c>
      <c r="D86" s="5" t="s">
        <v>3348</v>
      </c>
      <c r="E86" s="5" t="s">
        <v>3369</v>
      </c>
      <c r="F86" s="20" t="n">
        <v>0.445499940454964</v>
      </c>
      <c r="G86" s="20" t="n">
        <v>3.05999947428704</v>
      </c>
      <c r="H86" s="20" t="n">
        <v>1.34852237410327</v>
      </c>
      <c r="I86" s="20" t="n">
        <v>0</v>
      </c>
      <c r="J86" s="20" t="n">
        <v>3.05999947428704</v>
      </c>
      <c r="K86" s="20"/>
      <c r="L86" s="20"/>
    </row>
    <row r="87" customFormat="false" ht="15" hidden="false" customHeight="false" outlineLevel="0" collapsed="false">
      <c r="A87" s="5" t="s">
        <v>3370</v>
      </c>
      <c r="B87" s="5" t="s">
        <v>216</v>
      </c>
      <c r="C87" s="5" t="s">
        <v>75</v>
      </c>
      <c r="D87" s="5" t="s">
        <v>3348</v>
      </c>
      <c r="E87" s="5" t="s">
        <v>3371</v>
      </c>
      <c r="F87" s="20" t="n">
        <v>0.296999965667713</v>
      </c>
      <c r="G87" s="20" t="n">
        <v>1.98000008583063</v>
      </c>
      <c r="H87" s="20" t="n">
        <v>0.990000042915312</v>
      </c>
      <c r="I87" s="20" t="n">
        <v>0</v>
      </c>
      <c r="J87" s="20" t="n">
        <v>1.98000008583063</v>
      </c>
      <c r="K87" s="20"/>
      <c r="L87" s="20"/>
    </row>
    <row r="88" customFormat="false" ht="15" hidden="false" customHeight="false" outlineLevel="0" collapsed="false">
      <c r="A88" s="5" t="s">
        <v>3372</v>
      </c>
      <c r="B88" s="5" t="s">
        <v>216</v>
      </c>
      <c r="C88" s="5" t="s">
        <v>75</v>
      </c>
      <c r="D88" s="5" t="s">
        <v>3348</v>
      </c>
      <c r="E88" s="5" t="s">
        <v>3373</v>
      </c>
      <c r="F88" s="20" t="n">
        <v>0.431999858379376</v>
      </c>
      <c r="G88" s="20" t="n">
        <v>2.96999948501588</v>
      </c>
      <c r="H88" s="20" t="n">
        <v>1.43999975681305</v>
      </c>
      <c r="I88" s="20" t="n">
        <v>0</v>
      </c>
      <c r="J88" s="20" t="n">
        <v>2.96999948501588</v>
      </c>
      <c r="K88" s="20"/>
      <c r="L88" s="20"/>
    </row>
    <row r="89" customFormat="false" ht="15" hidden="false" customHeight="false" outlineLevel="0" collapsed="false">
      <c r="A89" s="5" t="s">
        <v>3374</v>
      </c>
      <c r="B89" s="5" t="s">
        <v>216</v>
      </c>
      <c r="C89" s="5" t="s">
        <v>75</v>
      </c>
      <c r="D89" s="5" t="s">
        <v>3348</v>
      </c>
      <c r="E89" s="5" t="s">
        <v>3375</v>
      </c>
      <c r="F89" s="20" t="n">
        <v>0.297000201702116</v>
      </c>
      <c r="G89" s="20" t="n">
        <v>1.98000008583063</v>
      </c>
      <c r="H89" s="20" t="n">
        <v>0.990000829696783</v>
      </c>
      <c r="I89" s="20" t="n">
        <v>0</v>
      </c>
      <c r="J89" s="20" t="n">
        <v>1.98000008583063</v>
      </c>
      <c r="K89" s="20"/>
      <c r="L89" s="20"/>
    </row>
    <row r="90" customFormat="false" ht="15" hidden="false" customHeight="false" outlineLevel="0" collapsed="false">
      <c r="A90" s="5" t="s">
        <v>3376</v>
      </c>
      <c r="B90" s="5" t="s">
        <v>216</v>
      </c>
      <c r="C90" s="5" t="s">
        <v>75</v>
      </c>
      <c r="D90" s="5" t="s">
        <v>3348</v>
      </c>
      <c r="E90" s="5" t="s">
        <v>3377</v>
      </c>
      <c r="F90" s="20" t="n">
        <v>0.297000137329069</v>
      </c>
      <c r="G90" s="20" t="n">
        <v>1.97999965667725</v>
      </c>
      <c r="H90" s="20" t="n">
        <v>0.990000615119925</v>
      </c>
      <c r="I90" s="20" t="n">
        <v>0</v>
      </c>
      <c r="J90" s="20" t="n">
        <v>1.97999965667725</v>
      </c>
      <c r="K90" s="20"/>
      <c r="L90" s="20"/>
    </row>
    <row r="91" customFormat="false" ht="15" hidden="false" customHeight="false" outlineLevel="0" collapsed="false">
      <c r="A91" s="5" t="s">
        <v>3378</v>
      </c>
      <c r="B91" s="5" t="s">
        <v>216</v>
      </c>
      <c r="C91" s="5" t="s">
        <v>75</v>
      </c>
      <c r="D91" s="5" t="s">
        <v>3348</v>
      </c>
      <c r="E91" s="5" t="s">
        <v>3379</v>
      </c>
      <c r="F91" s="20" t="n">
        <v>0.303749222159393</v>
      </c>
      <c r="G91" s="20" t="n">
        <v>2.02499996423717</v>
      </c>
      <c r="H91" s="20" t="n">
        <v>0.898465279644188</v>
      </c>
      <c r="I91" s="20" t="n">
        <v>0</v>
      </c>
      <c r="J91" s="20" t="n">
        <v>2.02499996423717</v>
      </c>
      <c r="K91" s="20"/>
      <c r="L91" s="20"/>
    </row>
    <row r="92" customFormat="false" ht="15" hidden="false" customHeight="false" outlineLevel="0" collapsed="false">
      <c r="A92" s="5" t="s">
        <v>3380</v>
      </c>
      <c r="B92" s="5" t="s">
        <v>216</v>
      </c>
      <c r="C92" s="5" t="s">
        <v>75</v>
      </c>
      <c r="D92" s="5" t="s">
        <v>3348</v>
      </c>
      <c r="E92" s="5" t="s">
        <v>3381</v>
      </c>
      <c r="F92" s="20" t="n">
        <v>0.303749168515357</v>
      </c>
      <c r="G92" s="20" t="n">
        <v>2.02499960660936</v>
      </c>
      <c r="H92" s="20" t="n">
        <v>0.898465100970406</v>
      </c>
      <c r="I92" s="20" t="n">
        <v>0</v>
      </c>
      <c r="J92" s="20" t="n">
        <v>2.02499960660936</v>
      </c>
      <c r="K92" s="20"/>
      <c r="L92" s="20"/>
    </row>
    <row r="93" customFormat="false" ht="15" hidden="false" customHeight="false" outlineLevel="0" collapsed="false">
      <c r="A93" s="5" t="s">
        <v>3382</v>
      </c>
      <c r="B93" s="5" t="s">
        <v>216</v>
      </c>
      <c r="C93" s="5" t="s">
        <v>75</v>
      </c>
      <c r="D93" s="5" t="s">
        <v>3348</v>
      </c>
      <c r="E93" s="5" t="s">
        <v>3383</v>
      </c>
      <c r="F93" s="20" t="n">
        <v>0.232575083306391</v>
      </c>
      <c r="G93" s="20" t="n">
        <v>1.55049956959486</v>
      </c>
      <c r="H93" s="20" t="n">
        <v>0.664500419080255</v>
      </c>
      <c r="I93" s="20" t="n">
        <v>0</v>
      </c>
      <c r="J93" s="20" t="n">
        <v>1.55049956959486</v>
      </c>
      <c r="K93" s="20"/>
      <c r="L93" s="20"/>
    </row>
    <row r="94" customFormat="false" ht="15" hidden="false" customHeight="false" outlineLevel="0" collapsed="false">
      <c r="A94" s="5" t="s">
        <v>3384</v>
      </c>
      <c r="B94" s="5" t="s">
        <v>216</v>
      </c>
      <c r="C94" s="5" t="s">
        <v>75</v>
      </c>
      <c r="D94" s="5" t="s">
        <v>3348</v>
      </c>
      <c r="E94" s="5" t="s">
        <v>3385</v>
      </c>
      <c r="F94" s="20" t="n">
        <v>0.343499131888139</v>
      </c>
      <c r="G94" s="20" t="n">
        <v>2.29000003635883</v>
      </c>
      <c r="H94" s="20" t="n">
        <v>0.663623071498549</v>
      </c>
      <c r="I94" s="20" t="n">
        <v>0.663623071498549</v>
      </c>
      <c r="J94" s="20" t="n">
        <v>2.29000003635883</v>
      </c>
      <c r="K94" s="20"/>
      <c r="L94" s="20"/>
    </row>
    <row r="95" customFormat="false" ht="15" hidden="false" customHeight="false" outlineLevel="0" collapsed="false">
      <c r="A95" s="5" t="s">
        <v>3386</v>
      </c>
      <c r="B95" s="5" t="s">
        <v>216</v>
      </c>
      <c r="C95" s="5" t="s">
        <v>75</v>
      </c>
      <c r="D95" s="5" t="s">
        <v>3387</v>
      </c>
      <c r="E95" s="5" t="s">
        <v>3388</v>
      </c>
      <c r="F95" s="20" t="n">
        <v>0.427500052973628</v>
      </c>
      <c r="G95" s="20" t="n">
        <v>2.73675878916401</v>
      </c>
      <c r="H95" s="20" t="n">
        <v>0.855000105947255</v>
      </c>
      <c r="I95" s="20" t="n">
        <v>0.855000105947255</v>
      </c>
      <c r="J95" s="20" t="n">
        <v>2.73675878916401</v>
      </c>
      <c r="K95" s="20"/>
      <c r="L95" s="20"/>
    </row>
    <row r="96" customFormat="false" ht="15" hidden="false" customHeight="false" outlineLevel="0" collapsed="false">
      <c r="A96" s="5" t="s">
        <v>3389</v>
      </c>
      <c r="B96" s="5" t="s">
        <v>227</v>
      </c>
      <c r="C96" s="5" t="s">
        <v>74</v>
      </c>
      <c r="D96" s="5" t="s">
        <v>3264</v>
      </c>
      <c r="E96" s="5" t="s">
        <v>3390</v>
      </c>
      <c r="F96" s="20" t="n">
        <v>0.431998806953674</v>
      </c>
      <c r="G96" s="20" t="n">
        <v>4.04999635219554</v>
      </c>
      <c r="H96" s="20" t="n">
        <v>0</v>
      </c>
      <c r="I96" s="20" t="n">
        <v>0</v>
      </c>
      <c r="J96" s="20" t="n">
        <v>4.04999635219554</v>
      </c>
      <c r="K96" s="20"/>
      <c r="L96" s="20"/>
    </row>
    <row r="97" customFormat="false" ht="15" hidden="false" customHeight="false" outlineLevel="0" collapsed="false">
      <c r="A97" s="5" t="s">
        <v>3391</v>
      </c>
      <c r="B97" s="5" t="s">
        <v>227</v>
      </c>
      <c r="C97" s="5" t="s">
        <v>74</v>
      </c>
      <c r="D97" s="5" t="s">
        <v>3267</v>
      </c>
      <c r="E97" s="5" t="s">
        <v>3392</v>
      </c>
      <c r="F97" s="20" t="n">
        <v>0.431999922752381</v>
      </c>
      <c r="G97" s="20" t="n">
        <v>4.04999960660936</v>
      </c>
      <c r="H97" s="20" t="n">
        <v>0</v>
      </c>
      <c r="I97" s="20" t="n">
        <v>0</v>
      </c>
      <c r="J97" s="20" t="n">
        <v>4.04999960660936</v>
      </c>
      <c r="K97" s="20"/>
      <c r="L97" s="20"/>
    </row>
    <row r="98" customFormat="false" ht="15" hidden="false" customHeight="false" outlineLevel="0" collapsed="false">
      <c r="A98" s="5" t="s">
        <v>3393</v>
      </c>
      <c r="B98" s="5" t="s">
        <v>227</v>
      </c>
      <c r="C98" s="5" t="s">
        <v>74</v>
      </c>
      <c r="D98" s="5" t="s">
        <v>3267</v>
      </c>
      <c r="E98" s="5" t="s">
        <v>3394</v>
      </c>
      <c r="F98" s="20" t="n">
        <v>0.432000180244391</v>
      </c>
      <c r="G98" s="20" t="n">
        <v>3.96000045776373</v>
      </c>
      <c r="H98" s="20" t="n">
        <v>0</v>
      </c>
      <c r="I98" s="20" t="n">
        <v>0</v>
      </c>
      <c r="J98" s="20" t="n">
        <v>3.96000045776373</v>
      </c>
      <c r="K98" s="20"/>
      <c r="L98" s="20"/>
    </row>
    <row r="99" customFormat="false" ht="15" hidden="false" customHeight="false" outlineLevel="0" collapsed="false">
      <c r="A99" s="5" t="s">
        <v>3395</v>
      </c>
      <c r="B99" s="5" t="s">
        <v>227</v>
      </c>
      <c r="C99" s="5" t="s">
        <v>74</v>
      </c>
      <c r="D99" s="5" t="s">
        <v>3267</v>
      </c>
      <c r="E99" s="5" t="s">
        <v>3396</v>
      </c>
      <c r="F99" s="20" t="n">
        <v>0.431998806953672</v>
      </c>
      <c r="G99" s="20" t="n">
        <v>4.04999635219554</v>
      </c>
      <c r="H99" s="20" t="n">
        <v>0</v>
      </c>
      <c r="I99" s="20" t="n">
        <v>0</v>
      </c>
      <c r="J99" s="20" t="n">
        <v>4.04999635219554</v>
      </c>
      <c r="K99" s="20"/>
      <c r="L99" s="20"/>
    </row>
    <row r="100" customFormat="false" ht="15" hidden="false" customHeight="false" outlineLevel="0" collapsed="false">
      <c r="A100" s="5" t="s">
        <v>3397</v>
      </c>
      <c r="B100" s="5" t="s">
        <v>227</v>
      </c>
      <c r="C100" s="5" t="s">
        <v>74</v>
      </c>
      <c r="D100" s="5" t="s">
        <v>3264</v>
      </c>
      <c r="E100" s="5" t="s">
        <v>3398</v>
      </c>
      <c r="F100" s="20" t="n">
        <v>0.449999871253997</v>
      </c>
      <c r="G100" s="20" t="n">
        <v>3.97499951124189</v>
      </c>
      <c r="H100" s="20" t="n">
        <v>0</v>
      </c>
      <c r="I100" s="20" t="n">
        <v>0</v>
      </c>
      <c r="J100" s="20" t="n">
        <v>3.97499951124189</v>
      </c>
      <c r="K100" s="20"/>
      <c r="L100" s="20"/>
    </row>
    <row r="101" customFormat="false" ht="15" hidden="false" customHeight="false" outlineLevel="0" collapsed="false">
      <c r="A101" s="5" t="s">
        <v>3399</v>
      </c>
      <c r="B101" s="5" t="s">
        <v>227</v>
      </c>
      <c r="C101" s="5" t="s">
        <v>74</v>
      </c>
      <c r="D101" s="5" t="s">
        <v>3264</v>
      </c>
      <c r="E101" s="5" t="s">
        <v>3400</v>
      </c>
      <c r="F101" s="20" t="n">
        <v>0.467999946713444</v>
      </c>
      <c r="G101" s="20" t="n">
        <v>4.338749759756</v>
      </c>
      <c r="H101" s="20" t="n">
        <v>0</v>
      </c>
      <c r="I101" s="20" t="n">
        <v>0</v>
      </c>
      <c r="J101" s="20" t="n">
        <v>4.338749759756</v>
      </c>
      <c r="K101" s="20"/>
      <c r="L101" s="20"/>
    </row>
    <row r="102" customFormat="false" ht="15" hidden="false" customHeight="false" outlineLevel="0" collapsed="false">
      <c r="A102" s="5" t="s">
        <v>3401</v>
      </c>
      <c r="B102" s="5" t="s">
        <v>227</v>
      </c>
      <c r="C102" s="5" t="s">
        <v>74</v>
      </c>
      <c r="D102" s="5" t="s">
        <v>3264</v>
      </c>
      <c r="E102" s="5" t="s">
        <v>3402</v>
      </c>
      <c r="F102" s="20" t="n">
        <v>0.467999574780444</v>
      </c>
      <c r="G102" s="20" t="n">
        <v>4.28999747898414</v>
      </c>
      <c r="H102" s="20" t="n">
        <v>0</v>
      </c>
      <c r="I102" s="20" t="n">
        <v>0</v>
      </c>
      <c r="J102" s="20" t="n">
        <v>4.28999747898414</v>
      </c>
      <c r="K102" s="20"/>
      <c r="L102" s="20"/>
    </row>
    <row r="103" customFormat="false" ht="15" hidden="false" customHeight="false" outlineLevel="0" collapsed="false">
      <c r="A103" s="5" t="s">
        <v>3403</v>
      </c>
      <c r="B103" s="5" t="s">
        <v>227</v>
      </c>
      <c r="C103" s="5" t="s">
        <v>74</v>
      </c>
      <c r="D103" s="5" t="s">
        <v>3264</v>
      </c>
      <c r="E103" s="5" t="s">
        <v>3404</v>
      </c>
      <c r="F103" s="20" t="n">
        <v>0.431998806953674</v>
      </c>
      <c r="G103" s="20" t="n">
        <v>4.04999635219554</v>
      </c>
      <c r="H103" s="20" t="n">
        <v>0</v>
      </c>
      <c r="I103" s="20" t="n">
        <v>0</v>
      </c>
      <c r="J103" s="20" t="n">
        <v>4.04999635219554</v>
      </c>
      <c r="K103" s="20"/>
      <c r="L103" s="20"/>
    </row>
    <row r="104" customFormat="false" ht="15" hidden="false" customHeight="false" outlineLevel="0" collapsed="false">
      <c r="A104" s="5" t="s">
        <v>3405</v>
      </c>
      <c r="B104" s="5" t="s">
        <v>227</v>
      </c>
      <c r="C104" s="5" t="s">
        <v>74</v>
      </c>
      <c r="D104" s="5" t="s">
        <v>3267</v>
      </c>
      <c r="E104" s="5" t="s">
        <v>3406</v>
      </c>
      <c r="F104" s="20" t="n">
        <v>0.431999836921711</v>
      </c>
      <c r="G104" s="20" t="n">
        <v>3.95999945640563</v>
      </c>
      <c r="H104" s="20" t="n">
        <v>0</v>
      </c>
      <c r="I104" s="20" t="n">
        <v>0</v>
      </c>
      <c r="J104" s="20" t="n">
        <v>3.95999945640563</v>
      </c>
      <c r="K104" s="20"/>
      <c r="L104" s="20"/>
    </row>
    <row r="105" customFormat="false" ht="15" hidden="false" customHeight="false" outlineLevel="0" collapsed="false">
      <c r="A105" s="5" t="s">
        <v>3407</v>
      </c>
      <c r="B105" s="5" t="s">
        <v>227</v>
      </c>
      <c r="C105" s="5" t="s">
        <v>74</v>
      </c>
      <c r="D105" s="5" t="s">
        <v>3264</v>
      </c>
      <c r="E105" s="5" t="s">
        <v>3408</v>
      </c>
      <c r="F105" s="20" t="n">
        <v>0.431999836921711</v>
      </c>
      <c r="G105" s="20" t="n">
        <v>3.95999945640563</v>
      </c>
      <c r="H105" s="20" t="n">
        <v>0</v>
      </c>
      <c r="I105" s="20" t="n">
        <v>0</v>
      </c>
      <c r="J105" s="20" t="n">
        <v>3.95999945640563</v>
      </c>
      <c r="K105" s="20"/>
      <c r="L105" s="20"/>
    </row>
    <row r="106" customFormat="false" ht="15" hidden="false" customHeight="false" outlineLevel="0" collapsed="false">
      <c r="A106" s="5" t="s">
        <v>3409</v>
      </c>
      <c r="B106" s="5" t="s">
        <v>227</v>
      </c>
      <c r="C106" s="5" t="s">
        <v>74</v>
      </c>
      <c r="D106" s="5" t="s">
        <v>3286</v>
      </c>
      <c r="E106" s="5" t="s">
        <v>3410</v>
      </c>
      <c r="F106" s="20" t="n">
        <v>0.701999001860579</v>
      </c>
      <c r="G106" s="20" t="n">
        <v>5.70374775459976</v>
      </c>
      <c r="H106" s="20" t="n">
        <v>0</v>
      </c>
      <c r="I106" s="20" t="n">
        <v>0</v>
      </c>
      <c r="J106" s="20" t="n">
        <v>5.70374775459976</v>
      </c>
      <c r="K106" s="20"/>
      <c r="L106" s="20"/>
    </row>
    <row r="107" customFormat="false" ht="15" hidden="false" customHeight="false" outlineLevel="0" collapsed="false">
      <c r="A107" s="5" t="s">
        <v>3411</v>
      </c>
      <c r="B107" s="5" t="s">
        <v>227</v>
      </c>
      <c r="C107" s="5" t="s">
        <v>74</v>
      </c>
      <c r="D107" s="5" t="s">
        <v>3286</v>
      </c>
      <c r="E107" s="5" t="s">
        <v>3412</v>
      </c>
      <c r="F107" s="20" t="n">
        <v>0.701997955799745</v>
      </c>
      <c r="G107" s="20" t="n">
        <v>5.82562003597588</v>
      </c>
      <c r="H107" s="20" t="n">
        <v>0</v>
      </c>
      <c r="I107" s="20" t="n">
        <v>0</v>
      </c>
      <c r="J107" s="20" t="n">
        <v>5.82562003597588</v>
      </c>
      <c r="K107" s="20"/>
      <c r="L107" s="20"/>
    </row>
    <row r="108" customFormat="false" ht="15" hidden="false" customHeight="false" outlineLevel="0" collapsed="false">
      <c r="A108" s="5" t="s">
        <v>3413</v>
      </c>
      <c r="B108" s="5" t="s">
        <v>227</v>
      </c>
      <c r="C108" s="5" t="s">
        <v>74</v>
      </c>
      <c r="D108" s="5" t="s">
        <v>3286</v>
      </c>
      <c r="E108" s="5" t="s">
        <v>3414</v>
      </c>
      <c r="F108" s="20" t="n">
        <v>0.701999931693071</v>
      </c>
      <c r="G108" s="20" t="n">
        <v>5.49656232769599</v>
      </c>
      <c r="H108" s="20" t="n">
        <v>0</v>
      </c>
      <c r="I108" s="20" t="n">
        <v>0</v>
      </c>
      <c r="J108" s="20" t="n">
        <v>5.49656232769599</v>
      </c>
      <c r="K108" s="20"/>
      <c r="L108" s="20"/>
    </row>
    <row r="109" customFormat="false" ht="15" hidden="false" customHeight="false" outlineLevel="0" collapsed="false">
      <c r="A109" s="5" t="s">
        <v>3415</v>
      </c>
      <c r="B109" s="5" t="s">
        <v>227</v>
      </c>
      <c r="C109" s="5" t="s">
        <v>74</v>
      </c>
      <c r="D109" s="5" t="s">
        <v>3286</v>
      </c>
      <c r="E109" s="5" t="s">
        <v>3416</v>
      </c>
      <c r="F109" s="20" t="n">
        <v>0.701998885631661</v>
      </c>
      <c r="G109" s="20" t="n">
        <v>5.58187243431791</v>
      </c>
      <c r="H109" s="20" t="n">
        <v>0</v>
      </c>
      <c r="I109" s="20" t="n">
        <v>0</v>
      </c>
      <c r="J109" s="20" t="n">
        <v>5.58187243431791</v>
      </c>
      <c r="K109" s="20"/>
      <c r="L109" s="20"/>
    </row>
    <row r="110" customFormat="false" ht="15" hidden="false" customHeight="false" outlineLevel="0" collapsed="false">
      <c r="A110" s="5" t="s">
        <v>3417</v>
      </c>
      <c r="B110" s="5" t="s">
        <v>227</v>
      </c>
      <c r="C110" s="5" t="s">
        <v>77</v>
      </c>
      <c r="D110" s="5" t="s">
        <v>3326</v>
      </c>
      <c r="E110" s="5" t="s">
        <v>3418</v>
      </c>
      <c r="F110" s="20" t="n">
        <v>0.34438823702466</v>
      </c>
      <c r="G110" s="20" t="n">
        <v>0.635983502299035</v>
      </c>
      <c r="H110" s="20" t="n">
        <v>2.29592047717574</v>
      </c>
      <c r="I110" s="20" t="n">
        <v>0.251116317823943</v>
      </c>
      <c r="J110" s="20" t="n">
        <v>0.635983502299035</v>
      </c>
      <c r="K110" s="20"/>
      <c r="L110" s="20"/>
    </row>
    <row r="111" customFormat="false" ht="15" hidden="false" customHeight="false" outlineLevel="0" collapsed="false">
      <c r="A111" s="5" t="s">
        <v>3419</v>
      </c>
      <c r="B111" s="5" t="s">
        <v>227</v>
      </c>
      <c r="C111" s="5" t="s">
        <v>77</v>
      </c>
      <c r="D111" s="5" t="s">
        <v>3326</v>
      </c>
      <c r="E111" s="5" t="s">
        <v>3420</v>
      </c>
      <c r="F111" s="20" t="n">
        <v>0.34438802154255</v>
      </c>
      <c r="G111" s="20" t="n">
        <v>0.558591080072802</v>
      </c>
      <c r="H111" s="20" t="n">
        <v>2.29592085633866</v>
      </c>
      <c r="I111" s="20" t="n">
        <v>0.251116312396346</v>
      </c>
      <c r="J111" s="20" t="n">
        <v>0.558591080072802</v>
      </c>
      <c r="K111" s="20"/>
      <c r="L111" s="20"/>
    </row>
    <row r="112" customFormat="false" ht="15" hidden="false" customHeight="false" outlineLevel="0" collapsed="false">
      <c r="A112" s="5" t="s">
        <v>3421</v>
      </c>
      <c r="B112" s="5" t="s">
        <v>227</v>
      </c>
      <c r="C112" s="5" t="s">
        <v>77</v>
      </c>
      <c r="D112" s="5" t="s">
        <v>3326</v>
      </c>
      <c r="E112" s="5" t="s">
        <v>3422</v>
      </c>
      <c r="F112" s="20" t="n">
        <v>0.365475040379046</v>
      </c>
      <c r="G112" s="20" t="n">
        <v>0.645328456297467</v>
      </c>
      <c r="H112" s="20" t="n">
        <v>1.78930374758039</v>
      </c>
      <c r="I112" s="20" t="n">
        <v>2.43649872010947</v>
      </c>
      <c r="J112" s="20" t="n">
        <v>0.645328456297467</v>
      </c>
      <c r="K112" s="20"/>
      <c r="L112" s="20"/>
    </row>
    <row r="113" customFormat="false" ht="15" hidden="false" customHeight="false" outlineLevel="0" collapsed="false">
      <c r="A113" s="5" t="s">
        <v>3423</v>
      </c>
      <c r="B113" s="5" t="s">
        <v>227</v>
      </c>
      <c r="C113" s="5" t="s">
        <v>77</v>
      </c>
      <c r="D113" s="5" t="s">
        <v>3326</v>
      </c>
      <c r="E113" s="5" t="s">
        <v>3424</v>
      </c>
      <c r="F113" s="20" t="n">
        <v>0.3987003465057</v>
      </c>
      <c r="G113" s="20" t="n">
        <v>0.269953295251354</v>
      </c>
      <c r="H113" s="20" t="n">
        <v>1.6612503875792</v>
      </c>
      <c r="I113" s="20" t="n">
        <v>2.65800062012672</v>
      </c>
      <c r="J113" s="20" t="n">
        <v>0.269953295251354</v>
      </c>
      <c r="K113" s="20"/>
      <c r="L113" s="20"/>
    </row>
    <row r="114" customFormat="false" ht="15" hidden="false" customHeight="false" outlineLevel="0" collapsed="false">
      <c r="A114" s="5" t="s">
        <v>3425</v>
      </c>
      <c r="B114" s="5" t="s">
        <v>227</v>
      </c>
      <c r="C114" s="5" t="s">
        <v>77</v>
      </c>
      <c r="D114" s="5"/>
      <c r="E114" s="5" t="s">
        <v>3426</v>
      </c>
      <c r="F114" s="20" t="n">
        <v>0.194906085013416</v>
      </c>
      <c r="G114" s="20" t="n">
        <v>1.60562473546714</v>
      </c>
      <c r="H114" s="20" t="n">
        <v>0</v>
      </c>
      <c r="I114" s="20" t="n">
        <v>1.92499996349216</v>
      </c>
      <c r="J114" s="20" t="n">
        <v>1.60562473546714</v>
      </c>
      <c r="K114" s="20"/>
      <c r="L114" s="20"/>
    </row>
    <row r="115" customFormat="false" ht="15" hidden="false" customHeight="false" outlineLevel="0" collapsed="false">
      <c r="A115" s="5" t="s">
        <v>3427</v>
      </c>
      <c r="B115" s="5" t="s">
        <v>227</v>
      </c>
      <c r="C115" s="5" t="s">
        <v>77</v>
      </c>
      <c r="D115" s="5"/>
      <c r="E115" s="5" t="s">
        <v>3428</v>
      </c>
      <c r="F115" s="20" t="n">
        <v>0.194906322412194</v>
      </c>
      <c r="G115" s="20" t="n">
        <v>1.55490716732572</v>
      </c>
      <c r="H115" s="20" t="n">
        <v>0</v>
      </c>
      <c r="I115" s="20" t="n">
        <v>1.92500004172325</v>
      </c>
      <c r="J115" s="20" t="n">
        <v>1.55490716732572</v>
      </c>
      <c r="K115" s="20"/>
      <c r="L115" s="20"/>
    </row>
    <row r="116" customFormat="false" ht="15" hidden="false" customHeight="false" outlineLevel="0" collapsed="false">
      <c r="A116" s="5" t="s">
        <v>3429</v>
      </c>
      <c r="B116" s="5" t="s">
        <v>227</v>
      </c>
      <c r="C116" s="5" t="s">
        <v>77</v>
      </c>
      <c r="D116" s="5"/>
      <c r="E116" s="5" t="s">
        <v>3430</v>
      </c>
      <c r="F116" s="20" t="n">
        <v>0.112663061969951</v>
      </c>
      <c r="G116" s="20" t="n">
        <v>0.535576062650918</v>
      </c>
      <c r="H116" s="20" t="n">
        <v>0.330000203549858</v>
      </c>
      <c r="I116" s="20" t="n">
        <v>0.330000203549858</v>
      </c>
      <c r="J116" s="20" t="n">
        <v>0.535576062650918</v>
      </c>
      <c r="K116" s="20"/>
      <c r="L116" s="20"/>
    </row>
    <row r="117" customFormat="false" ht="15" hidden="false" customHeight="false" outlineLevel="0" collapsed="false">
      <c r="A117" s="5" t="s">
        <v>3431</v>
      </c>
      <c r="B117" s="5" t="s">
        <v>227</v>
      </c>
      <c r="C117" s="5" t="s">
        <v>77</v>
      </c>
      <c r="D117" s="5"/>
      <c r="E117" s="5" t="s">
        <v>3432</v>
      </c>
      <c r="F117" s="20" t="n">
        <v>0.0590380627636495</v>
      </c>
      <c r="G117" s="20" t="n">
        <v>0.103707933835248</v>
      </c>
      <c r="H117" s="20" t="n">
        <v>0.330000216960912</v>
      </c>
      <c r="I117" s="20" t="n">
        <v>0.330000216960912</v>
      </c>
      <c r="J117" s="20" t="n">
        <v>0.103707933835248</v>
      </c>
      <c r="K117" s="20"/>
      <c r="L117" s="20"/>
    </row>
    <row r="118" customFormat="false" ht="15" hidden="false" customHeight="false" outlineLevel="0" collapsed="false">
      <c r="A118" s="5" t="s">
        <v>3433</v>
      </c>
      <c r="B118" s="5" t="s">
        <v>227</v>
      </c>
      <c r="C118" s="5" t="s">
        <v>77</v>
      </c>
      <c r="D118" s="5"/>
      <c r="E118" s="5" t="s">
        <v>3434</v>
      </c>
      <c r="F118" s="20" t="n">
        <v>0.0631630025331148</v>
      </c>
      <c r="G118" s="20" t="n">
        <v>0.281123068561289</v>
      </c>
      <c r="H118" s="20" t="n">
        <v>0.330000216960912</v>
      </c>
      <c r="I118" s="20" t="n">
        <v>0</v>
      </c>
      <c r="J118" s="20" t="n">
        <v>0.281123068561289</v>
      </c>
      <c r="K118" s="20"/>
      <c r="L118" s="20"/>
    </row>
    <row r="119" customFormat="false" ht="15" hidden="false" customHeight="false" outlineLevel="0" collapsed="false">
      <c r="A119" s="5" t="s">
        <v>3435</v>
      </c>
      <c r="B119" s="5" t="s">
        <v>227</v>
      </c>
      <c r="C119" s="5" t="s">
        <v>76</v>
      </c>
      <c r="D119" s="5" t="s">
        <v>3345</v>
      </c>
      <c r="E119" s="5" t="s">
        <v>3436</v>
      </c>
      <c r="F119" s="20" t="n">
        <v>18.4725251510721</v>
      </c>
      <c r="G119" s="20" t="n">
        <v>6.92003668179376</v>
      </c>
      <c r="H119" s="20" t="n">
        <v>74.5240335650718</v>
      </c>
      <c r="I119" s="20" t="n">
        <v>90.0327120175927</v>
      </c>
      <c r="J119" s="20" t="n">
        <v>6.92003668179376</v>
      </c>
      <c r="K119" s="20" t="n">
        <v>92.362</v>
      </c>
      <c r="L119" s="20" t="n">
        <v>69.476</v>
      </c>
    </row>
    <row r="120" customFormat="false" ht="15" hidden="false" customHeight="false" outlineLevel="0" collapsed="false">
      <c r="A120" s="5" t="s">
        <v>3437</v>
      </c>
      <c r="B120" s="5" t="s">
        <v>227</v>
      </c>
      <c r="C120" s="5" t="s">
        <v>75</v>
      </c>
      <c r="D120" s="5" t="s">
        <v>3348</v>
      </c>
      <c r="E120" s="5" t="s">
        <v>3438</v>
      </c>
      <c r="F120" s="20" t="n">
        <v>0.260999095917344</v>
      </c>
      <c r="G120" s="20" t="n">
        <v>1.69921718537798</v>
      </c>
      <c r="H120" s="20" t="n">
        <v>0.734060657322327</v>
      </c>
      <c r="I120" s="20" t="n">
        <v>0</v>
      </c>
      <c r="J120" s="20" t="n">
        <v>1.69921718537798</v>
      </c>
      <c r="K120" s="20"/>
      <c r="L120" s="20"/>
    </row>
    <row r="121" customFormat="false" ht="15" hidden="false" customHeight="false" outlineLevel="0" collapsed="false">
      <c r="A121" s="5" t="s">
        <v>3439</v>
      </c>
      <c r="B121" s="5" t="s">
        <v>227</v>
      </c>
      <c r="C121" s="5" t="s">
        <v>75</v>
      </c>
      <c r="D121" s="5" t="s">
        <v>3348</v>
      </c>
      <c r="E121" s="5" t="s">
        <v>3440</v>
      </c>
      <c r="F121" s="20" t="n">
        <v>0.233999173164965</v>
      </c>
      <c r="G121" s="20" t="n">
        <v>1.55999845504766</v>
      </c>
      <c r="H121" s="20" t="n">
        <v>0.779997987747265</v>
      </c>
      <c r="I121" s="20" t="n">
        <v>0</v>
      </c>
      <c r="J121" s="20" t="n">
        <v>1.55999845504766</v>
      </c>
      <c r="K121" s="20"/>
      <c r="L121" s="20"/>
    </row>
    <row r="122" customFormat="false" ht="15" hidden="false" customHeight="false" outlineLevel="0" collapsed="false">
      <c r="A122" s="5" t="s">
        <v>3441</v>
      </c>
      <c r="B122" s="5" t="s">
        <v>227</v>
      </c>
      <c r="C122" s="5" t="s">
        <v>75</v>
      </c>
      <c r="D122" s="5" t="s">
        <v>3348</v>
      </c>
      <c r="E122" s="5" t="s">
        <v>3442</v>
      </c>
      <c r="F122" s="20" t="n">
        <v>0.296998978615467</v>
      </c>
      <c r="G122" s="20" t="n">
        <v>1.93359201773991</v>
      </c>
      <c r="H122" s="20" t="n">
        <v>0.850779135525102</v>
      </c>
      <c r="I122" s="20" t="n">
        <v>0</v>
      </c>
      <c r="J122" s="20" t="n">
        <v>1.93359201773991</v>
      </c>
      <c r="K122" s="20"/>
      <c r="L122" s="20"/>
    </row>
    <row r="123" customFormat="false" ht="15" hidden="false" customHeight="false" outlineLevel="0" collapsed="false">
      <c r="A123" s="5" t="s">
        <v>3443</v>
      </c>
      <c r="B123" s="5" t="s">
        <v>227</v>
      </c>
      <c r="C123" s="5" t="s">
        <v>75</v>
      </c>
      <c r="D123" s="5" t="s">
        <v>3348</v>
      </c>
      <c r="E123" s="5" t="s">
        <v>3444</v>
      </c>
      <c r="F123" s="20" t="n">
        <v>0.260999912202202</v>
      </c>
      <c r="G123" s="20" t="n">
        <v>1.73999830842021</v>
      </c>
      <c r="H123" s="20" t="n">
        <v>0.870000537037839</v>
      </c>
      <c r="I123" s="20" t="n">
        <v>0</v>
      </c>
      <c r="J123" s="20" t="n">
        <v>1.73999830842021</v>
      </c>
      <c r="K123" s="20"/>
      <c r="L123" s="20"/>
    </row>
    <row r="124" customFormat="false" ht="15" hidden="false" customHeight="false" outlineLevel="0" collapsed="false">
      <c r="A124" s="5" t="s">
        <v>3445</v>
      </c>
      <c r="B124" s="5" t="s">
        <v>227</v>
      </c>
      <c r="C124" s="5" t="s">
        <v>75</v>
      </c>
      <c r="D124" s="5" t="s">
        <v>3348</v>
      </c>
      <c r="E124" s="5" t="s">
        <v>3446</v>
      </c>
      <c r="F124" s="20" t="n">
        <v>0.260999925613242</v>
      </c>
      <c r="G124" s="20" t="n">
        <v>1.73999839782709</v>
      </c>
      <c r="H124" s="20" t="n">
        <v>0.870000581741351</v>
      </c>
      <c r="I124" s="20" t="n">
        <v>0</v>
      </c>
      <c r="J124" s="20" t="n">
        <v>1.73999839782709</v>
      </c>
      <c r="K124" s="20"/>
      <c r="L124" s="20"/>
    </row>
    <row r="125" customFormat="false" ht="15" hidden="false" customHeight="false" outlineLevel="0" collapsed="false">
      <c r="A125" s="5" t="s">
        <v>3447</v>
      </c>
      <c r="B125" s="5" t="s">
        <v>227</v>
      </c>
      <c r="C125" s="5" t="s">
        <v>75</v>
      </c>
      <c r="D125" s="5" t="s">
        <v>3348</v>
      </c>
      <c r="E125" s="5" t="s">
        <v>3448</v>
      </c>
      <c r="F125" s="20" t="n">
        <v>0.296999922752195</v>
      </c>
      <c r="G125" s="20" t="n">
        <v>1.97999822616566</v>
      </c>
      <c r="H125" s="20" t="n">
        <v>0.990000686645544</v>
      </c>
      <c r="I125" s="20" t="n">
        <v>0</v>
      </c>
      <c r="J125" s="20" t="n">
        <v>1.97999822616566</v>
      </c>
      <c r="K125" s="20"/>
      <c r="L125" s="20"/>
    </row>
    <row r="126" customFormat="false" ht="15" hidden="false" customHeight="false" outlineLevel="0" collapsed="false">
      <c r="A126" s="5" t="s">
        <v>3449</v>
      </c>
      <c r="B126" s="5" t="s">
        <v>227</v>
      </c>
      <c r="C126" s="5" t="s">
        <v>75</v>
      </c>
      <c r="D126" s="5" t="s">
        <v>3348</v>
      </c>
      <c r="E126" s="5" t="s">
        <v>3450</v>
      </c>
      <c r="F126" s="20" t="n">
        <v>0.260999718189263</v>
      </c>
      <c r="G126" s="20" t="n">
        <v>1.65843597292891</v>
      </c>
      <c r="H126" s="20" t="n">
        <v>0.734062407463766</v>
      </c>
      <c r="I126" s="20" t="n">
        <v>0</v>
      </c>
      <c r="J126" s="20" t="n">
        <v>1.65843597292891</v>
      </c>
      <c r="K126" s="20"/>
      <c r="L126" s="20"/>
    </row>
    <row r="127" customFormat="false" ht="15" hidden="false" customHeight="false" outlineLevel="0" collapsed="false">
      <c r="A127" s="5" t="s">
        <v>3451</v>
      </c>
      <c r="B127" s="5" t="s">
        <v>227</v>
      </c>
      <c r="C127" s="5" t="s">
        <v>75</v>
      </c>
      <c r="D127" s="5" t="s">
        <v>3348</v>
      </c>
      <c r="E127" s="5" t="s">
        <v>3452</v>
      </c>
      <c r="F127" s="20" t="n">
        <v>0.233999731063888</v>
      </c>
      <c r="G127" s="20" t="n">
        <v>1.55999845504766</v>
      </c>
      <c r="H127" s="20" t="n">
        <v>0.779999847412114</v>
      </c>
      <c r="I127" s="20" t="n">
        <v>0</v>
      </c>
      <c r="J127" s="20" t="n">
        <v>1.55999845504766</v>
      </c>
      <c r="K127" s="20"/>
      <c r="L127" s="20"/>
    </row>
    <row r="128" customFormat="false" ht="15" hidden="false" customHeight="false" outlineLevel="0" collapsed="false">
      <c r="A128" s="5" t="s">
        <v>3453</v>
      </c>
      <c r="B128" s="5" t="s">
        <v>227</v>
      </c>
      <c r="C128" s="5" t="s">
        <v>75</v>
      </c>
      <c r="D128" s="5" t="s">
        <v>3348</v>
      </c>
      <c r="E128" s="5" t="s">
        <v>3454</v>
      </c>
      <c r="F128" s="20" t="n">
        <v>0.395999897003302</v>
      </c>
      <c r="G128" s="20" t="n">
        <v>2.26186080311653</v>
      </c>
      <c r="H128" s="20" t="n">
        <v>0.850781163945786</v>
      </c>
      <c r="I128" s="20" t="n">
        <v>0.425390920043007</v>
      </c>
      <c r="J128" s="20" t="n">
        <v>2.26186080311653</v>
      </c>
      <c r="K128" s="20"/>
      <c r="L128" s="20"/>
    </row>
    <row r="129" customFormat="false" ht="15" hidden="false" customHeight="false" outlineLevel="0" collapsed="false">
      <c r="A129" s="5" t="s">
        <v>3455</v>
      </c>
      <c r="B129" s="5" t="s">
        <v>227</v>
      </c>
      <c r="C129" s="5" t="s">
        <v>75</v>
      </c>
      <c r="D129" s="5" t="s">
        <v>3348</v>
      </c>
      <c r="E129" s="5" t="s">
        <v>3456</v>
      </c>
      <c r="F129" s="20" t="n">
        <v>0.303749765306664</v>
      </c>
      <c r="G129" s="20" t="n">
        <v>2.02499835491153</v>
      </c>
      <c r="H129" s="20" t="n">
        <v>0.898467600267257</v>
      </c>
      <c r="I129" s="20" t="n">
        <v>0</v>
      </c>
      <c r="J129" s="20" t="n">
        <v>2.02499835491153</v>
      </c>
      <c r="K129" s="20"/>
      <c r="L129" s="20"/>
    </row>
    <row r="130" customFormat="false" ht="15" hidden="false" customHeight="false" outlineLevel="0" collapsed="false">
      <c r="A130" s="5" t="s">
        <v>3457</v>
      </c>
      <c r="B130" s="5" t="s">
        <v>227</v>
      </c>
      <c r="C130" s="5" t="s">
        <v>75</v>
      </c>
      <c r="D130" s="5" t="s">
        <v>3348</v>
      </c>
      <c r="E130" s="5" t="s">
        <v>3458</v>
      </c>
      <c r="F130" s="20" t="n">
        <v>0.445499586403365</v>
      </c>
      <c r="G130" s="20" t="n">
        <v>3.05999704241756</v>
      </c>
      <c r="H130" s="20" t="n">
        <v>1.34852237410327</v>
      </c>
      <c r="I130" s="20" t="n">
        <v>0</v>
      </c>
      <c r="J130" s="20" t="n">
        <v>3.05999704241756</v>
      </c>
      <c r="K130" s="20"/>
      <c r="L130" s="20"/>
    </row>
    <row r="131" customFormat="false" ht="15" hidden="false" customHeight="false" outlineLevel="0" collapsed="false">
      <c r="A131" s="5" t="s">
        <v>3459</v>
      </c>
      <c r="B131" s="5" t="s">
        <v>227</v>
      </c>
      <c r="C131" s="5" t="s">
        <v>75</v>
      </c>
      <c r="D131" s="5" t="s">
        <v>3348</v>
      </c>
      <c r="E131" s="5" t="s">
        <v>3460</v>
      </c>
      <c r="F131" s="20" t="n">
        <v>0.29699972963331</v>
      </c>
      <c r="G131" s="20" t="n">
        <v>1.97999851226768</v>
      </c>
      <c r="H131" s="20" t="n">
        <v>0.990000042915312</v>
      </c>
      <c r="I131" s="20" t="n">
        <v>0</v>
      </c>
      <c r="J131" s="20" t="n">
        <v>1.97999851226768</v>
      </c>
      <c r="K131" s="20"/>
      <c r="L131" s="20"/>
    </row>
    <row r="132" customFormat="false" ht="15" hidden="false" customHeight="false" outlineLevel="0" collapsed="false">
      <c r="A132" s="5" t="s">
        <v>3461</v>
      </c>
      <c r="B132" s="5" t="s">
        <v>227</v>
      </c>
      <c r="C132" s="5" t="s">
        <v>75</v>
      </c>
      <c r="D132" s="5" t="s">
        <v>3348</v>
      </c>
      <c r="E132" s="5" t="s">
        <v>3462</v>
      </c>
      <c r="F132" s="20" t="n">
        <v>0.431999515056681</v>
      </c>
      <c r="G132" s="20" t="n">
        <v>2.96999712467198</v>
      </c>
      <c r="H132" s="20" t="n">
        <v>1.43999975681305</v>
      </c>
      <c r="I132" s="20" t="n">
        <v>0</v>
      </c>
      <c r="J132" s="20" t="n">
        <v>2.96999712467198</v>
      </c>
      <c r="K132" s="20"/>
      <c r="L132" s="20"/>
    </row>
    <row r="133" customFormat="false" ht="15" hidden="false" customHeight="false" outlineLevel="0" collapsed="false">
      <c r="A133" s="5" t="s">
        <v>3463</v>
      </c>
      <c r="B133" s="5" t="s">
        <v>227</v>
      </c>
      <c r="C133" s="5" t="s">
        <v>75</v>
      </c>
      <c r="D133" s="5" t="s">
        <v>3348</v>
      </c>
      <c r="E133" s="5" t="s">
        <v>3464</v>
      </c>
      <c r="F133" s="20" t="n">
        <v>0.296999965667525</v>
      </c>
      <c r="G133" s="20" t="n">
        <v>1.97999851226768</v>
      </c>
      <c r="H133" s="20" t="n">
        <v>0.990000829696783</v>
      </c>
      <c r="I133" s="20" t="n">
        <v>0</v>
      </c>
      <c r="J133" s="20" t="n">
        <v>1.97999851226768</v>
      </c>
      <c r="K133" s="20"/>
      <c r="L133" s="20"/>
    </row>
    <row r="134" customFormat="false" ht="15" hidden="false" customHeight="false" outlineLevel="0" collapsed="false">
      <c r="A134" s="5" t="s">
        <v>3465</v>
      </c>
      <c r="B134" s="5" t="s">
        <v>227</v>
      </c>
      <c r="C134" s="5" t="s">
        <v>75</v>
      </c>
      <c r="D134" s="5" t="s">
        <v>3348</v>
      </c>
      <c r="E134" s="5" t="s">
        <v>3466</v>
      </c>
      <c r="F134" s="20" t="n">
        <v>0.296999901294529</v>
      </c>
      <c r="G134" s="20" t="n">
        <v>1.97999808311465</v>
      </c>
      <c r="H134" s="20" t="n">
        <v>0.990000615119925</v>
      </c>
      <c r="I134" s="20" t="n">
        <v>0</v>
      </c>
      <c r="J134" s="20" t="n">
        <v>1.97999808311465</v>
      </c>
      <c r="K134" s="20"/>
      <c r="L134" s="20"/>
    </row>
    <row r="135" customFormat="false" ht="15" hidden="false" customHeight="false" outlineLevel="0" collapsed="false">
      <c r="A135" s="5" t="s">
        <v>3467</v>
      </c>
      <c r="B135" s="5" t="s">
        <v>227</v>
      </c>
      <c r="C135" s="5" t="s">
        <v>75</v>
      </c>
      <c r="D135" s="5" t="s">
        <v>3348</v>
      </c>
      <c r="E135" s="5" t="s">
        <v>3468</v>
      </c>
      <c r="F135" s="20" t="n">
        <v>0.303748980761161</v>
      </c>
      <c r="G135" s="20" t="n">
        <v>2.02499835491153</v>
      </c>
      <c r="H135" s="20" t="n">
        <v>0.898465279644188</v>
      </c>
      <c r="I135" s="20" t="n">
        <v>0</v>
      </c>
      <c r="J135" s="20" t="n">
        <v>2.02499835491153</v>
      </c>
      <c r="K135" s="20"/>
      <c r="L135" s="20"/>
    </row>
    <row r="136" customFormat="false" ht="15" hidden="false" customHeight="false" outlineLevel="0" collapsed="false">
      <c r="A136" s="5" t="s">
        <v>3469</v>
      </c>
      <c r="B136" s="5" t="s">
        <v>227</v>
      </c>
      <c r="C136" s="5" t="s">
        <v>75</v>
      </c>
      <c r="D136" s="5" t="s">
        <v>3348</v>
      </c>
      <c r="E136" s="5" t="s">
        <v>3470</v>
      </c>
      <c r="F136" s="20" t="n">
        <v>0.303748927117168</v>
      </c>
      <c r="G136" s="20" t="n">
        <v>2.024997997284</v>
      </c>
      <c r="H136" s="20" t="n">
        <v>0.898465100970406</v>
      </c>
      <c r="I136" s="20" t="n">
        <v>0</v>
      </c>
      <c r="J136" s="20" t="n">
        <v>2.024997997284</v>
      </c>
      <c r="K136" s="20"/>
      <c r="L136" s="20"/>
    </row>
    <row r="137" customFormat="false" ht="15" hidden="false" customHeight="false" outlineLevel="0" collapsed="false">
      <c r="A137" s="5" t="s">
        <v>3471</v>
      </c>
      <c r="B137" s="5" t="s">
        <v>227</v>
      </c>
      <c r="C137" s="5" t="s">
        <v>75</v>
      </c>
      <c r="D137" s="5" t="s">
        <v>3348</v>
      </c>
      <c r="E137" s="5" t="s">
        <v>3472</v>
      </c>
      <c r="F137" s="20" t="n">
        <v>0.232575083306391</v>
      </c>
      <c r="G137" s="20" t="n">
        <v>1.55049956959486</v>
      </c>
      <c r="H137" s="20" t="n">
        <v>0.664500419080255</v>
      </c>
      <c r="I137" s="20" t="n">
        <v>0</v>
      </c>
      <c r="J137" s="20" t="n">
        <v>1.55049956959486</v>
      </c>
      <c r="K137" s="20"/>
      <c r="L137" s="20"/>
    </row>
    <row r="138" customFormat="false" ht="15" hidden="false" customHeight="false" outlineLevel="0" collapsed="false">
      <c r="A138" s="5" t="s">
        <v>3473</v>
      </c>
      <c r="B138" s="5" t="s">
        <v>227</v>
      </c>
      <c r="C138" s="5" t="s">
        <v>75</v>
      </c>
      <c r="D138" s="5" t="s">
        <v>3348</v>
      </c>
      <c r="E138" s="5" t="s">
        <v>3474</v>
      </c>
      <c r="F138" s="20" t="n">
        <v>0.343499131888137</v>
      </c>
      <c r="G138" s="20" t="n">
        <v>2.29000003635883</v>
      </c>
      <c r="H138" s="20" t="n">
        <v>0.663623071498549</v>
      </c>
      <c r="I138" s="20" t="n">
        <v>0.663623071498549</v>
      </c>
      <c r="J138" s="20" t="n">
        <v>2.29000003635883</v>
      </c>
      <c r="K138" s="20"/>
      <c r="L138" s="20"/>
    </row>
    <row r="139" customFormat="false" ht="15" hidden="false" customHeight="false" outlineLevel="0" collapsed="false">
      <c r="A139" s="5" t="s">
        <v>3475</v>
      </c>
      <c r="B139" s="5" t="s">
        <v>227</v>
      </c>
      <c r="C139" s="5" t="s">
        <v>75</v>
      </c>
      <c r="D139" s="5" t="s">
        <v>3387</v>
      </c>
      <c r="E139" s="5" t="s">
        <v>3476</v>
      </c>
      <c r="F139" s="20" t="n">
        <v>0.427500052973628</v>
      </c>
      <c r="G139" s="20" t="n">
        <v>2.73675878916401</v>
      </c>
      <c r="H139" s="20" t="n">
        <v>0.855000105947255</v>
      </c>
      <c r="I139" s="20" t="n">
        <v>0.855000105947255</v>
      </c>
      <c r="J139" s="20" t="n">
        <v>2.73675878916401</v>
      </c>
      <c r="K139" s="20"/>
      <c r="L139" s="20"/>
    </row>
    <row r="140" customFormat="false" ht="15" hidden="false" customHeight="false" outlineLevel="0" collapsed="false">
      <c r="A140" s="5" t="s">
        <v>3477</v>
      </c>
      <c r="B140" s="5" t="s">
        <v>229</v>
      </c>
      <c r="C140" s="5" t="s">
        <v>74</v>
      </c>
      <c r="D140" s="5" t="s">
        <v>3264</v>
      </c>
      <c r="E140" s="5" t="s">
        <v>3478</v>
      </c>
      <c r="F140" s="20" t="n">
        <v>0.431998764038446</v>
      </c>
      <c r="G140" s="20" t="n">
        <v>4.0499959230425</v>
      </c>
      <c r="H140" s="20" t="n">
        <v>0</v>
      </c>
      <c r="I140" s="20" t="n">
        <v>0</v>
      </c>
      <c r="J140" s="20" t="n">
        <v>4.0499959230425</v>
      </c>
      <c r="K140" s="20"/>
      <c r="L140" s="20"/>
    </row>
    <row r="141" customFormat="false" ht="15" hidden="false" customHeight="false" outlineLevel="0" collapsed="false">
      <c r="A141" s="5" t="s">
        <v>3479</v>
      </c>
      <c r="B141" s="5" t="s">
        <v>229</v>
      </c>
      <c r="C141" s="5" t="s">
        <v>74</v>
      </c>
      <c r="D141" s="5" t="s">
        <v>3267</v>
      </c>
      <c r="E141" s="5" t="s">
        <v>3480</v>
      </c>
      <c r="F141" s="20" t="n">
        <v>0.431999879837042</v>
      </c>
      <c r="G141" s="20" t="n">
        <v>4.04999917745596</v>
      </c>
      <c r="H141" s="20" t="n">
        <v>0</v>
      </c>
      <c r="I141" s="20" t="n">
        <v>0</v>
      </c>
      <c r="J141" s="20" t="n">
        <v>4.04999917745596</v>
      </c>
      <c r="K141" s="20"/>
      <c r="L141" s="20"/>
    </row>
    <row r="142" customFormat="false" ht="15" hidden="false" customHeight="false" outlineLevel="0" collapsed="false">
      <c r="A142" s="5" t="s">
        <v>3481</v>
      </c>
      <c r="B142" s="5" t="s">
        <v>229</v>
      </c>
      <c r="C142" s="5" t="s">
        <v>74</v>
      </c>
      <c r="D142" s="5" t="s">
        <v>3267</v>
      </c>
      <c r="E142" s="5" t="s">
        <v>3482</v>
      </c>
      <c r="F142" s="20" t="n">
        <v>0.432000137329026</v>
      </c>
      <c r="G142" s="20" t="n">
        <v>3.96000002861024</v>
      </c>
      <c r="H142" s="20" t="n">
        <v>0</v>
      </c>
      <c r="I142" s="20" t="n">
        <v>0</v>
      </c>
      <c r="J142" s="20" t="n">
        <v>3.96000002861024</v>
      </c>
      <c r="K142" s="20"/>
      <c r="L142" s="20"/>
    </row>
    <row r="143" customFormat="false" ht="15" hidden="false" customHeight="false" outlineLevel="0" collapsed="false">
      <c r="A143" s="5" t="s">
        <v>3483</v>
      </c>
      <c r="B143" s="5" t="s">
        <v>229</v>
      </c>
      <c r="C143" s="5" t="s">
        <v>74</v>
      </c>
      <c r="D143" s="5" t="s">
        <v>3267</v>
      </c>
      <c r="E143" s="5" t="s">
        <v>3484</v>
      </c>
      <c r="F143" s="20" t="n">
        <v>0.431998764038444</v>
      </c>
      <c r="G143" s="20" t="n">
        <v>4.0499959230425</v>
      </c>
      <c r="H143" s="20" t="n">
        <v>0</v>
      </c>
      <c r="I143" s="20" t="n">
        <v>0</v>
      </c>
      <c r="J143" s="20" t="n">
        <v>4.0499959230425</v>
      </c>
      <c r="K143" s="20"/>
      <c r="L143" s="20"/>
    </row>
    <row r="144" customFormat="false" ht="15" hidden="false" customHeight="false" outlineLevel="0" collapsed="false">
      <c r="A144" s="5" t="s">
        <v>3485</v>
      </c>
      <c r="B144" s="5" t="s">
        <v>229</v>
      </c>
      <c r="C144" s="5" t="s">
        <v>74</v>
      </c>
      <c r="D144" s="5" t="s">
        <v>3264</v>
      </c>
      <c r="E144" s="5" t="s">
        <v>3486</v>
      </c>
      <c r="F144" s="20" t="n">
        <v>0.449999785423301</v>
      </c>
      <c r="G144" s="20" t="n">
        <v>3.97499908208852</v>
      </c>
      <c r="H144" s="20" t="n">
        <v>0</v>
      </c>
      <c r="I144" s="20" t="n">
        <v>0</v>
      </c>
      <c r="J144" s="20" t="n">
        <v>3.97499908208852</v>
      </c>
      <c r="K144" s="20"/>
      <c r="L144" s="20"/>
    </row>
    <row r="145" customFormat="false" ht="15" hidden="false" customHeight="false" outlineLevel="0" collapsed="false">
      <c r="A145" s="5" t="s">
        <v>3487</v>
      </c>
      <c r="B145" s="5" t="s">
        <v>229</v>
      </c>
      <c r="C145" s="5" t="s">
        <v>74</v>
      </c>
      <c r="D145" s="5" t="s">
        <v>3264</v>
      </c>
      <c r="E145" s="5" t="s">
        <v>3488</v>
      </c>
      <c r="F145" s="20" t="n">
        <v>0.467999817967433</v>
      </c>
      <c r="G145" s="20" t="n">
        <v>4.33874856617312</v>
      </c>
      <c r="H145" s="20" t="n">
        <v>0</v>
      </c>
      <c r="I145" s="20" t="n">
        <v>0</v>
      </c>
      <c r="J145" s="20" t="n">
        <v>4.33874856617312</v>
      </c>
      <c r="K145" s="20"/>
      <c r="L145" s="20"/>
    </row>
    <row r="146" customFormat="false" ht="15" hidden="false" customHeight="false" outlineLevel="0" collapsed="false">
      <c r="A146" s="5" t="s">
        <v>3489</v>
      </c>
      <c r="B146" s="5" t="s">
        <v>229</v>
      </c>
      <c r="C146" s="5" t="s">
        <v>74</v>
      </c>
      <c r="D146" s="5" t="s">
        <v>3264</v>
      </c>
      <c r="E146" s="5" t="s">
        <v>3490</v>
      </c>
      <c r="F146" s="20" t="n">
        <v>0.467999446034535</v>
      </c>
      <c r="G146" s="20" t="n">
        <v>4.28999629881294</v>
      </c>
      <c r="H146" s="20" t="n">
        <v>0</v>
      </c>
      <c r="I146" s="20" t="n">
        <v>0</v>
      </c>
      <c r="J146" s="20" t="n">
        <v>4.28999629881294</v>
      </c>
      <c r="K146" s="20"/>
      <c r="L146" s="20"/>
    </row>
    <row r="147" customFormat="false" ht="15" hidden="false" customHeight="false" outlineLevel="0" collapsed="false">
      <c r="A147" s="5" t="s">
        <v>3491</v>
      </c>
      <c r="B147" s="5" t="s">
        <v>229</v>
      </c>
      <c r="C147" s="5" t="s">
        <v>74</v>
      </c>
      <c r="D147" s="5" t="s">
        <v>3264</v>
      </c>
      <c r="E147" s="5" t="s">
        <v>3492</v>
      </c>
      <c r="F147" s="20" t="n">
        <v>0.431998764038446</v>
      </c>
      <c r="G147" s="20" t="n">
        <v>4.0499959230425</v>
      </c>
      <c r="H147" s="20" t="n">
        <v>0</v>
      </c>
      <c r="I147" s="20" t="n">
        <v>0</v>
      </c>
      <c r="J147" s="20" t="n">
        <v>4.0499959230425</v>
      </c>
      <c r="K147" s="20"/>
      <c r="L147" s="20"/>
    </row>
    <row r="148" customFormat="false" ht="15" hidden="false" customHeight="false" outlineLevel="0" collapsed="false">
      <c r="A148" s="5" t="s">
        <v>3493</v>
      </c>
      <c r="B148" s="5" t="s">
        <v>229</v>
      </c>
      <c r="C148" s="5" t="s">
        <v>74</v>
      </c>
      <c r="D148" s="5" t="s">
        <v>3267</v>
      </c>
      <c r="E148" s="5" t="s">
        <v>3494</v>
      </c>
      <c r="F148" s="20" t="n">
        <v>0.43199979400638</v>
      </c>
      <c r="G148" s="20" t="n">
        <v>3.95999902725225</v>
      </c>
      <c r="H148" s="20" t="n">
        <v>0</v>
      </c>
      <c r="I148" s="20" t="n">
        <v>0</v>
      </c>
      <c r="J148" s="20" t="n">
        <v>3.95999902725225</v>
      </c>
      <c r="K148" s="20"/>
      <c r="L148" s="20"/>
    </row>
    <row r="149" customFormat="false" ht="15" hidden="false" customHeight="false" outlineLevel="0" collapsed="false">
      <c r="A149" s="5" t="s">
        <v>3495</v>
      </c>
      <c r="B149" s="5" t="s">
        <v>229</v>
      </c>
      <c r="C149" s="5" t="s">
        <v>74</v>
      </c>
      <c r="D149" s="5" t="s">
        <v>3264</v>
      </c>
      <c r="E149" s="5" t="s">
        <v>3496</v>
      </c>
      <c r="F149" s="20" t="n">
        <v>0.43199979400638</v>
      </c>
      <c r="G149" s="20" t="n">
        <v>3.95999902725225</v>
      </c>
      <c r="H149" s="20" t="n">
        <v>0</v>
      </c>
      <c r="I149" s="20" t="n">
        <v>0</v>
      </c>
      <c r="J149" s="20" t="n">
        <v>3.95999902725225</v>
      </c>
      <c r="K149" s="20"/>
      <c r="L149" s="20"/>
    </row>
    <row r="150" customFormat="false" ht="15" hidden="false" customHeight="false" outlineLevel="0" collapsed="false">
      <c r="A150" s="5" t="s">
        <v>3497</v>
      </c>
      <c r="B150" s="5" t="s">
        <v>229</v>
      </c>
      <c r="C150" s="5" t="s">
        <v>74</v>
      </c>
      <c r="D150" s="5" t="s">
        <v>3286</v>
      </c>
      <c r="E150" s="5" t="s">
        <v>3498</v>
      </c>
      <c r="F150" s="20" t="n">
        <v>0.701998808741815</v>
      </c>
      <c r="G150" s="20" t="n">
        <v>5.70374618550819</v>
      </c>
      <c r="H150" s="20" t="n">
        <v>0</v>
      </c>
      <c r="I150" s="20" t="n">
        <v>0</v>
      </c>
      <c r="J150" s="20" t="n">
        <v>5.70374618550819</v>
      </c>
      <c r="K150" s="20"/>
      <c r="L150" s="20"/>
    </row>
    <row r="151" customFormat="false" ht="15" hidden="false" customHeight="false" outlineLevel="0" collapsed="false">
      <c r="A151" s="5" t="s">
        <v>3499</v>
      </c>
      <c r="B151" s="5" t="s">
        <v>229</v>
      </c>
      <c r="C151" s="5" t="s">
        <v>74</v>
      </c>
      <c r="D151" s="5" t="s">
        <v>3286</v>
      </c>
      <c r="E151" s="5" t="s">
        <v>3500</v>
      </c>
      <c r="F151" s="20" t="n">
        <v>0.701997762681269</v>
      </c>
      <c r="G151" s="20" t="n">
        <v>5.82561843335745</v>
      </c>
      <c r="H151" s="20" t="n">
        <v>0</v>
      </c>
      <c r="I151" s="20" t="n">
        <v>0</v>
      </c>
      <c r="J151" s="20" t="n">
        <v>5.82561843335745</v>
      </c>
      <c r="K151" s="20"/>
      <c r="L151" s="20"/>
    </row>
    <row r="152" customFormat="false" ht="15" hidden="false" customHeight="false" outlineLevel="0" collapsed="false">
      <c r="A152" s="5" t="s">
        <v>3501</v>
      </c>
      <c r="B152" s="5" t="s">
        <v>229</v>
      </c>
      <c r="C152" s="5" t="s">
        <v>74</v>
      </c>
      <c r="D152" s="5" t="s">
        <v>3286</v>
      </c>
      <c r="E152" s="5" t="s">
        <v>3502</v>
      </c>
      <c r="F152" s="20" t="n">
        <v>0.701999738574051</v>
      </c>
      <c r="G152" s="20" t="n">
        <v>5.49656081560078</v>
      </c>
      <c r="H152" s="20" t="n">
        <v>0</v>
      </c>
      <c r="I152" s="20" t="n">
        <v>0</v>
      </c>
      <c r="J152" s="20" t="n">
        <v>5.49656081560078</v>
      </c>
      <c r="K152" s="20"/>
      <c r="L152" s="20"/>
    </row>
    <row r="153" customFormat="false" ht="15" hidden="false" customHeight="false" outlineLevel="0" collapsed="false">
      <c r="A153" s="5" t="s">
        <v>3503</v>
      </c>
      <c r="B153" s="5" t="s">
        <v>229</v>
      </c>
      <c r="C153" s="5" t="s">
        <v>74</v>
      </c>
      <c r="D153" s="5" t="s">
        <v>3286</v>
      </c>
      <c r="E153" s="5" t="s">
        <v>3504</v>
      </c>
      <c r="F153" s="20" t="n">
        <v>0.701998692512932</v>
      </c>
      <c r="G153" s="20" t="n">
        <v>5.58187089875404</v>
      </c>
      <c r="H153" s="20" t="n">
        <v>0</v>
      </c>
      <c r="I153" s="20" t="n">
        <v>0</v>
      </c>
      <c r="J153" s="20" t="n">
        <v>5.58187089875404</v>
      </c>
      <c r="K153" s="20"/>
      <c r="L153" s="20"/>
    </row>
    <row r="154" customFormat="false" ht="15" hidden="false" customHeight="false" outlineLevel="0" collapsed="false">
      <c r="A154" s="5" t="s">
        <v>3505</v>
      </c>
      <c r="B154" s="5" t="s">
        <v>229</v>
      </c>
      <c r="C154" s="5" t="s">
        <v>77</v>
      </c>
      <c r="D154" s="5" t="s">
        <v>3326</v>
      </c>
      <c r="E154" s="5" t="s">
        <v>3506</v>
      </c>
      <c r="F154" s="20" t="n">
        <v>0.344388466502538</v>
      </c>
      <c r="G154" s="20" t="n">
        <v>0.635983932622451</v>
      </c>
      <c r="H154" s="20" t="n">
        <v>2.29592047717574</v>
      </c>
      <c r="I154" s="20" t="n">
        <v>0.251116302191097</v>
      </c>
      <c r="J154" s="20" t="n">
        <v>0.635983932622451</v>
      </c>
      <c r="K154" s="20"/>
      <c r="L154" s="20"/>
    </row>
    <row r="155" customFormat="false" ht="15" hidden="false" customHeight="false" outlineLevel="0" collapsed="false">
      <c r="A155" s="5" t="s">
        <v>3507</v>
      </c>
      <c r="B155" s="5" t="s">
        <v>229</v>
      </c>
      <c r="C155" s="5" t="s">
        <v>77</v>
      </c>
      <c r="D155" s="5" t="s">
        <v>3326</v>
      </c>
      <c r="E155" s="5" t="s">
        <v>3508</v>
      </c>
      <c r="F155" s="20" t="n">
        <v>0.344387562586775</v>
      </c>
      <c r="G155" s="20" t="n">
        <v>0.558590254979208</v>
      </c>
      <c r="H155" s="20" t="n">
        <v>2.29592085633866</v>
      </c>
      <c r="I155" s="20" t="n">
        <v>0.251116343662041</v>
      </c>
      <c r="J155" s="20" t="n">
        <v>0.558590254979208</v>
      </c>
      <c r="K155" s="20"/>
      <c r="L155" s="20"/>
    </row>
    <row r="156" customFormat="false" ht="15" hidden="false" customHeight="false" outlineLevel="0" collapsed="false">
      <c r="A156" s="5" t="s">
        <v>3509</v>
      </c>
      <c r="B156" s="5" t="s">
        <v>229</v>
      </c>
      <c r="C156" s="5" t="s">
        <v>77</v>
      </c>
      <c r="D156" s="5" t="s">
        <v>3326</v>
      </c>
      <c r="E156" s="5" t="s">
        <v>3510</v>
      </c>
      <c r="F156" s="20" t="n">
        <v>0.365475040379046</v>
      </c>
      <c r="G156" s="20" t="n">
        <v>0.645328456297467</v>
      </c>
      <c r="H156" s="20" t="n">
        <v>1.78930374758039</v>
      </c>
      <c r="I156" s="20" t="n">
        <v>2.43649872010947</v>
      </c>
      <c r="J156" s="20" t="n">
        <v>0.645328456297467</v>
      </c>
      <c r="K156" s="20"/>
      <c r="L156" s="20"/>
    </row>
    <row r="157" customFormat="false" ht="15" hidden="false" customHeight="false" outlineLevel="0" collapsed="false">
      <c r="A157" s="5" t="s">
        <v>3511</v>
      </c>
      <c r="B157" s="5" t="s">
        <v>229</v>
      </c>
      <c r="C157" s="5" t="s">
        <v>77</v>
      </c>
      <c r="D157" s="5" t="s">
        <v>3326</v>
      </c>
      <c r="E157" s="5" t="s">
        <v>3512</v>
      </c>
      <c r="F157" s="20" t="n">
        <v>0.398699079072238</v>
      </c>
      <c r="G157" s="20" t="n">
        <v>0.269952437093485</v>
      </c>
      <c r="H157" s="20" t="n">
        <v>1.6612503875792</v>
      </c>
      <c r="I157" s="20" t="n">
        <v>2.65800062012672</v>
      </c>
      <c r="J157" s="20" t="n">
        <v>0.269952437093485</v>
      </c>
      <c r="K157" s="20"/>
      <c r="L157" s="20"/>
    </row>
    <row r="158" customFormat="false" ht="15" hidden="false" customHeight="false" outlineLevel="0" collapsed="false">
      <c r="A158" s="5" t="s">
        <v>3513</v>
      </c>
      <c r="B158" s="5" t="s">
        <v>229</v>
      </c>
      <c r="C158" s="5" t="s">
        <v>77</v>
      </c>
      <c r="D158" s="5"/>
      <c r="E158" s="5" t="s">
        <v>3514</v>
      </c>
      <c r="F158" s="20" t="n">
        <v>0.194906052230863</v>
      </c>
      <c r="G158" s="20" t="n">
        <v>1.60562441360206</v>
      </c>
      <c r="H158" s="20" t="n">
        <v>0</v>
      </c>
      <c r="I158" s="20" t="n">
        <v>1.92499996349216</v>
      </c>
      <c r="J158" s="20" t="n">
        <v>1.60562441360206</v>
      </c>
      <c r="K158" s="20"/>
      <c r="L158" s="20"/>
    </row>
    <row r="159" customFormat="false" ht="15" hidden="false" customHeight="false" outlineLevel="0" collapsed="false">
      <c r="A159" s="5" t="s">
        <v>3515</v>
      </c>
      <c r="B159" s="5" t="s">
        <v>229</v>
      </c>
      <c r="C159" s="5" t="s">
        <v>77</v>
      </c>
      <c r="D159" s="5"/>
      <c r="E159" s="5" t="s">
        <v>3516</v>
      </c>
      <c r="F159" s="20" t="n">
        <v>0.194906584672637</v>
      </c>
      <c r="G159" s="20" t="n">
        <v>1.55490804947448</v>
      </c>
      <c r="H159" s="20" t="n">
        <v>0</v>
      </c>
      <c r="I159" s="20" t="n">
        <v>1.92500004172325</v>
      </c>
      <c r="J159" s="20" t="n">
        <v>1.55490804947448</v>
      </c>
      <c r="K159" s="20"/>
      <c r="L159" s="20"/>
    </row>
    <row r="160" customFormat="false" ht="15" hidden="false" customHeight="false" outlineLevel="0" collapsed="false">
      <c r="A160" s="5" t="s">
        <v>3517</v>
      </c>
      <c r="B160" s="5" t="s">
        <v>229</v>
      </c>
      <c r="C160" s="5" t="s">
        <v>77</v>
      </c>
      <c r="D160" s="5"/>
      <c r="E160" s="5" t="s">
        <v>3518</v>
      </c>
      <c r="F160" s="20" t="n">
        <v>0.112663061969951</v>
      </c>
      <c r="G160" s="20" t="n">
        <v>0.535576062650918</v>
      </c>
      <c r="H160" s="20" t="n">
        <v>0.330000203549858</v>
      </c>
      <c r="I160" s="20" t="n">
        <v>0.330000203549858</v>
      </c>
      <c r="J160" s="20" t="n">
        <v>0.535576062650918</v>
      </c>
      <c r="K160" s="20"/>
      <c r="L160" s="20"/>
    </row>
    <row r="161" customFormat="false" ht="15" hidden="false" customHeight="false" outlineLevel="0" collapsed="false">
      <c r="A161" s="5" t="s">
        <v>3519</v>
      </c>
      <c r="B161" s="5" t="s">
        <v>229</v>
      </c>
      <c r="C161" s="5" t="s">
        <v>77</v>
      </c>
      <c r="D161" s="5"/>
      <c r="E161" s="5" t="s">
        <v>3520</v>
      </c>
      <c r="F161" s="20" t="n">
        <v>0.0590379054072843</v>
      </c>
      <c r="G161" s="20" t="n">
        <v>0.103707657418598</v>
      </c>
      <c r="H161" s="20" t="n">
        <v>0.330000216960912</v>
      </c>
      <c r="I161" s="20" t="n">
        <v>0.330000216960912</v>
      </c>
      <c r="J161" s="20" t="n">
        <v>0.103707657418598</v>
      </c>
      <c r="K161" s="20"/>
      <c r="L161" s="20"/>
    </row>
    <row r="162" customFormat="false" ht="15" hidden="false" customHeight="false" outlineLevel="0" collapsed="false">
      <c r="A162" s="5" t="s">
        <v>3521</v>
      </c>
      <c r="B162" s="5" t="s">
        <v>229</v>
      </c>
      <c r="C162" s="5" t="s">
        <v>77</v>
      </c>
      <c r="D162" s="5"/>
      <c r="E162" s="5" t="s">
        <v>3522</v>
      </c>
      <c r="F162" s="20" t="n">
        <v>0.0631628451767492</v>
      </c>
      <c r="G162" s="20" t="n">
        <v>0.28112236820661</v>
      </c>
      <c r="H162" s="20" t="n">
        <v>0.330000216960912</v>
      </c>
      <c r="I162" s="20" t="n">
        <v>0</v>
      </c>
      <c r="J162" s="20" t="n">
        <v>0.28112236820661</v>
      </c>
      <c r="K162" s="20"/>
      <c r="L162" s="20"/>
    </row>
    <row r="163" customFormat="false" ht="15" hidden="false" customHeight="false" outlineLevel="0" collapsed="false">
      <c r="A163" s="5" t="s">
        <v>3523</v>
      </c>
      <c r="B163" s="5" t="s">
        <v>229</v>
      </c>
      <c r="C163" s="5" t="s">
        <v>76</v>
      </c>
      <c r="D163" s="5" t="s">
        <v>3345</v>
      </c>
      <c r="E163" s="5" t="s">
        <v>3524</v>
      </c>
      <c r="F163" s="20" t="n">
        <v>18.4724811092032</v>
      </c>
      <c r="G163" s="20" t="n">
        <v>6.92002018316423</v>
      </c>
      <c r="H163" s="20" t="n">
        <v>74.5240335650718</v>
      </c>
      <c r="I163" s="20" t="n">
        <v>90.0327120175927</v>
      </c>
      <c r="J163" s="20" t="n">
        <v>6.92002018316423</v>
      </c>
      <c r="K163" s="20" t="n">
        <v>92.362</v>
      </c>
      <c r="L163" s="20" t="n">
        <v>69.476</v>
      </c>
    </row>
    <row r="164" customFormat="false" ht="15" hidden="false" customHeight="false" outlineLevel="0" collapsed="false">
      <c r="A164" s="5" t="s">
        <v>3525</v>
      </c>
      <c r="B164" s="5" t="s">
        <v>229</v>
      </c>
      <c r="C164" s="5" t="s">
        <v>75</v>
      </c>
      <c r="D164" s="5" t="s">
        <v>3348</v>
      </c>
      <c r="E164" s="5" t="s">
        <v>3526</v>
      </c>
      <c r="F164" s="20" t="n">
        <v>0.260999095917344</v>
      </c>
      <c r="G164" s="20" t="n">
        <v>1.69921718537798</v>
      </c>
      <c r="H164" s="20" t="n">
        <v>0.734060657322327</v>
      </c>
      <c r="I164" s="20" t="n">
        <v>0</v>
      </c>
      <c r="J164" s="20" t="n">
        <v>1.69921718537798</v>
      </c>
      <c r="K164" s="20"/>
      <c r="L164" s="20"/>
    </row>
    <row r="165" customFormat="false" ht="15" hidden="false" customHeight="false" outlineLevel="0" collapsed="false">
      <c r="A165" s="5" t="s">
        <v>3527</v>
      </c>
      <c r="B165" s="5" t="s">
        <v>229</v>
      </c>
      <c r="C165" s="5" t="s">
        <v>75</v>
      </c>
      <c r="D165" s="5" t="s">
        <v>3348</v>
      </c>
      <c r="E165" s="5" t="s">
        <v>3528</v>
      </c>
      <c r="F165" s="20" t="n">
        <v>0.233999173164965</v>
      </c>
      <c r="G165" s="20" t="n">
        <v>1.55999845504766</v>
      </c>
      <c r="H165" s="20" t="n">
        <v>0.779997987747265</v>
      </c>
      <c r="I165" s="20" t="n">
        <v>0</v>
      </c>
      <c r="J165" s="20" t="n">
        <v>1.55999845504766</v>
      </c>
      <c r="K165" s="20"/>
      <c r="L165" s="20"/>
    </row>
    <row r="166" customFormat="false" ht="15" hidden="false" customHeight="false" outlineLevel="0" collapsed="false">
      <c r="A166" s="5" t="s">
        <v>3529</v>
      </c>
      <c r="B166" s="5" t="s">
        <v>229</v>
      </c>
      <c r="C166" s="5" t="s">
        <v>75</v>
      </c>
      <c r="D166" s="5" t="s">
        <v>3348</v>
      </c>
      <c r="E166" s="5" t="s">
        <v>3530</v>
      </c>
      <c r="F166" s="20" t="n">
        <v>0.296998978615467</v>
      </c>
      <c r="G166" s="20" t="n">
        <v>1.93359201773991</v>
      </c>
      <c r="H166" s="20" t="n">
        <v>0.850779135525102</v>
      </c>
      <c r="I166" s="20" t="n">
        <v>0</v>
      </c>
      <c r="J166" s="20" t="n">
        <v>1.93359201773991</v>
      </c>
      <c r="K166" s="20"/>
      <c r="L166" s="20"/>
    </row>
    <row r="167" customFormat="false" ht="15" hidden="false" customHeight="false" outlineLevel="0" collapsed="false">
      <c r="A167" s="5" t="s">
        <v>3531</v>
      </c>
      <c r="B167" s="5" t="s">
        <v>229</v>
      </c>
      <c r="C167" s="5" t="s">
        <v>75</v>
      </c>
      <c r="D167" s="5" t="s">
        <v>3348</v>
      </c>
      <c r="E167" s="5" t="s">
        <v>3532</v>
      </c>
      <c r="F167" s="20" t="n">
        <v>0.260999912202202</v>
      </c>
      <c r="G167" s="20" t="n">
        <v>1.73999830842021</v>
      </c>
      <c r="H167" s="20" t="n">
        <v>0.870000537037839</v>
      </c>
      <c r="I167" s="20" t="n">
        <v>0</v>
      </c>
      <c r="J167" s="20" t="n">
        <v>1.73999830842021</v>
      </c>
      <c r="K167" s="20"/>
      <c r="L167" s="20"/>
    </row>
    <row r="168" customFormat="false" ht="15" hidden="false" customHeight="false" outlineLevel="0" collapsed="false">
      <c r="A168" s="5" t="s">
        <v>3533</v>
      </c>
      <c r="B168" s="5" t="s">
        <v>229</v>
      </c>
      <c r="C168" s="5" t="s">
        <v>75</v>
      </c>
      <c r="D168" s="5" t="s">
        <v>3348</v>
      </c>
      <c r="E168" s="5" t="s">
        <v>3534</v>
      </c>
      <c r="F168" s="20" t="n">
        <v>0.260999925613242</v>
      </c>
      <c r="G168" s="20" t="n">
        <v>1.73999839782709</v>
      </c>
      <c r="H168" s="20" t="n">
        <v>0.870000581741351</v>
      </c>
      <c r="I168" s="20" t="n">
        <v>0</v>
      </c>
      <c r="J168" s="20" t="n">
        <v>1.73999839782709</v>
      </c>
      <c r="K168" s="20"/>
      <c r="L168" s="20"/>
    </row>
    <row r="169" customFormat="false" ht="15" hidden="false" customHeight="false" outlineLevel="0" collapsed="false">
      <c r="A169" s="5" t="s">
        <v>3535</v>
      </c>
      <c r="B169" s="5" t="s">
        <v>229</v>
      </c>
      <c r="C169" s="5" t="s">
        <v>75</v>
      </c>
      <c r="D169" s="5" t="s">
        <v>3348</v>
      </c>
      <c r="E169" s="5" t="s">
        <v>3536</v>
      </c>
      <c r="F169" s="20" t="n">
        <v>0.296999922752195</v>
      </c>
      <c r="G169" s="20" t="n">
        <v>1.97999822616566</v>
      </c>
      <c r="H169" s="20" t="n">
        <v>0.990000686645544</v>
      </c>
      <c r="I169" s="20" t="n">
        <v>0</v>
      </c>
      <c r="J169" s="20" t="n">
        <v>1.97999822616566</v>
      </c>
      <c r="K169" s="20"/>
      <c r="L169" s="20"/>
    </row>
    <row r="170" customFormat="false" ht="15" hidden="false" customHeight="false" outlineLevel="0" collapsed="false">
      <c r="A170" s="5" t="s">
        <v>3537</v>
      </c>
      <c r="B170" s="5" t="s">
        <v>229</v>
      </c>
      <c r="C170" s="5" t="s">
        <v>75</v>
      </c>
      <c r="D170" s="5" t="s">
        <v>3348</v>
      </c>
      <c r="E170" s="5" t="s">
        <v>3538</v>
      </c>
      <c r="F170" s="20" t="n">
        <v>0.260999718189263</v>
      </c>
      <c r="G170" s="20" t="n">
        <v>1.65843597292891</v>
      </c>
      <c r="H170" s="20" t="n">
        <v>0.734062407463766</v>
      </c>
      <c r="I170" s="20" t="n">
        <v>0</v>
      </c>
      <c r="J170" s="20" t="n">
        <v>1.65843597292891</v>
      </c>
      <c r="K170" s="20"/>
      <c r="L170" s="20"/>
    </row>
    <row r="171" customFormat="false" ht="15" hidden="false" customHeight="false" outlineLevel="0" collapsed="false">
      <c r="A171" s="5" t="s">
        <v>3539</v>
      </c>
      <c r="B171" s="5" t="s">
        <v>229</v>
      </c>
      <c r="C171" s="5" t="s">
        <v>75</v>
      </c>
      <c r="D171" s="5" t="s">
        <v>3348</v>
      </c>
      <c r="E171" s="5" t="s">
        <v>3540</v>
      </c>
      <c r="F171" s="20" t="n">
        <v>0.233999731063888</v>
      </c>
      <c r="G171" s="20" t="n">
        <v>1.55999845504766</v>
      </c>
      <c r="H171" s="20" t="n">
        <v>0.779999847412114</v>
      </c>
      <c r="I171" s="20" t="n">
        <v>0</v>
      </c>
      <c r="J171" s="20" t="n">
        <v>1.55999845504766</v>
      </c>
      <c r="K171" s="20"/>
      <c r="L171" s="20"/>
    </row>
    <row r="172" customFormat="false" ht="15" hidden="false" customHeight="false" outlineLevel="0" collapsed="false">
      <c r="A172" s="5" t="s">
        <v>3541</v>
      </c>
      <c r="B172" s="5" t="s">
        <v>229</v>
      </c>
      <c r="C172" s="5" t="s">
        <v>75</v>
      </c>
      <c r="D172" s="5" t="s">
        <v>3348</v>
      </c>
      <c r="E172" s="5" t="s">
        <v>3542</v>
      </c>
      <c r="F172" s="20" t="n">
        <v>0.395999660968745</v>
      </c>
      <c r="G172" s="20" t="n">
        <v>2.26185954591829</v>
      </c>
      <c r="H172" s="20" t="n">
        <v>0.850781163945786</v>
      </c>
      <c r="I172" s="20" t="n">
        <v>0.425390920043007</v>
      </c>
      <c r="J172" s="20" t="n">
        <v>2.26185954591829</v>
      </c>
      <c r="K172" s="20"/>
      <c r="L172" s="20"/>
    </row>
    <row r="173" customFormat="false" ht="15" hidden="false" customHeight="false" outlineLevel="0" collapsed="false">
      <c r="A173" s="5" t="s">
        <v>3543</v>
      </c>
      <c r="B173" s="5" t="s">
        <v>229</v>
      </c>
      <c r="C173" s="5" t="s">
        <v>75</v>
      </c>
      <c r="D173" s="5" t="s">
        <v>3348</v>
      </c>
      <c r="E173" s="5" t="s">
        <v>3544</v>
      </c>
      <c r="F173" s="20" t="n">
        <v>0.303749765306664</v>
      </c>
      <c r="G173" s="20" t="n">
        <v>2.02499835491153</v>
      </c>
      <c r="H173" s="20" t="n">
        <v>0.898467600267257</v>
      </c>
      <c r="I173" s="20" t="n">
        <v>0</v>
      </c>
      <c r="J173" s="20" t="n">
        <v>2.02499835491153</v>
      </c>
      <c r="K173" s="20"/>
      <c r="L173" s="20"/>
    </row>
    <row r="174" customFormat="false" ht="15" hidden="false" customHeight="false" outlineLevel="0" collapsed="false">
      <c r="A174" s="5" t="s">
        <v>3545</v>
      </c>
      <c r="B174" s="5" t="s">
        <v>229</v>
      </c>
      <c r="C174" s="5" t="s">
        <v>75</v>
      </c>
      <c r="D174" s="5" t="s">
        <v>3348</v>
      </c>
      <c r="E174" s="5" t="s">
        <v>3546</v>
      </c>
      <c r="F174" s="20" t="n">
        <v>0.445499586403365</v>
      </c>
      <c r="G174" s="20" t="n">
        <v>3.05999704241756</v>
      </c>
      <c r="H174" s="20" t="n">
        <v>1.34852237410327</v>
      </c>
      <c r="I174" s="20" t="n">
        <v>0</v>
      </c>
      <c r="J174" s="20" t="n">
        <v>3.05999704241756</v>
      </c>
      <c r="K174" s="20"/>
      <c r="L174" s="20"/>
    </row>
    <row r="175" customFormat="false" ht="15" hidden="false" customHeight="false" outlineLevel="0" collapsed="false">
      <c r="A175" s="5" t="s">
        <v>3547</v>
      </c>
      <c r="B175" s="5" t="s">
        <v>229</v>
      </c>
      <c r="C175" s="5" t="s">
        <v>75</v>
      </c>
      <c r="D175" s="5" t="s">
        <v>3348</v>
      </c>
      <c r="E175" s="5" t="s">
        <v>3548</v>
      </c>
      <c r="F175" s="20" t="n">
        <v>0.29699972963331</v>
      </c>
      <c r="G175" s="20" t="n">
        <v>1.97999851226768</v>
      </c>
      <c r="H175" s="20" t="n">
        <v>0.990000042915312</v>
      </c>
      <c r="I175" s="20" t="n">
        <v>0</v>
      </c>
      <c r="J175" s="20" t="n">
        <v>1.97999851226768</v>
      </c>
      <c r="K175" s="20"/>
      <c r="L175" s="20"/>
    </row>
    <row r="176" customFormat="false" ht="15" hidden="false" customHeight="false" outlineLevel="0" collapsed="false">
      <c r="A176" s="5" t="s">
        <v>3549</v>
      </c>
      <c r="B176" s="5" t="s">
        <v>229</v>
      </c>
      <c r="C176" s="5" t="s">
        <v>75</v>
      </c>
      <c r="D176" s="5" t="s">
        <v>3348</v>
      </c>
      <c r="E176" s="5" t="s">
        <v>3550</v>
      </c>
      <c r="F176" s="20" t="n">
        <v>0.431999515056681</v>
      </c>
      <c r="G176" s="20" t="n">
        <v>2.96999712467198</v>
      </c>
      <c r="H176" s="20" t="n">
        <v>1.43999975681305</v>
      </c>
      <c r="I176" s="20" t="n">
        <v>0</v>
      </c>
      <c r="J176" s="20" t="n">
        <v>2.96999712467198</v>
      </c>
      <c r="K176" s="20"/>
      <c r="L176" s="20"/>
    </row>
    <row r="177" customFormat="false" ht="15" hidden="false" customHeight="false" outlineLevel="0" collapsed="false">
      <c r="A177" s="5" t="s">
        <v>3551</v>
      </c>
      <c r="B177" s="5" t="s">
        <v>229</v>
      </c>
      <c r="C177" s="5" t="s">
        <v>75</v>
      </c>
      <c r="D177" s="5" t="s">
        <v>3348</v>
      </c>
      <c r="E177" s="5" t="s">
        <v>3552</v>
      </c>
      <c r="F177" s="20" t="n">
        <v>0.296999965667525</v>
      </c>
      <c r="G177" s="20" t="n">
        <v>1.97999851226768</v>
      </c>
      <c r="H177" s="20" t="n">
        <v>0.990000829696783</v>
      </c>
      <c r="I177" s="20" t="n">
        <v>0</v>
      </c>
      <c r="J177" s="20" t="n">
        <v>1.97999851226768</v>
      </c>
      <c r="K177" s="20"/>
      <c r="L177" s="20"/>
    </row>
    <row r="178" customFormat="false" ht="15" hidden="false" customHeight="false" outlineLevel="0" collapsed="false">
      <c r="A178" s="5" t="s">
        <v>3553</v>
      </c>
      <c r="B178" s="5" t="s">
        <v>229</v>
      </c>
      <c r="C178" s="5" t="s">
        <v>75</v>
      </c>
      <c r="D178" s="5" t="s">
        <v>3348</v>
      </c>
      <c r="E178" s="5" t="s">
        <v>3554</v>
      </c>
      <c r="F178" s="20" t="n">
        <v>0.296999901294529</v>
      </c>
      <c r="G178" s="20" t="n">
        <v>1.97999808311465</v>
      </c>
      <c r="H178" s="20" t="n">
        <v>0.990000615119925</v>
      </c>
      <c r="I178" s="20" t="n">
        <v>0</v>
      </c>
      <c r="J178" s="20" t="n">
        <v>1.97999808311465</v>
      </c>
      <c r="K178" s="20"/>
      <c r="L178" s="20"/>
    </row>
    <row r="179" customFormat="false" ht="15" hidden="false" customHeight="false" outlineLevel="0" collapsed="false">
      <c r="A179" s="5" t="s">
        <v>3555</v>
      </c>
      <c r="B179" s="5" t="s">
        <v>229</v>
      </c>
      <c r="C179" s="5" t="s">
        <v>75</v>
      </c>
      <c r="D179" s="5" t="s">
        <v>3348</v>
      </c>
      <c r="E179" s="5" t="s">
        <v>3556</v>
      </c>
      <c r="F179" s="20" t="n">
        <v>0.303748980761161</v>
      </c>
      <c r="G179" s="20" t="n">
        <v>2.02499835491153</v>
      </c>
      <c r="H179" s="20" t="n">
        <v>0.898465279644188</v>
      </c>
      <c r="I179" s="20" t="n">
        <v>0</v>
      </c>
      <c r="J179" s="20" t="n">
        <v>2.02499835491153</v>
      </c>
      <c r="K179" s="20"/>
      <c r="L179" s="20"/>
    </row>
    <row r="180" customFormat="false" ht="15" hidden="false" customHeight="false" outlineLevel="0" collapsed="false">
      <c r="A180" s="5" t="s">
        <v>3557</v>
      </c>
      <c r="B180" s="5" t="s">
        <v>229</v>
      </c>
      <c r="C180" s="5" t="s">
        <v>75</v>
      </c>
      <c r="D180" s="5" t="s">
        <v>3348</v>
      </c>
      <c r="E180" s="5" t="s">
        <v>3558</v>
      </c>
      <c r="F180" s="20" t="n">
        <v>0.303748927117168</v>
      </c>
      <c r="G180" s="20" t="n">
        <v>2.024997997284</v>
      </c>
      <c r="H180" s="20" t="n">
        <v>0.898465100970406</v>
      </c>
      <c r="I180" s="20" t="n">
        <v>0</v>
      </c>
      <c r="J180" s="20" t="n">
        <v>2.024997997284</v>
      </c>
      <c r="K180" s="20"/>
      <c r="L180" s="20"/>
    </row>
    <row r="181" customFormat="false" ht="15" hidden="false" customHeight="false" outlineLevel="0" collapsed="false">
      <c r="A181" s="5" t="s">
        <v>3559</v>
      </c>
      <c r="B181" s="5" t="s">
        <v>229</v>
      </c>
      <c r="C181" s="5" t="s">
        <v>75</v>
      </c>
      <c r="D181" s="5" t="s">
        <v>3348</v>
      </c>
      <c r="E181" s="5" t="s">
        <v>3560</v>
      </c>
      <c r="F181" s="20" t="n">
        <v>0.232575083306391</v>
      </c>
      <c r="G181" s="20" t="n">
        <v>1.55049956959486</v>
      </c>
      <c r="H181" s="20" t="n">
        <v>0.664500419080255</v>
      </c>
      <c r="I181" s="20" t="n">
        <v>0</v>
      </c>
      <c r="J181" s="20" t="n">
        <v>1.55049956959486</v>
      </c>
      <c r="K181" s="20"/>
      <c r="L181" s="20"/>
    </row>
    <row r="182" customFormat="false" ht="15" hidden="false" customHeight="false" outlineLevel="0" collapsed="false">
      <c r="A182" s="5" t="s">
        <v>3561</v>
      </c>
      <c r="B182" s="5" t="s">
        <v>229</v>
      </c>
      <c r="C182" s="5" t="s">
        <v>75</v>
      </c>
      <c r="D182" s="5" t="s">
        <v>3348</v>
      </c>
      <c r="E182" s="5" t="s">
        <v>3562</v>
      </c>
      <c r="F182" s="20" t="n">
        <v>0.343498804301837</v>
      </c>
      <c r="G182" s="20" t="n">
        <v>2.28999785244461</v>
      </c>
      <c r="H182" s="20" t="n">
        <v>0.663623071498549</v>
      </c>
      <c r="I182" s="20" t="n">
        <v>0.663623071498549</v>
      </c>
      <c r="J182" s="20" t="n">
        <v>2.28999785244461</v>
      </c>
      <c r="K182" s="20"/>
      <c r="L182" s="20"/>
    </row>
    <row r="183" customFormat="false" ht="15" hidden="false" customHeight="false" outlineLevel="0" collapsed="false">
      <c r="A183" s="5" t="s">
        <v>3563</v>
      </c>
      <c r="B183" s="5" t="s">
        <v>229</v>
      </c>
      <c r="C183" s="5" t="s">
        <v>75</v>
      </c>
      <c r="D183" s="5" t="s">
        <v>3387</v>
      </c>
      <c r="E183" s="5" t="s">
        <v>3564</v>
      </c>
      <c r="F183" s="20" t="n">
        <v>0.427499645277807</v>
      </c>
      <c r="G183" s="20" t="n">
        <v>2.73675617918745</v>
      </c>
      <c r="H183" s="20" t="n">
        <v>0.855000105947255</v>
      </c>
      <c r="I183" s="20" t="n">
        <v>0.855000105947255</v>
      </c>
      <c r="J183" s="20" t="n">
        <v>2.73675617918745</v>
      </c>
      <c r="K183" s="20"/>
      <c r="L183" s="20"/>
    </row>
    <row r="184" customFormat="false" ht="15" hidden="false" customHeight="false" outlineLevel="0" collapsed="false">
      <c r="A184" s="5" t="s">
        <v>3565</v>
      </c>
      <c r="B184" s="5" t="s">
        <v>231</v>
      </c>
      <c r="C184" s="5" t="s">
        <v>74</v>
      </c>
      <c r="D184" s="5" t="s">
        <v>3264</v>
      </c>
      <c r="E184" s="5" t="s">
        <v>3566</v>
      </c>
      <c r="F184" s="20" t="n">
        <v>0.431998935699359</v>
      </c>
      <c r="G184" s="20" t="n">
        <v>4.04999721050194</v>
      </c>
      <c r="H184" s="20" t="n">
        <v>0</v>
      </c>
      <c r="I184" s="20" t="n">
        <v>0</v>
      </c>
      <c r="J184" s="20" t="n">
        <v>4.04999721050194</v>
      </c>
      <c r="K184" s="20"/>
      <c r="L184" s="20"/>
    </row>
    <row r="185" customFormat="false" ht="15" hidden="false" customHeight="false" outlineLevel="0" collapsed="false">
      <c r="A185" s="5" t="s">
        <v>3567</v>
      </c>
      <c r="B185" s="5" t="s">
        <v>231</v>
      </c>
      <c r="C185" s="5" t="s">
        <v>74</v>
      </c>
      <c r="D185" s="5" t="s">
        <v>3267</v>
      </c>
      <c r="E185" s="5" t="s">
        <v>3568</v>
      </c>
      <c r="F185" s="20" t="n">
        <v>0.432000051498398</v>
      </c>
      <c r="G185" s="20" t="n">
        <v>4.05000046491614</v>
      </c>
      <c r="H185" s="20" t="n">
        <v>0</v>
      </c>
      <c r="I185" s="20" t="n">
        <v>0</v>
      </c>
      <c r="J185" s="20" t="n">
        <v>4.05000046491614</v>
      </c>
      <c r="K185" s="20"/>
      <c r="L185" s="20"/>
    </row>
    <row r="186" customFormat="false" ht="15" hidden="false" customHeight="false" outlineLevel="0" collapsed="false">
      <c r="A186" s="5" t="s">
        <v>3569</v>
      </c>
      <c r="B186" s="5" t="s">
        <v>231</v>
      </c>
      <c r="C186" s="5" t="s">
        <v>74</v>
      </c>
      <c r="D186" s="5" t="s">
        <v>3267</v>
      </c>
      <c r="E186" s="5" t="s">
        <v>3570</v>
      </c>
      <c r="F186" s="20" t="n">
        <v>0.432000308990484</v>
      </c>
      <c r="G186" s="20" t="n">
        <v>3.96000117301946</v>
      </c>
      <c r="H186" s="20" t="n">
        <v>0</v>
      </c>
      <c r="I186" s="20" t="n">
        <v>0</v>
      </c>
      <c r="J186" s="20" t="n">
        <v>3.96000117301946</v>
      </c>
      <c r="K186" s="20"/>
      <c r="L186" s="20"/>
    </row>
    <row r="187" customFormat="false" ht="15" hidden="false" customHeight="false" outlineLevel="0" collapsed="false">
      <c r="A187" s="5" t="s">
        <v>3571</v>
      </c>
      <c r="B187" s="5" t="s">
        <v>231</v>
      </c>
      <c r="C187" s="5" t="s">
        <v>74</v>
      </c>
      <c r="D187" s="5" t="s">
        <v>3267</v>
      </c>
      <c r="E187" s="5" t="s">
        <v>3572</v>
      </c>
      <c r="F187" s="20" t="n">
        <v>0.431998935699361</v>
      </c>
      <c r="G187" s="20" t="n">
        <v>4.04999721050194</v>
      </c>
      <c r="H187" s="20" t="n">
        <v>0</v>
      </c>
      <c r="I187" s="20" t="n">
        <v>0</v>
      </c>
      <c r="J187" s="20" t="n">
        <v>4.04999721050194</v>
      </c>
      <c r="K187" s="20"/>
      <c r="L187" s="20"/>
    </row>
    <row r="188" customFormat="false" ht="15" hidden="false" customHeight="false" outlineLevel="0" collapsed="false">
      <c r="A188" s="5" t="s">
        <v>3573</v>
      </c>
      <c r="B188" s="5" t="s">
        <v>231</v>
      </c>
      <c r="C188" s="5" t="s">
        <v>74</v>
      </c>
      <c r="D188" s="5" t="s">
        <v>3264</v>
      </c>
      <c r="E188" s="5" t="s">
        <v>3574</v>
      </c>
      <c r="F188" s="20" t="n">
        <v>0.449999957084624</v>
      </c>
      <c r="G188" s="20" t="n">
        <v>3.97500022649751</v>
      </c>
      <c r="H188" s="20" t="n">
        <v>0</v>
      </c>
      <c r="I188" s="20" t="n">
        <v>0.0900000429153351</v>
      </c>
      <c r="J188" s="20" t="n">
        <v>3.97500022649751</v>
      </c>
      <c r="K188" s="20"/>
      <c r="L188" s="20"/>
    </row>
    <row r="189" customFormat="false" ht="15" hidden="false" customHeight="false" outlineLevel="0" collapsed="false">
      <c r="A189" s="5" t="s">
        <v>3575</v>
      </c>
      <c r="B189" s="5" t="s">
        <v>231</v>
      </c>
      <c r="C189" s="5" t="s">
        <v>74</v>
      </c>
      <c r="D189" s="5" t="s">
        <v>3264</v>
      </c>
      <c r="E189" s="5" t="s">
        <v>3576</v>
      </c>
      <c r="F189" s="20" t="n">
        <v>0.467999989628781</v>
      </c>
      <c r="G189" s="20" t="n">
        <v>4.33875015761696</v>
      </c>
      <c r="H189" s="20" t="n">
        <v>0</v>
      </c>
      <c r="I189" s="20" t="n">
        <v>0.179999969601631</v>
      </c>
      <c r="J189" s="20" t="n">
        <v>4.33875015761696</v>
      </c>
      <c r="K189" s="20"/>
      <c r="L189" s="20"/>
    </row>
    <row r="190" customFormat="false" ht="15" hidden="false" customHeight="false" outlineLevel="0" collapsed="false">
      <c r="A190" s="5" t="s">
        <v>3577</v>
      </c>
      <c r="B190" s="5" t="s">
        <v>231</v>
      </c>
      <c r="C190" s="5" t="s">
        <v>74</v>
      </c>
      <c r="D190" s="5" t="s">
        <v>3264</v>
      </c>
      <c r="E190" s="5" t="s">
        <v>3578</v>
      </c>
      <c r="F190" s="20" t="n">
        <v>0.467999617695746</v>
      </c>
      <c r="G190" s="20" t="n">
        <v>4.28999787237455</v>
      </c>
      <c r="H190" s="20" t="n">
        <v>0</v>
      </c>
      <c r="I190" s="20" t="n">
        <v>0.179999826550485</v>
      </c>
      <c r="J190" s="20" t="n">
        <v>4.28999787237455</v>
      </c>
      <c r="K190" s="20"/>
      <c r="L190" s="20"/>
    </row>
    <row r="191" customFormat="false" ht="15" hidden="false" customHeight="false" outlineLevel="0" collapsed="false">
      <c r="A191" s="5" t="s">
        <v>3579</v>
      </c>
      <c r="B191" s="5" t="s">
        <v>231</v>
      </c>
      <c r="C191" s="5" t="s">
        <v>74</v>
      </c>
      <c r="D191" s="5" t="s">
        <v>3264</v>
      </c>
      <c r="E191" s="5" t="s">
        <v>3580</v>
      </c>
      <c r="F191" s="20" t="n">
        <v>0.431998935699359</v>
      </c>
      <c r="G191" s="20" t="n">
        <v>4.04999721050194</v>
      </c>
      <c r="H191" s="20" t="n">
        <v>0</v>
      </c>
      <c r="I191" s="20" t="n">
        <v>0</v>
      </c>
      <c r="J191" s="20" t="n">
        <v>4.04999721050194</v>
      </c>
      <c r="K191" s="20"/>
      <c r="L191" s="20"/>
    </row>
    <row r="192" customFormat="false" ht="15" hidden="false" customHeight="false" outlineLevel="0" collapsed="false">
      <c r="A192" s="5" t="s">
        <v>3581</v>
      </c>
      <c r="B192" s="5" t="s">
        <v>231</v>
      </c>
      <c r="C192" s="5" t="s">
        <v>74</v>
      </c>
      <c r="D192" s="5" t="s">
        <v>3267</v>
      </c>
      <c r="E192" s="5" t="s">
        <v>3582</v>
      </c>
      <c r="F192" s="20" t="n">
        <v>0.431999965667703</v>
      </c>
      <c r="G192" s="20" t="n">
        <v>3.96000017166125</v>
      </c>
      <c r="H192" s="20" t="n">
        <v>0</v>
      </c>
      <c r="I192" s="20" t="n">
        <v>0</v>
      </c>
      <c r="J192" s="20" t="n">
        <v>3.96000017166125</v>
      </c>
      <c r="K192" s="20"/>
      <c r="L192" s="20"/>
    </row>
    <row r="193" customFormat="false" ht="15" hidden="false" customHeight="false" outlineLevel="0" collapsed="false">
      <c r="A193" s="5" t="s">
        <v>3583</v>
      </c>
      <c r="B193" s="5" t="s">
        <v>231</v>
      </c>
      <c r="C193" s="5" t="s">
        <v>74</v>
      </c>
      <c r="D193" s="5" t="s">
        <v>3264</v>
      </c>
      <c r="E193" s="5" t="s">
        <v>3584</v>
      </c>
      <c r="F193" s="20" t="n">
        <v>0.431999965667703</v>
      </c>
      <c r="G193" s="20" t="n">
        <v>3.96000017166125</v>
      </c>
      <c r="H193" s="20" t="n">
        <v>0</v>
      </c>
      <c r="I193" s="20" t="n">
        <v>0</v>
      </c>
      <c r="J193" s="20" t="n">
        <v>3.96000017166125</v>
      </c>
      <c r="K193" s="20"/>
      <c r="L193" s="20"/>
    </row>
    <row r="194" customFormat="false" ht="15" hidden="false" customHeight="false" outlineLevel="0" collapsed="false">
      <c r="A194" s="5" t="s">
        <v>3585</v>
      </c>
      <c r="B194" s="5" t="s">
        <v>231</v>
      </c>
      <c r="C194" s="5" t="s">
        <v>74</v>
      </c>
      <c r="D194" s="5" t="s">
        <v>3286</v>
      </c>
      <c r="E194" s="5" t="s">
        <v>3586</v>
      </c>
      <c r="F194" s="20" t="n">
        <v>0.701999066233501</v>
      </c>
      <c r="G194" s="20" t="n">
        <v>5.70374827763028</v>
      </c>
      <c r="H194" s="20" t="n">
        <v>0</v>
      </c>
      <c r="I194" s="20" t="n">
        <v>0.269999601244933</v>
      </c>
      <c r="J194" s="20" t="n">
        <v>5.70374827763028</v>
      </c>
      <c r="K194" s="20"/>
      <c r="L194" s="20"/>
    </row>
    <row r="195" customFormat="false" ht="15" hidden="false" customHeight="false" outlineLevel="0" collapsed="false">
      <c r="A195" s="5" t="s">
        <v>3587</v>
      </c>
      <c r="B195" s="5" t="s">
        <v>231</v>
      </c>
      <c r="C195" s="5" t="s">
        <v>74</v>
      </c>
      <c r="D195" s="5" t="s">
        <v>3286</v>
      </c>
      <c r="E195" s="5" t="s">
        <v>3588</v>
      </c>
      <c r="F195" s="20" t="n">
        <v>0.70199802017257</v>
      </c>
      <c r="G195" s="20" t="n">
        <v>5.82562057018203</v>
      </c>
      <c r="H195" s="20" t="n">
        <v>0</v>
      </c>
      <c r="I195" s="20" t="n">
        <v>0.269999198913865</v>
      </c>
      <c r="J195" s="20" t="n">
        <v>5.82562057018203</v>
      </c>
      <c r="K195" s="20"/>
      <c r="L195" s="20"/>
    </row>
    <row r="196" customFormat="false" ht="15" hidden="false" customHeight="false" outlineLevel="0" collapsed="false">
      <c r="A196" s="5" t="s">
        <v>3589</v>
      </c>
      <c r="B196" s="5" t="s">
        <v>231</v>
      </c>
      <c r="C196" s="5" t="s">
        <v>74</v>
      </c>
      <c r="D196" s="5" t="s">
        <v>3286</v>
      </c>
      <c r="E196" s="5" t="s">
        <v>3590</v>
      </c>
      <c r="F196" s="20" t="n">
        <v>0.701999996066077</v>
      </c>
      <c r="G196" s="20" t="n">
        <v>5.49656283172772</v>
      </c>
      <c r="H196" s="20" t="n">
        <v>0</v>
      </c>
      <c r="I196" s="20" t="n">
        <v>0.269999958872795</v>
      </c>
      <c r="J196" s="20" t="n">
        <v>5.49656283172772</v>
      </c>
      <c r="K196" s="20"/>
      <c r="L196" s="20"/>
    </row>
    <row r="197" customFormat="false" ht="15" hidden="false" customHeight="false" outlineLevel="0" collapsed="false">
      <c r="A197" s="5" t="s">
        <v>3591</v>
      </c>
      <c r="B197" s="5" t="s">
        <v>231</v>
      </c>
      <c r="C197" s="5" t="s">
        <v>74</v>
      </c>
      <c r="D197" s="5" t="s">
        <v>3286</v>
      </c>
      <c r="E197" s="5" t="s">
        <v>3592</v>
      </c>
      <c r="F197" s="20" t="n">
        <v>0.701998950004575</v>
      </c>
      <c r="G197" s="20" t="n">
        <v>5.58187294617253</v>
      </c>
      <c r="H197" s="20" t="n">
        <v>0</v>
      </c>
      <c r="I197" s="20" t="n">
        <v>0.269999556541507</v>
      </c>
      <c r="J197" s="20" t="n">
        <v>5.58187294617253</v>
      </c>
      <c r="K197" s="20"/>
      <c r="L197" s="20"/>
    </row>
    <row r="198" customFormat="false" ht="15" hidden="false" customHeight="false" outlineLevel="0" collapsed="false">
      <c r="A198" s="5" t="s">
        <v>3593</v>
      </c>
      <c r="B198" s="5" t="s">
        <v>231</v>
      </c>
      <c r="C198" s="5" t="s">
        <v>77</v>
      </c>
      <c r="D198" s="5" t="s">
        <v>3326</v>
      </c>
      <c r="E198" s="5" t="s">
        <v>3594</v>
      </c>
      <c r="F198" s="20" t="n">
        <v>0.344388466502538</v>
      </c>
      <c r="G198" s="20" t="n">
        <v>0.635983906440646</v>
      </c>
      <c r="H198" s="20" t="n">
        <v>2.29592047717574</v>
      </c>
      <c r="I198" s="20" t="n">
        <v>0.251116364722493</v>
      </c>
      <c r="J198" s="20" t="n">
        <v>0.635983906440646</v>
      </c>
      <c r="K198" s="20"/>
      <c r="L198" s="20"/>
    </row>
    <row r="199" customFormat="false" ht="15" hidden="false" customHeight="false" outlineLevel="0" collapsed="false">
      <c r="A199" s="5" t="s">
        <v>3595</v>
      </c>
      <c r="B199" s="5" t="s">
        <v>231</v>
      </c>
      <c r="C199" s="5" t="s">
        <v>77</v>
      </c>
      <c r="D199" s="5" t="s">
        <v>3326</v>
      </c>
      <c r="E199" s="5" t="s">
        <v>3596</v>
      </c>
      <c r="F199" s="20" t="n">
        <v>0.344387562586774</v>
      </c>
      <c r="G199" s="20" t="n">
        <v>0.558590254979208</v>
      </c>
      <c r="H199" s="20" t="n">
        <v>2.29592057048088</v>
      </c>
      <c r="I199" s="20" t="n">
        <v>0.251116312396346</v>
      </c>
      <c r="J199" s="20" t="n">
        <v>0.558590254979208</v>
      </c>
      <c r="K199" s="20"/>
      <c r="L199" s="20"/>
    </row>
    <row r="200" customFormat="false" ht="15" hidden="false" customHeight="false" outlineLevel="0" collapsed="false">
      <c r="A200" s="5" t="s">
        <v>3597</v>
      </c>
      <c r="B200" s="5" t="s">
        <v>231</v>
      </c>
      <c r="C200" s="5" t="s">
        <v>77</v>
      </c>
      <c r="D200" s="5" t="s">
        <v>3326</v>
      </c>
      <c r="E200" s="5" t="s">
        <v>3598</v>
      </c>
      <c r="F200" s="20" t="n">
        <v>0.36547387856592</v>
      </c>
      <c r="G200" s="20" t="n">
        <v>0.645326404854856</v>
      </c>
      <c r="H200" s="20" t="n">
        <v>1.78930374758039</v>
      </c>
      <c r="I200" s="20" t="n">
        <v>2.43649872010947</v>
      </c>
      <c r="J200" s="20" t="n">
        <v>0.645326404854856</v>
      </c>
      <c r="K200" s="20"/>
      <c r="L200" s="20"/>
    </row>
    <row r="201" customFormat="false" ht="15" hidden="false" customHeight="false" outlineLevel="0" collapsed="false">
      <c r="A201" s="5" t="s">
        <v>3599</v>
      </c>
      <c r="B201" s="5" t="s">
        <v>231</v>
      </c>
      <c r="C201" s="5" t="s">
        <v>77</v>
      </c>
      <c r="D201" s="5" t="s">
        <v>3326</v>
      </c>
      <c r="E201" s="5" t="s">
        <v>3600</v>
      </c>
      <c r="F201" s="20" t="n">
        <v>0.398699079072238</v>
      </c>
      <c r="G201" s="20" t="n">
        <v>0.436077013766399</v>
      </c>
      <c r="H201" s="20" t="n">
        <v>1.6612503875792</v>
      </c>
      <c r="I201" s="20" t="n">
        <v>2.65800062012672</v>
      </c>
      <c r="J201" s="20" t="n">
        <v>0.436077013766399</v>
      </c>
      <c r="K201" s="20"/>
      <c r="L201" s="20"/>
    </row>
    <row r="202" customFormat="false" ht="15" hidden="false" customHeight="false" outlineLevel="0" collapsed="false">
      <c r="A202" s="5" t="s">
        <v>3601</v>
      </c>
      <c r="B202" s="5" t="s">
        <v>231</v>
      </c>
      <c r="C202" s="5" t="s">
        <v>77</v>
      </c>
      <c r="D202" s="5"/>
      <c r="E202" s="5" t="s">
        <v>3602</v>
      </c>
      <c r="F202" s="20" t="n">
        <v>0.194906314491294</v>
      </c>
      <c r="G202" s="20" t="n">
        <v>1.60562593948094</v>
      </c>
      <c r="H202" s="20" t="n">
        <v>0</v>
      </c>
      <c r="I202" s="20" t="n">
        <v>1.92499996349216</v>
      </c>
      <c r="J202" s="20" t="n">
        <v>1.60562593948094</v>
      </c>
      <c r="K202" s="20"/>
      <c r="L202" s="20"/>
    </row>
    <row r="203" customFormat="false" ht="15" hidden="false" customHeight="false" outlineLevel="0" collapsed="false">
      <c r="A203" s="5" t="s">
        <v>3603</v>
      </c>
      <c r="B203" s="5" t="s">
        <v>231</v>
      </c>
      <c r="C203" s="5" t="s">
        <v>77</v>
      </c>
      <c r="D203" s="5"/>
      <c r="E203" s="5" t="s">
        <v>3604</v>
      </c>
      <c r="F203" s="20" t="n">
        <v>0.19490579789131</v>
      </c>
      <c r="G203" s="20" t="n">
        <v>1.55490633600391</v>
      </c>
      <c r="H203" s="20" t="n">
        <v>0</v>
      </c>
      <c r="I203" s="20" t="n">
        <v>1.92500004172325</v>
      </c>
      <c r="J203" s="20" t="n">
        <v>1.55490633600391</v>
      </c>
      <c r="K203" s="20"/>
      <c r="L203" s="20"/>
    </row>
    <row r="204" customFormat="false" ht="15" hidden="false" customHeight="false" outlineLevel="0" collapsed="false">
      <c r="A204" s="5" t="s">
        <v>3605</v>
      </c>
      <c r="B204" s="5" t="s">
        <v>231</v>
      </c>
      <c r="C204" s="5" t="s">
        <v>77</v>
      </c>
      <c r="D204" s="5"/>
      <c r="E204" s="5" t="s">
        <v>3606</v>
      </c>
      <c r="F204" s="20" t="n">
        <v>0.112663061969951</v>
      </c>
      <c r="G204" s="20" t="n">
        <v>0.535576062650918</v>
      </c>
      <c r="H204" s="20" t="n">
        <v>0.330000203549858</v>
      </c>
      <c r="I204" s="20" t="n">
        <v>0.330000203549858</v>
      </c>
      <c r="J204" s="20" t="n">
        <v>0.535576062650918</v>
      </c>
      <c r="K204" s="20"/>
      <c r="L204" s="20"/>
    </row>
    <row r="205" customFormat="false" ht="15" hidden="false" customHeight="false" outlineLevel="0" collapsed="false">
      <c r="A205" s="5" t="s">
        <v>3607</v>
      </c>
      <c r="B205" s="5" t="s">
        <v>231</v>
      </c>
      <c r="C205" s="5" t="s">
        <v>77</v>
      </c>
      <c r="D205" s="5"/>
      <c r="E205" s="5" t="s">
        <v>3608</v>
      </c>
      <c r="F205" s="20" t="n">
        <v>0.0590379054072843</v>
      </c>
      <c r="G205" s="20" t="n">
        <v>0.103707657418598</v>
      </c>
      <c r="H205" s="20" t="n">
        <v>0.330000216960912</v>
      </c>
      <c r="I205" s="20" t="n">
        <v>0.330000216960912</v>
      </c>
      <c r="J205" s="20" t="n">
        <v>0.103707657418598</v>
      </c>
      <c r="K205" s="20"/>
      <c r="L205" s="20"/>
    </row>
    <row r="206" customFormat="false" ht="15" hidden="false" customHeight="false" outlineLevel="0" collapsed="false">
      <c r="A206" s="5" t="s">
        <v>3609</v>
      </c>
      <c r="B206" s="5" t="s">
        <v>231</v>
      </c>
      <c r="C206" s="5" t="s">
        <v>77</v>
      </c>
      <c r="D206" s="5"/>
      <c r="E206" s="5" t="s">
        <v>3610</v>
      </c>
      <c r="F206" s="20" t="n">
        <v>0.0631631598894806</v>
      </c>
      <c r="G206" s="20" t="n">
        <v>0.281123768915968</v>
      </c>
      <c r="H206" s="20" t="n">
        <v>0.330000216960912</v>
      </c>
      <c r="I206" s="20" t="n">
        <v>0</v>
      </c>
      <c r="J206" s="20" t="n">
        <v>0.281123768915968</v>
      </c>
      <c r="K206" s="20"/>
      <c r="L206" s="20"/>
    </row>
    <row r="207" customFormat="false" ht="15" hidden="false" customHeight="false" outlineLevel="0" collapsed="false">
      <c r="A207" s="5" t="s">
        <v>3611</v>
      </c>
      <c r="B207" s="5" t="s">
        <v>231</v>
      </c>
      <c r="C207" s="5" t="s">
        <v>76</v>
      </c>
      <c r="D207" s="5" t="s">
        <v>3345</v>
      </c>
      <c r="E207" s="5" t="s">
        <v>3612</v>
      </c>
      <c r="F207" s="20" t="n">
        <v>18.4724811092032</v>
      </c>
      <c r="G207" s="20" t="n">
        <v>6.92002018316423</v>
      </c>
      <c r="H207" s="20" t="n">
        <v>74.5240335650718</v>
      </c>
      <c r="I207" s="20" t="n">
        <v>92.3624936297537</v>
      </c>
      <c r="J207" s="20" t="n">
        <v>6.92002018316423</v>
      </c>
      <c r="K207" s="20" t="n">
        <v>92.362</v>
      </c>
      <c r="L207" s="20" t="n">
        <v>69.476</v>
      </c>
    </row>
    <row r="208" customFormat="false" ht="15" hidden="false" customHeight="false" outlineLevel="0" collapsed="false">
      <c r="A208" s="5" t="s">
        <v>3613</v>
      </c>
      <c r="B208" s="5" t="s">
        <v>231</v>
      </c>
      <c r="C208" s="5" t="s">
        <v>75</v>
      </c>
      <c r="D208" s="5" t="s">
        <v>3348</v>
      </c>
      <c r="E208" s="5" t="s">
        <v>3614</v>
      </c>
      <c r="F208" s="20" t="n">
        <v>0.260999510764631</v>
      </c>
      <c r="G208" s="20" t="n">
        <v>1.69921988621353</v>
      </c>
      <c r="H208" s="20" t="n">
        <v>0.734060657322327</v>
      </c>
      <c r="I208" s="20" t="n">
        <v>0</v>
      </c>
      <c r="J208" s="20" t="n">
        <v>1.69921988621353</v>
      </c>
      <c r="K208" s="20"/>
      <c r="L208" s="20"/>
    </row>
    <row r="209" customFormat="false" ht="15" hidden="false" customHeight="false" outlineLevel="0" collapsed="false">
      <c r="A209" s="5" t="s">
        <v>3615</v>
      </c>
      <c r="B209" s="5" t="s">
        <v>231</v>
      </c>
      <c r="C209" s="5" t="s">
        <v>75</v>
      </c>
      <c r="D209" s="5" t="s">
        <v>3348</v>
      </c>
      <c r="E209" s="5" t="s">
        <v>3616</v>
      </c>
      <c r="F209" s="20" t="n">
        <v>0.233999545096989</v>
      </c>
      <c r="G209" s="20" t="n">
        <v>1.56000093460079</v>
      </c>
      <c r="H209" s="20" t="n">
        <v>0.779997987747265</v>
      </c>
      <c r="I209" s="20" t="n">
        <v>0</v>
      </c>
      <c r="J209" s="20" t="n">
        <v>1.56000093460079</v>
      </c>
      <c r="K209" s="20"/>
      <c r="L209" s="20"/>
    </row>
    <row r="210" customFormat="false" ht="15" hidden="false" customHeight="false" outlineLevel="0" collapsed="false">
      <c r="A210" s="5" t="s">
        <v>3617</v>
      </c>
      <c r="B210" s="5" t="s">
        <v>231</v>
      </c>
      <c r="C210" s="5" t="s">
        <v>75</v>
      </c>
      <c r="D210" s="5" t="s">
        <v>3348</v>
      </c>
      <c r="E210" s="5" t="s">
        <v>3618</v>
      </c>
      <c r="F210" s="20" t="n">
        <v>0.296999450683081</v>
      </c>
      <c r="G210" s="20" t="n">
        <v>1.93359509110458</v>
      </c>
      <c r="H210" s="20" t="n">
        <v>0.850779135525102</v>
      </c>
      <c r="I210" s="20" t="n">
        <v>0</v>
      </c>
      <c r="J210" s="20" t="n">
        <v>1.93359509110458</v>
      </c>
      <c r="K210" s="20"/>
      <c r="L210" s="20"/>
    </row>
    <row r="211" customFormat="false" ht="15" hidden="false" customHeight="false" outlineLevel="0" collapsed="false">
      <c r="A211" s="5" t="s">
        <v>3619</v>
      </c>
      <c r="B211" s="5" t="s">
        <v>231</v>
      </c>
      <c r="C211" s="5" t="s">
        <v>75</v>
      </c>
      <c r="D211" s="5" t="s">
        <v>3348</v>
      </c>
      <c r="E211" s="5" t="s">
        <v>3620</v>
      </c>
      <c r="F211" s="20" t="n">
        <v>0.261000327050785</v>
      </c>
      <c r="G211" s="20" t="n">
        <v>1.74000107407568</v>
      </c>
      <c r="H211" s="20" t="n">
        <v>0.870000537037839</v>
      </c>
      <c r="I211" s="20" t="n">
        <v>0</v>
      </c>
      <c r="J211" s="20" t="n">
        <v>1.74000107407568</v>
      </c>
      <c r="K211" s="20"/>
      <c r="L211" s="20"/>
    </row>
    <row r="212" customFormat="false" ht="15" hidden="false" customHeight="false" outlineLevel="0" collapsed="false">
      <c r="A212" s="5" t="s">
        <v>3621</v>
      </c>
      <c r="B212" s="5" t="s">
        <v>231</v>
      </c>
      <c r="C212" s="5" t="s">
        <v>75</v>
      </c>
      <c r="D212" s="5" t="s">
        <v>3348</v>
      </c>
      <c r="E212" s="5" t="s">
        <v>3622</v>
      </c>
      <c r="F212" s="20" t="n">
        <v>0.261000340461847</v>
      </c>
      <c r="G212" s="20" t="n">
        <v>1.7400011634827</v>
      </c>
      <c r="H212" s="20" t="n">
        <v>0.870000581741351</v>
      </c>
      <c r="I212" s="20" t="n">
        <v>0</v>
      </c>
      <c r="J212" s="20" t="n">
        <v>1.7400011634827</v>
      </c>
      <c r="K212" s="20"/>
      <c r="L212" s="20"/>
    </row>
    <row r="213" customFormat="false" ht="15" hidden="false" customHeight="false" outlineLevel="0" collapsed="false">
      <c r="A213" s="5" t="s">
        <v>3623</v>
      </c>
      <c r="B213" s="5" t="s">
        <v>231</v>
      </c>
      <c r="C213" s="5" t="s">
        <v>75</v>
      </c>
      <c r="D213" s="5" t="s">
        <v>3348</v>
      </c>
      <c r="E213" s="5" t="s">
        <v>3624</v>
      </c>
      <c r="F213" s="20" t="n">
        <v>0.297000394821309</v>
      </c>
      <c r="G213" s="20" t="n">
        <v>1.98000137329109</v>
      </c>
      <c r="H213" s="20" t="n">
        <v>0.990000686645544</v>
      </c>
      <c r="I213" s="20" t="n">
        <v>0</v>
      </c>
      <c r="J213" s="20" t="n">
        <v>1.98000137329109</v>
      </c>
      <c r="K213" s="20"/>
      <c r="L213" s="20"/>
    </row>
    <row r="214" customFormat="false" ht="15" hidden="false" customHeight="false" outlineLevel="0" collapsed="false">
      <c r="A214" s="5" t="s">
        <v>3625</v>
      </c>
      <c r="B214" s="5" t="s">
        <v>231</v>
      </c>
      <c r="C214" s="5" t="s">
        <v>75</v>
      </c>
      <c r="D214" s="5" t="s">
        <v>3348</v>
      </c>
      <c r="E214" s="5" t="s">
        <v>3626</v>
      </c>
      <c r="F214" s="20" t="n">
        <v>0.261000133037538</v>
      </c>
      <c r="G214" s="20" t="n">
        <v>1.65843860894441</v>
      </c>
      <c r="H214" s="20" t="n">
        <v>0.734062407463766</v>
      </c>
      <c r="I214" s="20" t="n">
        <v>0</v>
      </c>
      <c r="J214" s="20" t="n">
        <v>1.65843860894441</v>
      </c>
      <c r="K214" s="20"/>
      <c r="L214" s="20"/>
    </row>
    <row r="215" customFormat="false" ht="15" hidden="false" customHeight="false" outlineLevel="0" collapsed="false">
      <c r="A215" s="5" t="s">
        <v>3627</v>
      </c>
      <c r="B215" s="5" t="s">
        <v>231</v>
      </c>
      <c r="C215" s="5" t="s">
        <v>75</v>
      </c>
      <c r="D215" s="5" t="s">
        <v>3348</v>
      </c>
      <c r="E215" s="5" t="s">
        <v>3628</v>
      </c>
      <c r="F215" s="20" t="n">
        <v>0.234000102996798</v>
      </c>
      <c r="G215" s="20" t="n">
        <v>1.56000093460079</v>
      </c>
      <c r="H215" s="20" t="n">
        <v>0.779999847412114</v>
      </c>
      <c r="I215" s="20" t="n">
        <v>0</v>
      </c>
      <c r="J215" s="20" t="n">
        <v>1.56000093460079</v>
      </c>
      <c r="K215" s="20"/>
      <c r="L215" s="20"/>
    </row>
    <row r="216" customFormat="false" ht="15" hidden="false" customHeight="false" outlineLevel="0" collapsed="false">
      <c r="A216" s="5" t="s">
        <v>3629</v>
      </c>
      <c r="B216" s="5" t="s">
        <v>231</v>
      </c>
      <c r="C216" s="5" t="s">
        <v>75</v>
      </c>
      <c r="D216" s="5" t="s">
        <v>3348</v>
      </c>
      <c r="E216" s="5" t="s">
        <v>3630</v>
      </c>
      <c r="F216" s="20" t="n">
        <v>0.396000133037483</v>
      </c>
      <c r="G216" s="20" t="n">
        <v>2.26186230291849</v>
      </c>
      <c r="H216" s="20" t="n">
        <v>0.850781163945786</v>
      </c>
      <c r="I216" s="20" t="n">
        <v>0.495000343322772</v>
      </c>
      <c r="J216" s="20" t="n">
        <v>2.26186230291849</v>
      </c>
      <c r="K216" s="20"/>
      <c r="L216" s="20"/>
    </row>
    <row r="217" customFormat="false" ht="15" hidden="false" customHeight="false" outlineLevel="0" collapsed="false">
      <c r="A217" s="5" t="s">
        <v>3631</v>
      </c>
      <c r="B217" s="5" t="s">
        <v>231</v>
      </c>
      <c r="C217" s="5" t="s">
        <v>75</v>
      </c>
      <c r="D217" s="5" t="s">
        <v>3348</v>
      </c>
      <c r="E217" s="5" t="s">
        <v>3632</v>
      </c>
      <c r="F217" s="20" t="n">
        <v>0.303750248104374</v>
      </c>
      <c r="G217" s="20" t="n">
        <v>2.0250015735628</v>
      </c>
      <c r="H217" s="20" t="n">
        <v>0.898467600267257</v>
      </c>
      <c r="I217" s="20" t="n">
        <v>0</v>
      </c>
      <c r="J217" s="20" t="n">
        <v>2.0250015735628</v>
      </c>
      <c r="K217" s="20"/>
      <c r="L217" s="20"/>
    </row>
    <row r="218" customFormat="false" ht="15" hidden="false" customHeight="false" outlineLevel="0" collapsed="false">
      <c r="A218" s="5" t="s">
        <v>3633</v>
      </c>
      <c r="B218" s="5" t="s">
        <v>231</v>
      </c>
      <c r="C218" s="5" t="s">
        <v>75</v>
      </c>
      <c r="D218" s="5" t="s">
        <v>3348</v>
      </c>
      <c r="E218" s="5" t="s">
        <v>3634</v>
      </c>
      <c r="F218" s="20" t="n">
        <v>0.445500294506563</v>
      </c>
      <c r="G218" s="20" t="n">
        <v>3.06000190615652</v>
      </c>
      <c r="H218" s="20" t="n">
        <v>1.34852237410327</v>
      </c>
      <c r="I218" s="20" t="n">
        <v>0</v>
      </c>
      <c r="J218" s="20" t="n">
        <v>3.06000190615652</v>
      </c>
      <c r="K218" s="20"/>
      <c r="L218" s="20"/>
    </row>
    <row r="219" customFormat="false" ht="15" hidden="false" customHeight="false" outlineLevel="0" collapsed="false">
      <c r="A219" s="5" t="s">
        <v>3635</v>
      </c>
      <c r="B219" s="5" t="s">
        <v>231</v>
      </c>
      <c r="C219" s="5" t="s">
        <v>75</v>
      </c>
      <c r="D219" s="5" t="s">
        <v>3348</v>
      </c>
      <c r="E219" s="5" t="s">
        <v>3636</v>
      </c>
      <c r="F219" s="20" t="n">
        <v>0.297000201702117</v>
      </c>
      <c r="G219" s="20" t="n">
        <v>1.98000165939357</v>
      </c>
      <c r="H219" s="20" t="n">
        <v>0.990000042915312</v>
      </c>
      <c r="I219" s="20" t="n">
        <v>0</v>
      </c>
      <c r="J219" s="20" t="n">
        <v>1.98000165939357</v>
      </c>
      <c r="K219" s="20"/>
      <c r="L219" s="20"/>
    </row>
    <row r="220" customFormat="false" ht="15" hidden="false" customHeight="false" outlineLevel="0" collapsed="false">
      <c r="A220" s="5" t="s">
        <v>3637</v>
      </c>
      <c r="B220" s="5" t="s">
        <v>231</v>
      </c>
      <c r="C220" s="5" t="s">
        <v>75</v>
      </c>
      <c r="D220" s="5" t="s">
        <v>3348</v>
      </c>
      <c r="E220" s="5" t="s">
        <v>3638</v>
      </c>
      <c r="F220" s="20" t="n">
        <v>0.432000201702072</v>
      </c>
      <c r="G220" s="20" t="n">
        <v>2.97000184535978</v>
      </c>
      <c r="H220" s="20" t="n">
        <v>1.43999975681305</v>
      </c>
      <c r="I220" s="20" t="n">
        <v>0</v>
      </c>
      <c r="J220" s="20" t="n">
        <v>2.97000184535978</v>
      </c>
      <c r="K220" s="20"/>
      <c r="L220" s="20"/>
    </row>
    <row r="221" customFormat="false" ht="15" hidden="false" customHeight="false" outlineLevel="0" collapsed="false">
      <c r="A221" s="5" t="s">
        <v>3639</v>
      </c>
      <c r="B221" s="5" t="s">
        <v>231</v>
      </c>
      <c r="C221" s="5" t="s">
        <v>75</v>
      </c>
      <c r="D221" s="5" t="s">
        <v>3348</v>
      </c>
      <c r="E221" s="5" t="s">
        <v>3640</v>
      </c>
      <c r="F221" s="20" t="n">
        <v>0.297000437736707</v>
      </c>
      <c r="G221" s="20" t="n">
        <v>1.98000165939357</v>
      </c>
      <c r="H221" s="20" t="n">
        <v>0.990000829696783</v>
      </c>
      <c r="I221" s="20" t="n">
        <v>0</v>
      </c>
      <c r="J221" s="20" t="n">
        <v>1.98000165939357</v>
      </c>
      <c r="K221" s="20"/>
      <c r="L221" s="20"/>
    </row>
    <row r="222" customFormat="false" ht="15" hidden="false" customHeight="false" outlineLevel="0" collapsed="false">
      <c r="A222" s="5" t="s">
        <v>3641</v>
      </c>
      <c r="B222" s="5" t="s">
        <v>231</v>
      </c>
      <c r="C222" s="5" t="s">
        <v>75</v>
      </c>
      <c r="D222" s="5" t="s">
        <v>3348</v>
      </c>
      <c r="E222" s="5" t="s">
        <v>3642</v>
      </c>
      <c r="F222" s="20" t="n">
        <v>0.297000373363609</v>
      </c>
      <c r="G222" s="20" t="n">
        <v>1.98000123023985</v>
      </c>
      <c r="H222" s="20" t="n">
        <v>0.990000615119925</v>
      </c>
      <c r="I222" s="20" t="n">
        <v>0</v>
      </c>
      <c r="J222" s="20" t="n">
        <v>1.98000123023985</v>
      </c>
      <c r="K222" s="20"/>
      <c r="L222" s="20"/>
    </row>
    <row r="223" customFormat="false" ht="15" hidden="false" customHeight="false" outlineLevel="0" collapsed="false">
      <c r="A223" s="5" t="s">
        <v>3643</v>
      </c>
      <c r="B223" s="5" t="s">
        <v>231</v>
      </c>
      <c r="C223" s="5" t="s">
        <v>75</v>
      </c>
      <c r="D223" s="5" t="s">
        <v>3348</v>
      </c>
      <c r="E223" s="5" t="s">
        <v>3644</v>
      </c>
      <c r="F223" s="20" t="n">
        <v>0.303749463557624</v>
      </c>
      <c r="G223" s="20" t="n">
        <v>2.0250015735628</v>
      </c>
      <c r="H223" s="20" t="n">
        <v>0.898465279644188</v>
      </c>
      <c r="I223" s="20" t="n">
        <v>0</v>
      </c>
      <c r="J223" s="20" t="n">
        <v>2.0250015735628</v>
      </c>
      <c r="K223" s="20"/>
      <c r="L223" s="20"/>
    </row>
    <row r="224" customFormat="false" ht="15" hidden="false" customHeight="false" outlineLevel="0" collapsed="false">
      <c r="A224" s="5" t="s">
        <v>3645</v>
      </c>
      <c r="B224" s="5" t="s">
        <v>231</v>
      </c>
      <c r="C224" s="5" t="s">
        <v>75</v>
      </c>
      <c r="D224" s="5" t="s">
        <v>3348</v>
      </c>
      <c r="E224" s="5" t="s">
        <v>3646</v>
      </c>
      <c r="F224" s="20" t="n">
        <v>0.303749409913545</v>
      </c>
      <c r="G224" s="20" t="n">
        <v>2.02500121593471</v>
      </c>
      <c r="H224" s="20" t="n">
        <v>0.898465100970406</v>
      </c>
      <c r="I224" s="20" t="n">
        <v>0</v>
      </c>
      <c r="J224" s="20" t="n">
        <v>2.02500121593471</v>
      </c>
      <c r="K224" s="20"/>
      <c r="L224" s="20"/>
    </row>
    <row r="225" customFormat="false" ht="15" hidden="false" customHeight="false" outlineLevel="0" collapsed="false">
      <c r="A225" s="5" t="s">
        <v>3647</v>
      </c>
      <c r="B225" s="5" t="s">
        <v>231</v>
      </c>
      <c r="C225" s="5" t="s">
        <v>75</v>
      </c>
      <c r="D225" s="5" t="s">
        <v>3348</v>
      </c>
      <c r="E225" s="5" t="s">
        <v>3648</v>
      </c>
      <c r="F225" s="20" t="n">
        <v>0.232575400164883</v>
      </c>
      <c r="G225" s="20" t="n">
        <v>1.55050168198346</v>
      </c>
      <c r="H225" s="20" t="n">
        <v>0.664500419080255</v>
      </c>
      <c r="I225" s="20" t="n">
        <v>0</v>
      </c>
      <c r="J225" s="20" t="n">
        <v>1.55050168198346</v>
      </c>
      <c r="K225" s="20"/>
      <c r="L225" s="20"/>
    </row>
    <row r="226" customFormat="false" ht="15" hidden="false" customHeight="false" outlineLevel="0" collapsed="false">
      <c r="A226" s="5" t="s">
        <v>3649</v>
      </c>
      <c r="B226" s="5" t="s">
        <v>231</v>
      </c>
      <c r="C226" s="5" t="s">
        <v>75</v>
      </c>
      <c r="D226" s="5" t="s">
        <v>3348</v>
      </c>
      <c r="E226" s="5" t="s">
        <v>3650</v>
      </c>
      <c r="F226" s="20" t="n">
        <v>0.343499131888137</v>
      </c>
      <c r="G226" s="20" t="n">
        <v>2.29000003635883</v>
      </c>
      <c r="H226" s="20" t="n">
        <v>0.663623071498549</v>
      </c>
      <c r="I226" s="20" t="n">
        <v>0.686998263776275</v>
      </c>
      <c r="J226" s="20" t="n">
        <v>2.29000003635883</v>
      </c>
      <c r="K226" s="20"/>
      <c r="L226" s="20"/>
    </row>
    <row r="227" customFormat="false" ht="15" hidden="false" customHeight="false" outlineLevel="0" collapsed="false">
      <c r="A227" s="5" t="s">
        <v>3651</v>
      </c>
      <c r="B227" s="5" t="s">
        <v>231</v>
      </c>
      <c r="C227" s="5" t="s">
        <v>75</v>
      </c>
      <c r="D227" s="5" t="s">
        <v>3387</v>
      </c>
      <c r="E227" s="5" t="s">
        <v>3652</v>
      </c>
      <c r="F227" s="20" t="n">
        <v>0.427500052973628</v>
      </c>
      <c r="G227" s="20" t="n">
        <v>2.76198157086037</v>
      </c>
      <c r="H227" s="20" t="n">
        <v>0.855000105947255</v>
      </c>
      <c r="I227" s="20" t="n">
        <v>0.855000105947255</v>
      </c>
      <c r="J227" s="20" t="n">
        <v>2.76198157086037</v>
      </c>
      <c r="K227" s="20"/>
      <c r="L227" s="20"/>
    </row>
    <row r="228" customFormat="false" ht="15" hidden="false" customHeight="false" outlineLevel="0" collapsed="false">
      <c r="E228" s="26" t="s">
        <v>283</v>
      </c>
      <c r="F228" s="58" t="n">
        <f aca="false">SUM(F5:F227)</f>
        <v>180.895391840563</v>
      </c>
      <c r="G228" s="58" t="n">
        <f aca="false">SUM(G5:G227)</f>
        <v>617.159566578833</v>
      </c>
      <c r="H228" s="58" t="n">
        <f aca="false">SUM(H5:H227)</f>
        <v>407.707755183387</v>
      </c>
      <c r="I228" s="58" t="n">
        <f aca="false">SUM(I5:I227)</f>
        <v>546.749852295127</v>
      </c>
      <c r="J228" s="58" t="n">
        <f aca="false">SUM(J5:J227)</f>
        <v>621.156816503929</v>
      </c>
      <c r="K228" s="58" t="n">
        <f aca="false">SUM(K5:K227)</f>
        <v>369.448</v>
      </c>
      <c r="L228" s="58" t="n">
        <f aca="false">SUM(L5:L227)</f>
        <v>277.904</v>
      </c>
    </row>
    <row r="230" customFormat="false" ht="15" hidden="false" customHeight="false" outlineLevel="0" collapsed="false">
      <c r="A230" s="3" t="s">
        <v>3653</v>
      </c>
    </row>
    <row r="231" customFormat="false" ht="30" hidden="false" customHeight="true" outlineLevel="0" collapsed="false">
      <c r="A231" s="4" t="s">
        <v>177</v>
      </c>
      <c r="B231" s="4" t="s">
        <v>68</v>
      </c>
      <c r="C231" s="4" t="s">
        <v>165</v>
      </c>
      <c r="D231" s="4" t="s">
        <v>3654</v>
      </c>
      <c r="E231" s="4" t="s">
        <v>3655</v>
      </c>
    </row>
    <row r="232" customFormat="false" ht="15" hidden="false" customHeight="false" outlineLevel="0" collapsed="false">
      <c r="A232" s="5" t="s">
        <v>176</v>
      </c>
      <c r="B232" s="5" t="s">
        <v>73</v>
      </c>
      <c r="C232" s="5" t="s">
        <v>169</v>
      </c>
      <c r="D232" s="5" t="n">
        <v>5</v>
      </c>
      <c r="E232" s="20" t="n">
        <v>6.53</v>
      </c>
    </row>
    <row r="233" customFormat="false" ht="15" hidden="false" customHeight="false" outlineLevel="0" collapsed="false">
      <c r="A233" s="5" t="s">
        <v>176</v>
      </c>
      <c r="B233" s="5" t="s">
        <v>72</v>
      </c>
      <c r="C233" s="5" t="s">
        <v>172</v>
      </c>
      <c r="D233" s="5" t="n">
        <v>90</v>
      </c>
      <c r="E233" s="20" t="n">
        <v>579.716</v>
      </c>
    </row>
    <row r="234" customFormat="false" ht="15" hidden="false" customHeight="false" outlineLevel="0" collapsed="false">
      <c r="A234" s="5" t="s">
        <v>176</v>
      </c>
      <c r="B234" s="5" t="s">
        <v>72</v>
      </c>
      <c r="C234" s="5" t="s">
        <v>169</v>
      </c>
      <c r="D234" s="5" t="n">
        <v>382</v>
      </c>
      <c r="E234" s="20" t="n">
        <v>427.344</v>
      </c>
    </row>
    <row r="235" customFormat="false" ht="15" hidden="false" customHeight="false" outlineLevel="0" collapsed="false">
      <c r="A235" s="5" t="s">
        <v>176</v>
      </c>
      <c r="B235" s="5" t="s">
        <v>70</v>
      </c>
      <c r="C235" s="5" t="s">
        <v>170</v>
      </c>
      <c r="D235" s="5" t="n">
        <v>32</v>
      </c>
      <c r="E235" s="20" t="n">
        <v>44.773</v>
      </c>
    </row>
    <row r="236" customFormat="false" ht="15" hidden="false" customHeight="false" outlineLevel="0" collapsed="false">
      <c r="A236" s="5" t="s">
        <v>176</v>
      </c>
      <c r="B236" s="5" t="s">
        <v>70</v>
      </c>
      <c r="C236" s="5" t="s">
        <v>171</v>
      </c>
      <c r="D236" s="5" t="n">
        <v>244</v>
      </c>
      <c r="E236" s="20" t="n">
        <v>520.289</v>
      </c>
    </row>
    <row r="237" customFormat="false" ht="15" hidden="false" customHeight="false" outlineLevel="0" collapsed="false">
      <c r="A237" s="5" t="s">
        <v>212</v>
      </c>
      <c r="B237" s="5" t="s">
        <v>74</v>
      </c>
      <c r="C237" s="5" t="s">
        <v>170</v>
      </c>
      <c r="D237" s="5" t="n">
        <v>20</v>
      </c>
      <c r="E237" s="20" t="n">
        <v>73.554</v>
      </c>
    </row>
    <row r="238" customFormat="false" ht="15" hidden="false" customHeight="false" outlineLevel="0" collapsed="false">
      <c r="A238" s="5" t="s">
        <v>212</v>
      </c>
      <c r="B238" s="5" t="s">
        <v>74</v>
      </c>
      <c r="C238" s="5" t="s">
        <v>169</v>
      </c>
      <c r="D238" s="5" t="n">
        <v>762</v>
      </c>
      <c r="E238" s="20" t="n">
        <v>735.885</v>
      </c>
    </row>
    <row r="239" customFormat="false" ht="15" hidden="false" customHeight="false" outlineLevel="0" collapsed="false">
      <c r="A239" s="5" t="s">
        <v>212</v>
      </c>
      <c r="B239" s="5" t="s">
        <v>74</v>
      </c>
      <c r="C239" s="5" t="s">
        <v>171</v>
      </c>
      <c r="D239" s="5" t="n">
        <v>136</v>
      </c>
      <c r="E239" s="20" t="n">
        <v>515.651</v>
      </c>
    </row>
    <row r="240" customFormat="false" ht="15" hidden="false" customHeight="false" outlineLevel="0" collapsed="false">
      <c r="A240" s="5" t="s">
        <v>216</v>
      </c>
      <c r="B240" s="5" t="s">
        <v>74</v>
      </c>
      <c r="C240" s="5" t="s">
        <v>170</v>
      </c>
      <c r="D240" s="5" t="n">
        <v>20</v>
      </c>
      <c r="E240" s="20" t="n">
        <v>70.024</v>
      </c>
    </row>
    <row r="241" customFormat="false" ht="15" hidden="false" customHeight="false" outlineLevel="0" collapsed="false">
      <c r="A241" s="5" t="s">
        <v>216</v>
      </c>
      <c r="B241" s="5" t="s">
        <v>74</v>
      </c>
      <c r="C241" s="5" t="s">
        <v>169</v>
      </c>
      <c r="D241" s="5" t="n">
        <v>1512</v>
      </c>
      <c r="E241" s="20" t="n">
        <v>1458.625</v>
      </c>
    </row>
    <row r="242" customFormat="false" ht="15" hidden="false" customHeight="false" outlineLevel="0" collapsed="false">
      <c r="A242" s="5" t="s">
        <v>216</v>
      </c>
      <c r="B242" s="5" t="s">
        <v>74</v>
      </c>
      <c r="C242" s="5" t="s">
        <v>171</v>
      </c>
      <c r="D242" s="5" t="n">
        <v>136</v>
      </c>
      <c r="E242" s="20" t="n">
        <v>496.596</v>
      </c>
    </row>
    <row r="243" customFormat="false" ht="15" hidden="false" customHeight="false" outlineLevel="0" collapsed="false">
      <c r="A243" s="5" t="s">
        <v>216</v>
      </c>
      <c r="B243" s="5" t="s">
        <v>77</v>
      </c>
      <c r="C243" s="5" t="s">
        <v>169</v>
      </c>
      <c r="D243" s="5" t="n">
        <v>80</v>
      </c>
      <c r="E243" s="20" t="n">
        <v>158.617</v>
      </c>
    </row>
    <row r="244" customFormat="false" ht="15" hidden="false" customHeight="false" outlineLevel="0" collapsed="false">
      <c r="A244" s="5" t="s">
        <v>216</v>
      </c>
      <c r="B244" s="5" t="s">
        <v>76</v>
      </c>
      <c r="C244" s="5" t="s">
        <v>170</v>
      </c>
      <c r="D244" s="5" t="n">
        <v>60</v>
      </c>
      <c r="E244" s="20" t="n">
        <v>247.798</v>
      </c>
    </row>
    <row r="245" customFormat="false" ht="15" hidden="false" customHeight="false" outlineLevel="0" collapsed="false">
      <c r="A245" s="5" t="s">
        <v>216</v>
      </c>
      <c r="B245" s="5" t="s">
        <v>76</v>
      </c>
      <c r="C245" s="5" t="s">
        <v>168</v>
      </c>
      <c r="D245" s="5" t="n">
        <v>228</v>
      </c>
      <c r="E245" s="20" t="n">
        <v>839.284</v>
      </c>
    </row>
    <row r="246" customFormat="false" ht="15" hidden="false" customHeight="false" outlineLevel="0" collapsed="false">
      <c r="A246" s="5" t="s">
        <v>216</v>
      </c>
      <c r="B246" s="5" t="s">
        <v>76</v>
      </c>
      <c r="C246" s="5" t="s">
        <v>169</v>
      </c>
      <c r="D246" s="5" t="n">
        <v>82</v>
      </c>
      <c r="E246" s="20" t="n">
        <v>184.796</v>
      </c>
    </row>
    <row r="247" customFormat="false" ht="15" hidden="false" customHeight="false" outlineLevel="0" collapsed="false">
      <c r="A247" s="5" t="s">
        <v>216</v>
      </c>
      <c r="B247" s="5" t="s">
        <v>75</v>
      </c>
      <c r="C247" s="5" t="s">
        <v>172</v>
      </c>
      <c r="D247" s="5" t="n">
        <v>130</v>
      </c>
      <c r="E247" s="20" t="n">
        <v>721.345</v>
      </c>
    </row>
    <row r="248" customFormat="false" ht="15" hidden="false" customHeight="false" outlineLevel="0" collapsed="false">
      <c r="A248" s="5" t="s">
        <v>216</v>
      </c>
      <c r="B248" s="5" t="s">
        <v>75</v>
      </c>
      <c r="C248" s="5" t="s">
        <v>169</v>
      </c>
      <c r="D248" s="5" t="n">
        <v>456</v>
      </c>
      <c r="E248" s="20" t="n">
        <v>646.928</v>
      </c>
    </row>
    <row r="249" customFormat="false" ht="15" hidden="false" customHeight="false" outlineLevel="0" collapsed="false">
      <c r="A249" s="5" t="s">
        <v>216</v>
      </c>
      <c r="B249" s="5" t="s">
        <v>75</v>
      </c>
      <c r="C249" s="5" t="s">
        <v>171</v>
      </c>
      <c r="D249" s="5" t="n">
        <v>6</v>
      </c>
      <c r="E249" s="20" t="n">
        <v>25.772</v>
      </c>
    </row>
    <row r="250" customFormat="false" ht="15" hidden="false" customHeight="false" outlineLevel="0" collapsed="false">
      <c r="A250" s="5" t="s">
        <v>227</v>
      </c>
      <c r="B250" s="5" t="s">
        <v>74</v>
      </c>
      <c r="C250" s="5" t="s">
        <v>170</v>
      </c>
      <c r="D250" s="5" t="n">
        <v>20</v>
      </c>
      <c r="E250" s="20" t="n">
        <v>64.024</v>
      </c>
    </row>
    <row r="251" customFormat="false" ht="15" hidden="false" customHeight="false" outlineLevel="0" collapsed="false">
      <c r="A251" s="5" t="s">
        <v>227</v>
      </c>
      <c r="B251" s="5" t="s">
        <v>74</v>
      </c>
      <c r="C251" s="5" t="s">
        <v>169</v>
      </c>
      <c r="D251" s="5" t="n">
        <v>1242</v>
      </c>
      <c r="E251" s="20" t="n">
        <v>1198.157</v>
      </c>
    </row>
    <row r="252" customFormat="false" ht="15" hidden="false" customHeight="false" outlineLevel="0" collapsed="false">
      <c r="A252" s="5" t="s">
        <v>227</v>
      </c>
      <c r="B252" s="5" t="s">
        <v>74</v>
      </c>
      <c r="C252" s="5" t="s">
        <v>171</v>
      </c>
      <c r="D252" s="5" t="n">
        <v>136</v>
      </c>
      <c r="E252" s="20" t="n">
        <v>455.796</v>
      </c>
    </row>
    <row r="253" customFormat="false" ht="15" hidden="false" customHeight="false" outlineLevel="0" collapsed="false">
      <c r="A253" s="5" t="s">
        <v>227</v>
      </c>
      <c r="B253" s="5" t="s">
        <v>77</v>
      </c>
      <c r="C253" s="5" t="s">
        <v>169</v>
      </c>
      <c r="D253" s="5" t="n">
        <v>76</v>
      </c>
      <c r="E253" s="20" t="n">
        <v>145.649</v>
      </c>
    </row>
    <row r="254" customFormat="false" ht="15" hidden="false" customHeight="false" outlineLevel="0" collapsed="false">
      <c r="A254" s="5" t="s">
        <v>227</v>
      </c>
      <c r="B254" s="5" t="s">
        <v>76</v>
      </c>
      <c r="C254" s="5" t="s">
        <v>170</v>
      </c>
      <c r="D254" s="5" t="n">
        <v>60</v>
      </c>
      <c r="E254" s="20" t="n">
        <v>247.794</v>
      </c>
    </row>
    <row r="255" customFormat="false" ht="15" hidden="false" customHeight="false" outlineLevel="0" collapsed="false">
      <c r="A255" s="5" t="s">
        <v>227</v>
      </c>
      <c r="B255" s="5" t="s">
        <v>76</v>
      </c>
      <c r="C255" s="5" t="s">
        <v>168</v>
      </c>
      <c r="D255" s="5" t="n">
        <v>228</v>
      </c>
      <c r="E255" s="20" t="n">
        <v>839.284</v>
      </c>
    </row>
    <row r="256" customFormat="false" ht="15" hidden="false" customHeight="false" outlineLevel="0" collapsed="false">
      <c r="A256" s="5" t="s">
        <v>227</v>
      </c>
      <c r="B256" s="5" t="s">
        <v>76</v>
      </c>
      <c r="C256" s="5" t="s">
        <v>169</v>
      </c>
      <c r="D256" s="5" t="n">
        <v>82</v>
      </c>
      <c r="E256" s="20" t="n">
        <v>183.105</v>
      </c>
    </row>
    <row r="257" customFormat="false" ht="15" hidden="false" customHeight="false" outlineLevel="0" collapsed="false">
      <c r="A257" s="5" t="s">
        <v>227</v>
      </c>
      <c r="B257" s="5" t="s">
        <v>75</v>
      </c>
      <c r="C257" s="5" t="s">
        <v>172</v>
      </c>
      <c r="D257" s="5" t="n">
        <v>102</v>
      </c>
      <c r="E257" s="20" t="n">
        <v>560.78</v>
      </c>
    </row>
    <row r="258" customFormat="false" ht="15" hidden="false" customHeight="false" outlineLevel="0" collapsed="false">
      <c r="A258" s="5" t="s">
        <v>227</v>
      </c>
      <c r="B258" s="5" t="s">
        <v>75</v>
      </c>
      <c r="C258" s="5" t="s">
        <v>169</v>
      </c>
      <c r="D258" s="5" t="n">
        <v>456</v>
      </c>
      <c r="E258" s="20" t="n">
        <v>646.928</v>
      </c>
    </row>
    <row r="259" customFormat="false" ht="15" hidden="false" customHeight="false" outlineLevel="0" collapsed="false">
      <c r="A259" s="5" t="s">
        <v>227</v>
      </c>
      <c r="B259" s="5" t="s">
        <v>75</v>
      </c>
      <c r="C259" s="5" t="s">
        <v>171</v>
      </c>
      <c r="D259" s="5" t="n">
        <v>6</v>
      </c>
      <c r="E259" s="20" t="n">
        <v>25.772</v>
      </c>
    </row>
    <row r="260" customFormat="false" ht="15" hidden="false" customHeight="false" outlineLevel="0" collapsed="false">
      <c r="A260" s="5" t="s">
        <v>229</v>
      </c>
      <c r="B260" s="5" t="s">
        <v>74</v>
      </c>
      <c r="C260" s="5" t="s">
        <v>170</v>
      </c>
      <c r="D260" s="5" t="n">
        <v>20</v>
      </c>
      <c r="E260" s="20" t="n">
        <v>64.024</v>
      </c>
    </row>
    <row r="261" customFormat="false" ht="15" hidden="false" customHeight="false" outlineLevel="0" collapsed="false">
      <c r="A261" s="5" t="s">
        <v>229</v>
      </c>
      <c r="B261" s="5" t="s">
        <v>74</v>
      </c>
      <c r="C261" s="5" t="s">
        <v>169</v>
      </c>
      <c r="D261" s="5" t="n">
        <v>1242</v>
      </c>
      <c r="E261" s="20" t="n">
        <v>1198.157</v>
      </c>
    </row>
    <row r="262" customFormat="false" ht="15" hidden="false" customHeight="false" outlineLevel="0" collapsed="false">
      <c r="A262" s="5" t="s">
        <v>229</v>
      </c>
      <c r="B262" s="5" t="s">
        <v>74</v>
      </c>
      <c r="C262" s="5" t="s">
        <v>171</v>
      </c>
      <c r="D262" s="5" t="n">
        <v>136</v>
      </c>
      <c r="E262" s="20" t="n">
        <v>455.796</v>
      </c>
    </row>
    <row r="263" customFormat="false" ht="15" hidden="false" customHeight="false" outlineLevel="0" collapsed="false">
      <c r="A263" s="5" t="s">
        <v>229</v>
      </c>
      <c r="B263" s="5" t="s">
        <v>77</v>
      </c>
      <c r="C263" s="5" t="s">
        <v>169</v>
      </c>
      <c r="D263" s="5" t="n">
        <v>76</v>
      </c>
      <c r="E263" s="20" t="n">
        <v>145.649</v>
      </c>
    </row>
    <row r="264" customFormat="false" ht="15" hidden="false" customHeight="false" outlineLevel="0" collapsed="false">
      <c r="A264" s="5" t="s">
        <v>229</v>
      </c>
      <c r="B264" s="5" t="s">
        <v>76</v>
      </c>
      <c r="C264" s="5" t="s">
        <v>170</v>
      </c>
      <c r="D264" s="5" t="n">
        <v>60</v>
      </c>
      <c r="E264" s="20" t="n">
        <v>247.794</v>
      </c>
    </row>
    <row r="265" customFormat="false" ht="15" hidden="false" customHeight="false" outlineLevel="0" collapsed="false">
      <c r="A265" s="5" t="s">
        <v>229</v>
      </c>
      <c r="B265" s="5" t="s">
        <v>76</v>
      </c>
      <c r="C265" s="5" t="s">
        <v>168</v>
      </c>
      <c r="D265" s="5" t="n">
        <v>228</v>
      </c>
      <c r="E265" s="20" t="n">
        <v>839.284</v>
      </c>
    </row>
    <row r="266" customFormat="false" ht="15" hidden="false" customHeight="false" outlineLevel="0" collapsed="false">
      <c r="A266" s="5" t="s">
        <v>229</v>
      </c>
      <c r="B266" s="5" t="s">
        <v>76</v>
      </c>
      <c r="C266" s="5" t="s">
        <v>169</v>
      </c>
      <c r="D266" s="5" t="n">
        <v>82</v>
      </c>
      <c r="E266" s="20" t="n">
        <v>184.796</v>
      </c>
    </row>
    <row r="267" customFormat="false" ht="15" hidden="false" customHeight="false" outlineLevel="0" collapsed="false">
      <c r="A267" s="5" t="s">
        <v>229</v>
      </c>
      <c r="B267" s="5" t="s">
        <v>75</v>
      </c>
      <c r="C267" s="5" t="s">
        <v>172</v>
      </c>
      <c r="D267" s="5" t="n">
        <v>100</v>
      </c>
      <c r="E267" s="20" t="n">
        <v>548.913</v>
      </c>
    </row>
    <row r="268" customFormat="false" ht="15" hidden="false" customHeight="false" outlineLevel="0" collapsed="false">
      <c r="A268" s="5" t="s">
        <v>229</v>
      </c>
      <c r="B268" s="5" t="s">
        <v>75</v>
      </c>
      <c r="C268" s="5" t="s">
        <v>169</v>
      </c>
      <c r="D268" s="5" t="n">
        <v>456</v>
      </c>
      <c r="E268" s="20" t="n">
        <v>646.928</v>
      </c>
    </row>
    <row r="269" customFormat="false" ht="15" hidden="false" customHeight="false" outlineLevel="0" collapsed="false">
      <c r="A269" s="5" t="s">
        <v>229</v>
      </c>
      <c r="B269" s="5" t="s">
        <v>75</v>
      </c>
      <c r="C269" s="5" t="s">
        <v>171</v>
      </c>
      <c r="D269" s="5" t="n">
        <v>6</v>
      </c>
      <c r="E269" s="20" t="n">
        <v>25.772</v>
      </c>
    </row>
    <row r="270" customFormat="false" ht="15" hidden="false" customHeight="false" outlineLevel="0" collapsed="false">
      <c r="A270" s="5" t="s">
        <v>231</v>
      </c>
      <c r="B270" s="5" t="s">
        <v>74</v>
      </c>
      <c r="C270" s="5" t="s">
        <v>170</v>
      </c>
      <c r="D270" s="5" t="n">
        <v>20</v>
      </c>
      <c r="E270" s="20" t="n">
        <v>36.562</v>
      </c>
    </row>
    <row r="271" customFormat="false" ht="15" hidden="false" customHeight="false" outlineLevel="0" collapsed="false">
      <c r="A271" s="5" t="s">
        <v>231</v>
      </c>
      <c r="B271" s="5" t="s">
        <v>74</v>
      </c>
      <c r="C271" s="5" t="s">
        <v>169</v>
      </c>
      <c r="D271" s="5" t="n">
        <v>1242</v>
      </c>
      <c r="E271" s="20" t="n">
        <v>1198.157</v>
      </c>
    </row>
    <row r="272" customFormat="false" ht="15" hidden="false" customHeight="false" outlineLevel="0" collapsed="false">
      <c r="A272" s="5" t="s">
        <v>231</v>
      </c>
      <c r="B272" s="5" t="s">
        <v>74</v>
      </c>
      <c r="C272" s="5" t="s">
        <v>171</v>
      </c>
      <c r="D272" s="5" t="n">
        <v>136</v>
      </c>
      <c r="E272" s="20" t="n">
        <v>254.594</v>
      </c>
    </row>
    <row r="273" customFormat="false" ht="15" hidden="false" customHeight="false" outlineLevel="0" collapsed="false">
      <c r="A273" s="5" t="s">
        <v>231</v>
      </c>
      <c r="B273" s="5" t="s">
        <v>77</v>
      </c>
      <c r="C273" s="5" t="s">
        <v>169</v>
      </c>
      <c r="D273" s="5" t="n">
        <v>76</v>
      </c>
      <c r="E273" s="20" t="n">
        <v>145.649</v>
      </c>
    </row>
    <row r="274" customFormat="false" ht="15" hidden="false" customHeight="false" outlineLevel="0" collapsed="false">
      <c r="A274" s="5" t="s">
        <v>231</v>
      </c>
      <c r="B274" s="5" t="s">
        <v>76</v>
      </c>
      <c r="C274" s="5" t="s">
        <v>170</v>
      </c>
      <c r="D274" s="5" t="n">
        <v>60</v>
      </c>
      <c r="E274" s="20" t="n">
        <v>247.798</v>
      </c>
    </row>
    <row r="275" customFormat="false" ht="15" hidden="false" customHeight="false" outlineLevel="0" collapsed="false">
      <c r="A275" s="5" t="s">
        <v>231</v>
      </c>
      <c r="B275" s="5" t="s">
        <v>76</v>
      </c>
      <c r="C275" s="5" t="s">
        <v>168</v>
      </c>
      <c r="D275" s="5" t="n">
        <v>228</v>
      </c>
      <c r="E275" s="20" t="n">
        <v>839.282</v>
      </c>
    </row>
    <row r="276" customFormat="false" ht="15" hidden="false" customHeight="false" outlineLevel="0" collapsed="false">
      <c r="A276" s="5" t="s">
        <v>231</v>
      </c>
      <c r="B276" s="5" t="s">
        <v>76</v>
      </c>
      <c r="C276" s="5" t="s">
        <v>169</v>
      </c>
      <c r="D276" s="5" t="n">
        <v>82</v>
      </c>
      <c r="E276" s="20" t="n">
        <v>184.796</v>
      </c>
    </row>
    <row r="277" customFormat="false" ht="15" hidden="false" customHeight="false" outlineLevel="0" collapsed="false">
      <c r="A277" s="5" t="s">
        <v>231</v>
      </c>
      <c r="B277" s="5" t="s">
        <v>75</v>
      </c>
      <c r="C277" s="5" t="s">
        <v>172</v>
      </c>
      <c r="D277" s="5" t="n">
        <v>98</v>
      </c>
      <c r="E277" s="20" t="n">
        <v>537.465</v>
      </c>
    </row>
    <row r="278" customFormat="false" ht="15" hidden="false" customHeight="false" outlineLevel="0" collapsed="false">
      <c r="A278" s="5" t="s">
        <v>231</v>
      </c>
      <c r="B278" s="5" t="s">
        <v>75</v>
      </c>
      <c r="C278" s="5" t="s">
        <v>169</v>
      </c>
      <c r="D278" s="5" t="n">
        <v>456</v>
      </c>
      <c r="E278" s="20" t="n">
        <v>646.928</v>
      </c>
    </row>
    <row r="279" customFormat="false" ht="15" hidden="false" customHeight="false" outlineLevel="0" collapsed="false">
      <c r="A279" s="5" t="s">
        <v>231</v>
      </c>
      <c r="B279" s="5" t="s">
        <v>75</v>
      </c>
      <c r="C279" s="5" t="s">
        <v>171</v>
      </c>
      <c r="D279" s="5" t="n">
        <v>6</v>
      </c>
      <c r="E279" s="20" t="n">
        <v>25.56</v>
      </c>
    </row>
    <row r="280" customFormat="false" ht="15" hidden="false" customHeight="false" outlineLevel="0" collapsed="false">
      <c r="C280" s="26" t="s">
        <v>283</v>
      </c>
      <c r="D280" s="37" t="n">
        <f aca="false">SUM(D232:D279)</f>
        <v>11599</v>
      </c>
      <c r="E280" s="58" t="n">
        <f aca="false">SUM(E232:E279)</f>
        <v>20594.72</v>
      </c>
    </row>
    <row r="282" customFormat="false" ht="15" hidden="false" customHeight="false" outlineLevel="0" collapsed="false">
      <c r="A282" s="3" t="s">
        <v>3656</v>
      </c>
    </row>
    <row r="283" customFormat="false" ht="15" hidden="false" customHeight="false" outlineLevel="0" collapsed="false">
      <c r="A283" s="5" t="s">
        <v>3657</v>
      </c>
      <c r="B283" s="20" t="n">
        <v>44.145</v>
      </c>
    </row>
    <row r="284" customFormat="false" ht="15" hidden="false" customHeight="false" outlineLevel="0" collapsed="false">
      <c r="A284" s="5" t="s">
        <v>3658</v>
      </c>
      <c r="B284" s="20" t="n">
        <v>13.362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2026-09-28T03:57:51Z</dcterms:created>
  <dc:creator>openpyxl</dc:creator>
  <dc:description/>
  <dc:language>en-US</dc:language>
  <cp:lastModifiedBy/>
  <dcterms:modified xsi:type="dcterms:W3CDTF">2026-09-28T03:57:54Z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